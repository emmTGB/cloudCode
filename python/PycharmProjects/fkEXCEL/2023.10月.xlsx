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tabRatio="864" firstSheet="3" activeTab="27"/>
  </bookViews>
  <sheets>
    <sheet name="2" sheetId="6" r:id="rId1"/>
    <sheet name="3" sheetId="41" r:id="rId2"/>
    <sheet name="5" sheetId="10" r:id="rId3"/>
    <sheet name="6" sheetId="11" r:id="rId4"/>
    <sheet name="7" sheetId="12" r:id="rId5"/>
    <sheet name="8" sheetId="13" r:id="rId6"/>
    <sheet name="9" sheetId="32" r:id="rId7"/>
    <sheet name="10" sheetId="42" r:id="rId8"/>
    <sheet name="11" sheetId="15" r:id="rId9"/>
    <sheet name="12" sheetId="16" r:id="rId10"/>
    <sheet name="13" sheetId="17" r:id="rId11"/>
    <sheet name="14" sheetId="18" r:id="rId12"/>
    <sheet name="15" sheetId="19" r:id="rId13"/>
    <sheet name="16" sheetId="43" r:id="rId14"/>
    <sheet name="17" sheetId="44" r:id="rId15"/>
    <sheet name="18" sheetId="21" r:id="rId16"/>
    <sheet name="19" sheetId="23" r:id="rId17"/>
    <sheet name="20." sheetId="24" r:id="rId18"/>
    <sheet name="21." sheetId="22" r:id="rId19"/>
    <sheet name="22" sheetId="34" r:id="rId20"/>
    <sheet name="23" sheetId="35" r:id="rId21"/>
    <sheet name="24" sheetId="25" r:id="rId22"/>
    <sheet name="25" sheetId="26" r:id="rId23"/>
    <sheet name="26" sheetId="27" r:id="rId24"/>
    <sheet name="27" sheetId="28" r:id="rId25"/>
    <sheet name="30" sheetId="38" r:id="rId26"/>
    <sheet name="31" sheetId="45" r:id="rId27"/>
    <sheet name="10月合计" sheetId="7" r:id="rId28"/>
  </sheets>
  <definedNames>
    <definedName name="_xlnm.Print_Area" localSheetId="0">'2'!$A$1:$J$35</definedName>
    <definedName name="_xlnm.Print_Area" localSheetId="2">'5'!$A$1:$J$35</definedName>
    <definedName name="_xlnm.Print_Area" localSheetId="3">'6'!$A$1:$J$35</definedName>
    <definedName name="_xlnm.Print_Area" localSheetId="4">'7'!$A$1:$J$36</definedName>
    <definedName name="_xlnm.Print_Area" localSheetId="5">'8'!$A$1:$J$33</definedName>
    <definedName name="_xlnm.Print_Area" localSheetId="8">'11'!$A$1:$J$33</definedName>
    <definedName name="_xlnm.Print_Area" localSheetId="9">'12'!$A$1:$J$36</definedName>
    <definedName name="_xlnm.Print_Area" localSheetId="10">'13'!$A$1:$J$35</definedName>
    <definedName name="_xlnm.Print_Area" localSheetId="11">'14'!$A$1:$J$35</definedName>
    <definedName name="_xlnm.Print_Area" localSheetId="12">'15'!$A$1:$J$36</definedName>
    <definedName name="_xlnm.Print_Area" localSheetId="15">'18'!$A$1:$J$44</definedName>
    <definedName name="_xlnm.Print_Area" localSheetId="18">'21.'!$A$1:$J$35</definedName>
    <definedName name="_xlnm.Print_Area" localSheetId="16">'19'!$A$1:$J$35</definedName>
    <definedName name="_xlnm.Print_Area" localSheetId="17">'20.'!$A$1:$J$35</definedName>
    <definedName name="_xlnm.Print_Area" localSheetId="21">'24'!$A$1:$J$36</definedName>
    <definedName name="_xlnm.Print_Area" localSheetId="22">'25'!$A$1:$J$36</definedName>
    <definedName name="_xlnm.Print_Area" localSheetId="23">'26'!$A$1:$J$36</definedName>
    <definedName name="_xlnm.Print_Area" localSheetId="24">'27'!$A$1:$J$36</definedName>
    <definedName name="_xlnm.Print_Area" localSheetId="6">'9'!$A$1:$J$34</definedName>
    <definedName name="_xlnm.Print_Area" localSheetId="19">'22'!$A$1:$J$33</definedName>
    <definedName name="_xlnm.Print_Area" localSheetId="20">'23'!$A$1:$J$37</definedName>
    <definedName name="_xlnm.Print_Area" localSheetId="25">'30'!$A$1:$J$36</definedName>
    <definedName name="_xlnm.Print_Area" localSheetId="1">'3'!$A$1:$J$34</definedName>
    <definedName name="_xlnm.Print_Area" localSheetId="7">'10'!$A$1:$J$36</definedName>
    <definedName name="_xlnm.Print_Area" localSheetId="13">'16'!$A$1:$J$38</definedName>
    <definedName name="_xlnm.Print_Area" localSheetId="14">'17'!$A$1:$J$36</definedName>
    <definedName name="_xlnm.Print_Area" localSheetId="26">'31'!$A$1:$J$35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<sst xmlns="http://schemas.openxmlformats.org/spreadsheetml/2006/main" count="1592" uniqueCount="217">
  <si>
    <t>武汉康恩农贸发展有限公司送货单</t>
  </si>
  <si>
    <t>收货单位：</t>
  </si>
  <si>
    <t>汉南数智化检测分公司</t>
  </si>
  <si>
    <t>配送日期：</t>
  </si>
  <si>
    <t>序号</t>
  </si>
  <si>
    <t>名称</t>
  </si>
  <si>
    <t>规格</t>
  </si>
  <si>
    <t>单位</t>
  </si>
  <si>
    <t>数量</t>
  </si>
  <si>
    <t>超市价格</t>
  </si>
  <si>
    <t>折扣率</t>
  </si>
  <si>
    <t>折后价</t>
  </si>
  <si>
    <t>折后金额</t>
  </si>
  <si>
    <t>备注</t>
  </si>
  <si>
    <t>（新鲜）河粉</t>
  </si>
  <si>
    <t>斤</t>
  </si>
  <si>
    <t>热干面（熟）</t>
  </si>
  <si>
    <t>大红薯</t>
  </si>
  <si>
    <t>西红柿</t>
  </si>
  <si>
    <t>大白菜</t>
  </si>
  <si>
    <t>【鲜】猪瘦肉丝</t>
  </si>
  <si>
    <t>芝麻酱</t>
  </si>
  <si>
    <t>散称</t>
  </si>
  <si>
    <t>供货合计:</t>
  </si>
  <si>
    <t>金额大写：</t>
  </si>
  <si>
    <t>制表人 ：樊君丽                 收货人：                送货人：</t>
  </si>
  <si>
    <t>红椒</t>
  </si>
  <si>
    <t>甜玉米棒</t>
  </si>
  <si>
    <t>个</t>
  </si>
  <si>
    <t>芜湖青椒</t>
  </si>
  <si>
    <t>紫长茄子（细长）</t>
  </si>
  <si>
    <t>生菜</t>
  </si>
  <si>
    <t>油麦菜</t>
  </si>
  <si>
    <t>厚干子</t>
  </si>
  <si>
    <t>嫩豆腐</t>
  </si>
  <si>
    <t>【鲜】精品五花</t>
  </si>
  <si>
    <t>【鲜】五花肉沫</t>
  </si>
  <si>
    <t>光明益生菌酸奶（原味）</t>
  </si>
  <si>
    <t>100g</t>
  </si>
  <si>
    <t>杯</t>
  </si>
  <si>
    <t>干细粉</t>
  </si>
  <si>
    <t>白萝卜</t>
  </si>
  <si>
    <t>金针菇</t>
  </si>
  <si>
    <t>【鲜】净三黄鸡</t>
  </si>
  <si>
    <t>【鲜】猪脊骨</t>
  </si>
  <si>
    <t>安琪酵母</t>
  </si>
  <si>
    <t>500g*20袋/件</t>
  </si>
  <si>
    <t>袋</t>
  </si>
  <si>
    <t>光明益生菌酸奶（红枣味）</t>
  </si>
  <si>
    <t>蒜米</t>
  </si>
  <si>
    <t>大藕</t>
  </si>
  <si>
    <t>大土豆</t>
  </si>
  <si>
    <t>平包菜</t>
  </si>
  <si>
    <t>花生米</t>
  </si>
  <si>
    <t>烤鸭</t>
  </si>
  <si>
    <t>只</t>
  </si>
  <si>
    <t>1911老酸奶</t>
  </si>
  <si>
    <t>馄饨皮</t>
  </si>
  <si>
    <t>饺子皮</t>
  </si>
  <si>
    <t>大葱</t>
  </si>
  <si>
    <t>小葱</t>
  </si>
  <si>
    <t>蒜苗</t>
  </si>
  <si>
    <t>有机花菜</t>
  </si>
  <si>
    <t>净莴苣</t>
  </si>
  <si>
    <t>红壳鸡蛋</t>
  </si>
  <si>
    <t>12板/件</t>
  </si>
  <si>
    <t>件</t>
  </si>
  <si>
    <t>【鲜】猪五花肉片</t>
  </si>
  <si>
    <t>净鳝鱼</t>
  </si>
  <si>
    <t>干莲子米（去芯）</t>
  </si>
  <si>
    <t>洪湖泡藕带</t>
  </si>
  <si>
    <t>400g*20袋</t>
  </si>
  <si>
    <t>卤牛肉</t>
  </si>
  <si>
    <t>八宝粥米</t>
  </si>
  <si>
    <t>干黄豆</t>
  </si>
  <si>
    <t>50斤/件</t>
  </si>
  <si>
    <t>黑米</t>
  </si>
  <si>
    <t>红米</t>
  </si>
  <si>
    <t>小米</t>
  </si>
  <si>
    <t>红皮洋葱</t>
  </si>
  <si>
    <t>平菇</t>
  </si>
  <si>
    <t>薄干子</t>
  </si>
  <si>
    <t>【鲜】猪通排骨</t>
  </si>
  <si>
    <t>白芝麻</t>
  </si>
  <si>
    <t>水发海带头</t>
  </si>
  <si>
    <t>18斤/件</t>
  </si>
  <si>
    <t>云鹤精制碘盐</t>
  </si>
  <si>
    <t>500g*50袋/件</t>
  </si>
  <si>
    <t>黄豆芽</t>
  </si>
  <si>
    <t>冬瓜</t>
  </si>
  <si>
    <t>鲜香菇</t>
  </si>
  <si>
    <t>韭菜</t>
  </si>
  <si>
    <t>白砂糖</t>
  </si>
  <si>
    <t>三象水磨籼米粉</t>
  </si>
  <si>
    <t>500g*20包/件</t>
  </si>
  <si>
    <t>包</t>
  </si>
  <si>
    <t>细苕粉</t>
  </si>
  <si>
    <t>金像牌面包用小麦粉</t>
  </si>
  <si>
    <t>22.7kg</t>
  </si>
  <si>
    <t>糯玉米棒（带叶）</t>
  </si>
  <si>
    <t>杏鲍菇</t>
  </si>
  <si>
    <t>细土芹</t>
  </si>
  <si>
    <t>【鲜】净黄骨鱼</t>
  </si>
  <si>
    <t>鑫怡久久海带丝</t>
  </si>
  <si>
    <t>19斤/件</t>
  </si>
  <si>
    <t>合鑫泰东北珍珠香米</t>
  </si>
  <si>
    <t>25kg/包</t>
  </si>
  <si>
    <t>鲁花压榨玉米油</t>
  </si>
  <si>
    <t>5L*4壶</t>
  </si>
  <si>
    <t>壶</t>
  </si>
  <si>
    <t>大圆皮</t>
  </si>
  <si>
    <t>海鲜菇</t>
  </si>
  <si>
    <t>菠菜</t>
  </si>
  <si>
    <t>香蕉</t>
  </si>
  <si>
    <t>水塔陈醋</t>
  </si>
  <si>
    <t>天车甜面酱</t>
  </si>
  <si>
    <t>500g*12瓶/件</t>
  </si>
  <si>
    <t>瓶</t>
  </si>
  <si>
    <t>优质干腐竹</t>
  </si>
  <si>
    <t>肉圆</t>
  </si>
  <si>
    <t>福达坊芝麻香油</t>
  </si>
  <si>
    <t>360ml*12瓶</t>
  </si>
  <si>
    <t>正和珍珠糯米</t>
  </si>
  <si>
    <t>50斤/袋</t>
  </si>
  <si>
    <t>生姜</t>
  </si>
  <si>
    <t>四季豆</t>
  </si>
  <si>
    <t>新鲜毛豆米</t>
  </si>
  <si>
    <t>香梨</t>
  </si>
  <si>
    <t>【鲜】净大草鱼</t>
  </si>
  <si>
    <t>思念白糯小汤圆（无馅）</t>
  </si>
  <si>
    <t>50kg/袋</t>
  </si>
  <si>
    <t>干红辣椒皮</t>
  </si>
  <si>
    <t>辣椒面</t>
  </si>
  <si>
    <t>孝感米酒900g</t>
  </si>
  <si>
    <t>900g*6瓶/件</t>
  </si>
  <si>
    <t>卤牛肚</t>
  </si>
  <si>
    <t>手撕鸡</t>
  </si>
  <si>
    <t>光明健能酸奶180g</t>
  </si>
  <si>
    <t>180g</t>
  </si>
  <si>
    <t>青杭椒</t>
  </si>
  <si>
    <t>绿豆芽</t>
  </si>
  <si>
    <t>胡萝卜</t>
  </si>
  <si>
    <t>黄瓜</t>
  </si>
  <si>
    <t>皮蛋</t>
  </si>
  <si>
    <t>180个/件</t>
  </si>
  <si>
    <t>【鲜】净麻鸭</t>
  </si>
  <si>
    <t>惠万家烟鸭胸</t>
  </si>
  <si>
    <t>5公斤/件/（32个）</t>
  </si>
  <si>
    <t>大桥鸡精900g</t>
  </si>
  <si>
    <t>900g*10袋/件</t>
  </si>
  <si>
    <t>老南瓜</t>
  </si>
  <si>
    <t>瓠子</t>
  </si>
  <si>
    <t>娃娃菜</t>
  </si>
  <si>
    <t>散装</t>
  </si>
  <si>
    <t>橙子</t>
  </si>
  <si>
    <t>熟鹌鹑蛋</t>
  </si>
  <si>
    <t>【鲜】净胖头鱼头</t>
  </si>
  <si>
    <t>雀巢怡运奶粉</t>
  </si>
  <si>
    <t>300g*12袋</t>
  </si>
  <si>
    <t>王守义十三香</t>
  </si>
  <si>
    <t>45g*10盒/条</t>
  </si>
  <si>
    <t>盒</t>
  </si>
  <si>
    <t>铁棍山药</t>
  </si>
  <si>
    <t>面筋</t>
  </si>
  <si>
    <t>生面窝浆</t>
  </si>
  <si>
    <t>青大蒜</t>
  </si>
  <si>
    <t>菱角米（去壳）</t>
  </si>
  <si>
    <t>西兰花</t>
  </si>
  <si>
    <t>圣女果</t>
  </si>
  <si>
    <t>素鸡</t>
  </si>
  <si>
    <t>【鲜】净小鲫鱼</t>
  </si>
  <si>
    <t>2-3两</t>
  </si>
  <si>
    <t>鱿鱼须</t>
  </si>
  <si>
    <t>350g*10袋</t>
  </si>
  <si>
    <t>鸡汁脆笋</t>
  </si>
  <si>
    <t>30袋/件</t>
  </si>
  <si>
    <t>坛坛乡剁椒1.15kg</t>
  </si>
  <si>
    <t>1.15kg*6瓶/件</t>
  </si>
  <si>
    <t>鑫海贸紫菜50g</t>
  </si>
  <si>
    <t>50g*48包</t>
  </si>
  <si>
    <t>金龙鱼玉米油</t>
  </si>
  <si>
    <t>5L*4壶/件</t>
  </si>
  <si>
    <t>小白菜</t>
  </si>
  <si>
    <t>85苹果</t>
  </si>
  <si>
    <t>【鲜】猪瘦肉片</t>
  </si>
  <si>
    <t>海天精制蚝油6kg</t>
  </si>
  <si>
    <t>6kg*2桶</t>
  </si>
  <si>
    <t>桶</t>
  </si>
  <si>
    <t>陶华碧老干妈</t>
  </si>
  <si>
    <t>280g*24瓶/件</t>
  </si>
  <si>
    <t>青豆角</t>
  </si>
  <si>
    <t>西芹</t>
  </si>
  <si>
    <t>青丝瓜</t>
  </si>
  <si>
    <t>桔子</t>
  </si>
  <si>
    <t>【鲜】猪血</t>
  </si>
  <si>
    <t>【鲜】净牛蛙</t>
  </si>
  <si>
    <t>蒸肉白米粉(细）</t>
  </si>
  <si>
    <t>文武酱菜外婆菜</t>
  </si>
  <si>
    <t>208g*40包/件</t>
  </si>
  <si>
    <t>永超榨菜</t>
  </si>
  <si>
    <t>8斤</t>
  </si>
  <si>
    <t>劲宝超级生粉</t>
  </si>
  <si>
    <t>5kg</t>
  </si>
  <si>
    <t>鸡脯肉丁</t>
  </si>
  <si>
    <t>烧麦皮</t>
  </si>
  <si>
    <t>白豆角</t>
  </si>
  <si>
    <t>带皮蒜头</t>
  </si>
  <si>
    <t>鑫石羊郫县豆瓣酱4KG</t>
  </si>
  <si>
    <t>4KG/桶*4桶/件</t>
  </si>
  <si>
    <t>鲁至尊面粉</t>
  </si>
  <si>
    <t>25kg</t>
  </si>
  <si>
    <t>娃娃菜（袋）</t>
  </si>
  <si>
    <t>净乌鸡（鲜）</t>
  </si>
  <si>
    <t>39号食堂</t>
  </si>
  <si>
    <t>日期</t>
  </si>
  <si>
    <t>金额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</si>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</sst>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[DBNum2][$RMB]General;[Red][DBNum2][$RMB]General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6"/>
      <color rgb="FF000000"/>
      <name val="宋体"/>
      <charset val="134"/>
    </font>
    <font>
      <sz val="11"/>
      <name val="宋体"/>
      <charset val="134"/>
    </font>
    <font>
      <sz val="11"/>
      <color theme="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workbookViewId="0">
      <selection activeCell="F12" sqref="F12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4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30" width="11.6666666666667" style="4" customWidth="1"/>
    <col min="16331" max="16331" width="11.6666666666667" style="4"/>
    <col min="16332" max="16337" width="11" style="4"/>
    <col min="16338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2">
      <c r="A3" s="4" t="s">
        <v>1</v>
      </c>
      <c r="B3" s="4" t="s">
        <v>2</v>
      </c>
    </row>
    <row r="4" s="4" customFormat="1" customHeight="1" spans="1:10">
      <c r="A4" s="4" t="s">
        <v>3</v>
      </c>
      <c r="B4" s="9">
        <v>45201</v>
      </c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6</v>
      </c>
      <c r="F6" s="14">
        <f t="shared" ref="F6:F12" si="0">H6/0.85</f>
        <v>3.52941176470588</v>
      </c>
      <c r="G6" s="15">
        <f t="shared" ref="G6:G12" si="1">H6/F6</f>
        <v>0.85</v>
      </c>
      <c r="H6" s="16">
        <v>3</v>
      </c>
      <c r="I6" s="16">
        <f t="shared" ref="I6:I12" si="2">E6*H6</f>
        <v>18</v>
      </c>
      <c r="J6" s="12"/>
    </row>
    <row r="7" s="4" customFormat="1" ht="16" customHeight="1" spans="1:10">
      <c r="A7" s="12">
        <v>2</v>
      </c>
      <c r="B7" s="12" t="s">
        <v>16</v>
      </c>
      <c r="C7" s="12"/>
      <c r="D7" s="13" t="s">
        <v>15</v>
      </c>
      <c r="E7" s="13">
        <v>5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17.5</v>
      </c>
      <c r="J7" s="12"/>
    </row>
    <row r="8" s="4" customFormat="1" ht="16" customHeight="1" spans="1:10">
      <c r="A8" s="12">
        <v>3</v>
      </c>
      <c r="B8" s="12" t="s">
        <v>17</v>
      </c>
      <c r="C8" s="12"/>
      <c r="D8" s="13" t="s">
        <v>15</v>
      </c>
      <c r="E8" s="13">
        <v>7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24.5</v>
      </c>
      <c r="J8" s="12"/>
    </row>
    <row r="9" s="4" customFormat="1" ht="16" customHeight="1" spans="1:10">
      <c r="A9" s="12">
        <v>4</v>
      </c>
      <c r="B9" s="17" t="s">
        <v>18</v>
      </c>
      <c r="C9" s="17"/>
      <c r="D9" s="13" t="s">
        <v>15</v>
      </c>
      <c r="E9" s="13">
        <v>3</v>
      </c>
      <c r="F9" s="14">
        <f t="shared" si="0"/>
        <v>4.47058823529412</v>
      </c>
      <c r="G9" s="15">
        <f t="shared" si="1"/>
        <v>0.85</v>
      </c>
      <c r="H9" s="16">
        <v>3.8</v>
      </c>
      <c r="I9" s="16">
        <f t="shared" si="2"/>
        <v>11.4</v>
      </c>
      <c r="J9" s="12"/>
    </row>
    <row r="10" s="4" customFormat="1" ht="16" customHeight="1" spans="1:10">
      <c r="A10" s="12">
        <v>5</v>
      </c>
      <c r="B10" s="17" t="s">
        <v>19</v>
      </c>
      <c r="C10" s="17"/>
      <c r="D10" s="13" t="s">
        <v>15</v>
      </c>
      <c r="E10" s="13">
        <v>8</v>
      </c>
      <c r="F10" s="14">
        <f t="shared" si="0"/>
        <v>2.11764705882353</v>
      </c>
      <c r="G10" s="15">
        <f t="shared" si="1"/>
        <v>0.85</v>
      </c>
      <c r="H10" s="16">
        <v>1.8</v>
      </c>
      <c r="I10" s="16">
        <f t="shared" si="2"/>
        <v>14.4</v>
      </c>
      <c r="J10" s="12"/>
    </row>
    <row r="11" s="4" customFormat="1" ht="16" customHeight="1" spans="1:10">
      <c r="A11" s="12">
        <v>6</v>
      </c>
      <c r="B11" s="12" t="s">
        <v>20</v>
      </c>
      <c r="C11" s="12"/>
      <c r="D11" s="13" t="s">
        <v>15</v>
      </c>
      <c r="E11" s="13">
        <v>4</v>
      </c>
      <c r="F11" s="14">
        <f t="shared" si="0"/>
        <v>25.8823529411765</v>
      </c>
      <c r="G11" s="15">
        <f t="shared" si="1"/>
        <v>0.85</v>
      </c>
      <c r="H11" s="16">
        <v>22</v>
      </c>
      <c r="I11" s="16">
        <f t="shared" si="2"/>
        <v>88</v>
      </c>
      <c r="J11" s="12"/>
    </row>
    <row r="12" s="4" customFormat="1" ht="16" customHeight="1" spans="1:10">
      <c r="A12" s="12">
        <v>7</v>
      </c>
      <c r="B12" s="12" t="s">
        <v>21</v>
      </c>
      <c r="C12" s="12" t="s">
        <v>22</v>
      </c>
      <c r="D12" s="13" t="s">
        <v>15</v>
      </c>
      <c r="E12" s="13">
        <v>3</v>
      </c>
      <c r="F12" s="14">
        <f t="shared" si="0"/>
        <v>14.1176470588235</v>
      </c>
      <c r="G12" s="15">
        <f t="shared" si="1"/>
        <v>0.85</v>
      </c>
      <c r="H12" s="16">
        <v>12</v>
      </c>
      <c r="I12" s="16">
        <f t="shared" si="2"/>
        <v>36</v>
      </c>
      <c r="J12" s="12"/>
    </row>
    <row r="13" s="4" customFormat="1" ht="16" customHeight="1" spans="1:10">
      <c r="A13" s="12">
        <v>8</v>
      </c>
      <c r="B13" s="12"/>
      <c r="C13" s="12"/>
      <c r="D13" s="13"/>
      <c r="E13" s="13"/>
      <c r="F13" s="14"/>
      <c r="G13" s="15"/>
      <c r="H13" s="16"/>
      <c r="I13" s="16"/>
      <c r="J13" s="12"/>
    </row>
    <row r="14" s="4" customFormat="1" ht="16" customHeight="1" spans="1:10">
      <c r="A14" s="12">
        <v>9</v>
      </c>
      <c r="B14" s="17"/>
      <c r="C14" s="17"/>
      <c r="D14" s="18"/>
      <c r="E14" s="18"/>
      <c r="F14" s="14"/>
      <c r="G14" s="15"/>
      <c r="H14" s="19"/>
      <c r="I14" s="16"/>
      <c r="J14" s="17"/>
    </row>
    <row r="15" s="4" customFormat="1" ht="16" customHeight="1" spans="1:10">
      <c r="A15" s="12">
        <v>10</v>
      </c>
      <c r="B15" s="17"/>
      <c r="C15" s="17"/>
      <c r="D15" s="18"/>
      <c r="E15" s="18"/>
      <c r="F15" s="14"/>
      <c r="G15" s="15"/>
      <c r="H15" s="19"/>
      <c r="I15" s="16"/>
      <c r="J15" s="17"/>
    </row>
    <row r="16" s="4" customFormat="1" ht="16" customHeight="1" spans="1:10">
      <c r="A16" s="12">
        <v>12</v>
      </c>
      <c r="B16" s="17"/>
      <c r="C16" s="17"/>
      <c r="D16" s="18"/>
      <c r="E16" s="18"/>
      <c r="F16" s="14"/>
      <c r="G16" s="15"/>
      <c r="H16" s="19"/>
      <c r="I16" s="16"/>
      <c r="J16" s="17"/>
    </row>
    <row r="17" s="4" customFormat="1" ht="16" customHeight="1" spans="1:10">
      <c r="A17" s="12">
        <v>13</v>
      </c>
      <c r="B17" s="17"/>
      <c r="C17" s="17"/>
      <c r="D17" s="18"/>
      <c r="E17" s="18"/>
      <c r="F17" s="14"/>
      <c r="G17" s="15"/>
      <c r="H17" s="19"/>
      <c r="I17" s="16"/>
      <c r="J17" s="17"/>
    </row>
    <row r="18" s="4" customFormat="1" ht="16" customHeight="1" spans="1:10">
      <c r="A18" s="12">
        <v>14</v>
      </c>
      <c r="B18" s="17"/>
      <c r="C18" s="17"/>
      <c r="D18" s="18"/>
      <c r="E18" s="18"/>
      <c r="F18" s="14"/>
      <c r="G18" s="15"/>
      <c r="H18" s="19"/>
      <c r="I18" s="16"/>
      <c r="J18" s="17"/>
    </row>
    <row r="19" s="4" customFormat="1" ht="16" customHeight="1" spans="1:10">
      <c r="A19" s="12">
        <v>15</v>
      </c>
      <c r="B19" s="28"/>
      <c r="C19" s="12"/>
      <c r="D19" s="13"/>
      <c r="E19" s="13"/>
      <c r="F19" s="14"/>
      <c r="G19" s="15"/>
      <c r="H19" s="19"/>
      <c r="I19" s="16"/>
      <c r="J19" s="12"/>
    </row>
    <row r="20" s="4" customFormat="1" ht="16" customHeight="1" spans="1:10">
      <c r="A20" s="12">
        <v>16</v>
      </c>
      <c r="B20" s="17"/>
      <c r="C20" s="17"/>
      <c r="D20" s="18"/>
      <c r="E20" s="18"/>
      <c r="F20" s="14"/>
      <c r="G20" s="15"/>
      <c r="H20" s="19"/>
      <c r="I20" s="16"/>
      <c r="J20" s="17"/>
    </row>
    <row r="21" s="4" customFormat="1" ht="16" customHeight="1" spans="1:10">
      <c r="A21" s="12">
        <v>17</v>
      </c>
      <c r="B21" s="17"/>
      <c r="C21" s="17"/>
      <c r="D21" s="18"/>
      <c r="E21" s="18"/>
      <c r="F21" s="14"/>
      <c r="G21" s="15"/>
      <c r="H21" s="19"/>
      <c r="I21" s="16"/>
      <c r="J21" s="17"/>
    </row>
    <row r="22" s="4" customFormat="1" ht="16" customHeight="1" spans="1:10">
      <c r="A22" s="12">
        <v>18</v>
      </c>
      <c r="B22" s="17"/>
      <c r="C22" s="17"/>
      <c r="D22" s="18"/>
      <c r="E22" s="18"/>
      <c r="F22" s="14"/>
      <c r="G22" s="15"/>
      <c r="H22" s="19"/>
      <c r="I22" s="16"/>
      <c r="J22" s="17"/>
    </row>
    <row r="23" s="4" customFormat="1" ht="16" customHeight="1" spans="1:10">
      <c r="A23" s="12">
        <v>19</v>
      </c>
      <c r="B23" s="17"/>
      <c r="C23" s="17"/>
      <c r="D23" s="17"/>
      <c r="E23" s="18"/>
      <c r="F23" s="14"/>
      <c r="G23" s="15"/>
      <c r="H23" s="19"/>
      <c r="I23" s="16"/>
      <c r="J23" s="17"/>
    </row>
    <row r="24" s="4" customFormat="1" ht="16" customHeight="1" spans="1:10">
      <c r="A24" s="12">
        <v>20</v>
      </c>
      <c r="B24" s="17"/>
      <c r="C24" s="17"/>
      <c r="D24" s="18"/>
      <c r="E24" s="18"/>
      <c r="F24" s="14"/>
      <c r="G24" s="15"/>
      <c r="H24" s="19"/>
      <c r="I24" s="16"/>
      <c r="J24" s="17"/>
    </row>
    <row r="25" s="4" customFormat="1" ht="16" customHeight="1" spans="1:10">
      <c r="A25" s="12">
        <v>21</v>
      </c>
      <c r="B25" s="17"/>
      <c r="C25" s="17"/>
      <c r="D25" s="18"/>
      <c r="E25" s="18"/>
      <c r="F25" s="14"/>
      <c r="G25" s="15"/>
      <c r="H25" s="19"/>
      <c r="I25" s="16"/>
      <c r="J25" s="17"/>
    </row>
    <row r="26" s="4" customFormat="1" ht="16" customHeight="1" spans="1:10">
      <c r="A26" s="12">
        <v>22</v>
      </c>
      <c r="B26" s="12"/>
      <c r="C26" s="12"/>
      <c r="D26" s="13"/>
      <c r="E26" s="13"/>
      <c r="F26" s="14"/>
      <c r="G26" s="15"/>
      <c r="H26" s="16"/>
      <c r="I26" s="16"/>
      <c r="J26" s="12"/>
    </row>
    <row r="27" s="4" customFormat="1" ht="16" customHeight="1" spans="1:10">
      <c r="A27" s="12">
        <v>23</v>
      </c>
      <c r="B27" s="17"/>
      <c r="C27" s="17"/>
      <c r="D27" s="13"/>
      <c r="E27" s="13"/>
      <c r="F27" s="14"/>
      <c r="G27" s="15"/>
      <c r="H27" s="16"/>
      <c r="I27" s="16"/>
      <c r="J27" s="12"/>
    </row>
    <row r="28" s="4" customFormat="1" ht="16" customHeight="1" spans="1:10">
      <c r="A28" s="12">
        <v>24</v>
      </c>
      <c r="B28" s="17"/>
      <c r="C28" s="17"/>
      <c r="D28" s="17"/>
      <c r="E28" s="18"/>
      <c r="F28" s="14"/>
      <c r="G28" s="15"/>
      <c r="H28" s="16"/>
      <c r="I28" s="16"/>
      <c r="J28" s="17"/>
    </row>
    <row r="29" s="4" customFormat="1" ht="16" customHeight="1" spans="1:10">
      <c r="A29" s="12">
        <v>25</v>
      </c>
      <c r="B29" s="12"/>
      <c r="C29" s="12"/>
      <c r="D29" s="17"/>
      <c r="E29" s="13"/>
      <c r="F29" s="14"/>
      <c r="G29" s="15"/>
      <c r="H29" s="16"/>
      <c r="I29" s="16"/>
      <c r="J29" s="12"/>
    </row>
    <row r="30" s="4" customFormat="1" ht="16" customHeight="1" spans="1:10">
      <c r="A30" s="12">
        <v>26</v>
      </c>
      <c r="B30" s="28"/>
      <c r="C30" s="12"/>
      <c r="D30" s="17"/>
      <c r="E30" s="13"/>
      <c r="F30" s="14"/>
      <c r="G30" s="15"/>
      <c r="H30" s="16"/>
      <c r="I30" s="16"/>
      <c r="J30" s="12"/>
    </row>
    <row r="31" s="4" customFormat="1" ht="16" customHeight="1" spans="1:10">
      <c r="A31" s="12">
        <v>27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4" customFormat="1" ht="16" customHeight="1" spans="1:10">
      <c r="A32" s="12">
        <v>28</v>
      </c>
      <c r="B32" s="12"/>
      <c r="C32" s="12"/>
      <c r="D32" s="12"/>
      <c r="E32" s="13"/>
      <c r="F32" s="14"/>
      <c r="G32" s="15"/>
      <c r="H32" s="16"/>
      <c r="I32" s="16"/>
      <c r="J32" s="12"/>
    </row>
    <row r="33" s="4" customFormat="1" customHeight="1" spans="1:10">
      <c r="A33" s="12" t="s">
        <v>23</v>
      </c>
      <c r="B33" s="20">
        <f>SUM(I6:I32)</f>
        <v>209.8</v>
      </c>
      <c r="C33" s="21"/>
      <c r="D33" s="21"/>
      <c r="E33" s="21"/>
      <c r="F33" s="21"/>
      <c r="G33" s="21"/>
      <c r="H33" s="21"/>
      <c r="I33" s="21"/>
      <c r="J33" s="25"/>
    </row>
    <row r="34" s="4" customFormat="1" customHeight="1" spans="1:10">
      <c r="A34" s="12" t="s">
        <v>24</v>
      </c>
      <c r="B34" s="23">
        <f>B33</f>
        <v>209.8</v>
      </c>
      <c r="C34" s="24"/>
      <c r="D34" s="24"/>
      <c r="E34" s="24"/>
      <c r="F34" s="24"/>
      <c r="G34" s="24"/>
      <c r="H34" s="24"/>
      <c r="I34" s="24"/>
      <c r="J34" s="26"/>
    </row>
    <row r="35" s="4" customFormat="1" customHeight="1" spans="1:1">
      <c r="A35" s="4" t="s">
        <v>25</v>
      </c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3" workbookViewId="0">
      <selection activeCell="A20" sqref="$A20:$XFD20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4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30" width="11.6666666666667" style="4" customWidth="1"/>
    <col min="16331" max="16331" width="11.6666666666667" style="4"/>
    <col min="16332" max="16337" width="11" style="4"/>
    <col min="16338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2">
      <c r="A3" s="4" t="s">
        <v>1</v>
      </c>
      <c r="B3" s="4" t="s">
        <v>2</v>
      </c>
    </row>
    <row r="4" s="4" customFormat="1" customHeight="1" spans="1:10">
      <c r="A4" s="4" t="s">
        <v>3</v>
      </c>
      <c r="B4" s="9">
        <v>45202</v>
      </c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5</v>
      </c>
      <c r="F6" s="14">
        <f t="shared" ref="F6:F12" si="0">H6/0.85</f>
        <v>3.52941176470588</v>
      </c>
      <c r="G6" s="15">
        <f t="shared" ref="G6:G12" si="1">H6/F6</f>
        <v>0.85</v>
      </c>
      <c r="H6" s="16">
        <v>3</v>
      </c>
      <c r="I6" s="16">
        <f t="shared" ref="I6:I12" si="2">E6*H6</f>
        <v>15</v>
      </c>
      <c r="J6" s="12"/>
    </row>
    <row r="7" s="4" customFormat="1" ht="16" customHeight="1" spans="1:10">
      <c r="A7" s="12">
        <v>2</v>
      </c>
      <c r="B7" s="12" t="s">
        <v>16</v>
      </c>
      <c r="C7" s="12"/>
      <c r="D7" s="13" t="s">
        <v>15</v>
      </c>
      <c r="E7" s="13">
        <v>5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17.5</v>
      </c>
      <c r="J7" s="12"/>
    </row>
    <row r="8" s="4" customFormat="1" ht="16" customHeight="1" spans="1:10">
      <c r="A8" s="12">
        <v>3</v>
      </c>
      <c r="B8" s="12" t="s">
        <v>17</v>
      </c>
      <c r="C8" s="12"/>
      <c r="D8" s="13" t="s">
        <v>15</v>
      </c>
      <c r="E8" s="13">
        <v>10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35</v>
      </c>
      <c r="J8" s="12"/>
    </row>
    <row r="9" s="4" customFormat="1" ht="16" customHeight="1" spans="1:10">
      <c r="A9" s="12">
        <v>4</v>
      </c>
      <c r="B9" s="17" t="s">
        <v>26</v>
      </c>
      <c r="C9" s="17"/>
      <c r="D9" s="13" t="s">
        <v>15</v>
      </c>
      <c r="E9" s="13">
        <v>2</v>
      </c>
      <c r="F9" s="14">
        <f t="shared" si="0"/>
        <v>9.17647058823529</v>
      </c>
      <c r="G9" s="15">
        <f t="shared" si="1"/>
        <v>0.85</v>
      </c>
      <c r="H9" s="16">
        <v>7.8</v>
      </c>
      <c r="I9" s="16">
        <f t="shared" si="2"/>
        <v>15.6</v>
      </c>
      <c r="J9" s="12"/>
    </row>
    <row r="10" s="4" customFormat="1" ht="16" customHeight="1" spans="1:10">
      <c r="A10" s="12">
        <v>5</v>
      </c>
      <c r="B10" s="17" t="s">
        <v>27</v>
      </c>
      <c r="C10" s="17"/>
      <c r="D10" s="13" t="s">
        <v>28</v>
      </c>
      <c r="E10" s="13">
        <v>8</v>
      </c>
      <c r="F10" s="14">
        <f t="shared" si="0"/>
        <v>3.52941176470588</v>
      </c>
      <c r="G10" s="15">
        <f t="shared" si="1"/>
        <v>0.85</v>
      </c>
      <c r="H10" s="16">
        <v>3</v>
      </c>
      <c r="I10" s="16">
        <f t="shared" si="2"/>
        <v>24</v>
      </c>
      <c r="J10" s="12"/>
    </row>
    <row r="11" s="4" customFormat="1" ht="16" customHeight="1" spans="1:10">
      <c r="A11" s="12">
        <v>6</v>
      </c>
      <c r="B11" s="12" t="s">
        <v>29</v>
      </c>
      <c r="C11" s="12"/>
      <c r="D11" s="13" t="s">
        <v>15</v>
      </c>
      <c r="E11" s="13">
        <v>2</v>
      </c>
      <c r="F11" s="14">
        <f t="shared" si="0"/>
        <v>6.47058823529412</v>
      </c>
      <c r="G11" s="15">
        <f t="shared" si="1"/>
        <v>0.85</v>
      </c>
      <c r="H11" s="16">
        <v>5.5</v>
      </c>
      <c r="I11" s="16">
        <f t="shared" si="2"/>
        <v>11</v>
      </c>
      <c r="J11" s="12"/>
    </row>
    <row r="12" s="4" customFormat="1" ht="16" customHeight="1" spans="1:10">
      <c r="A12" s="12">
        <v>7</v>
      </c>
      <c r="B12" s="12" t="s">
        <v>18</v>
      </c>
      <c r="C12" s="12"/>
      <c r="D12" s="13" t="s">
        <v>15</v>
      </c>
      <c r="E12" s="13">
        <v>3</v>
      </c>
      <c r="F12" s="14">
        <f t="shared" si="0"/>
        <v>4.47058823529412</v>
      </c>
      <c r="G12" s="15">
        <f t="shared" si="1"/>
        <v>0.85</v>
      </c>
      <c r="H12" s="16">
        <v>3.8</v>
      </c>
      <c r="I12" s="16">
        <f t="shared" si="2"/>
        <v>11.4</v>
      </c>
      <c r="J12" s="12"/>
    </row>
    <row r="13" s="4" customFormat="1" ht="16" customHeight="1" spans="1:10">
      <c r="A13" s="12">
        <v>8</v>
      </c>
      <c r="B13" s="12" t="s">
        <v>30</v>
      </c>
      <c r="C13" s="12"/>
      <c r="D13" s="13" t="s">
        <v>15</v>
      </c>
      <c r="E13" s="13">
        <v>6</v>
      </c>
      <c r="F13" s="14">
        <f t="shared" ref="F13:F21" si="3">H13/0.85</f>
        <v>4.47058823529412</v>
      </c>
      <c r="G13" s="15">
        <f t="shared" ref="G13:G21" si="4">H13/F13</f>
        <v>0.85</v>
      </c>
      <c r="H13" s="16">
        <v>3.8</v>
      </c>
      <c r="I13" s="16">
        <f t="shared" ref="I13:I21" si="5">E13*H13</f>
        <v>22.8</v>
      </c>
      <c r="J13" s="12"/>
    </row>
    <row r="14" s="4" customFormat="1" ht="16" customHeight="1" spans="1:10">
      <c r="A14" s="12">
        <v>9</v>
      </c>
      <c r="B14" s="17" t="s">
        <v>31</v>
      </c>
      <c r="C14" s="17"/>
      <c r="D14" s="18" t="s">
        <v>15</v>
      </c>
      <c r="E14" s="18">
        <v>7</v>
      </c>
      <c r="F14" s="14">
        <f t="shared" si="3"/>
        <v>5.64705882352941</v>
      </c>
      <c r="G14" s="15">
        <f t="shared" si="4"/>
        <v>0.85</v>
      </c>
      <c r="H14" s="16">
        <v>4.8</v>
      </c>
      <c r="I14" s="16">
        <f t="shared" si="5"/>
        <v>33.6</v>
      </c>
      <c r="J14" s="17"/>
    </row>
    <row r="15" s="4" customFormat="1" ht="16" customHeight="1" spans="1:10">
      <c r="A15" s="12">
        <v>10</v>
      </c>
      <c r="B15" s="17" t="s">
        <v>32</v>
      </c>
      <c r="C15" s="17"/>
      <c r="D15" s="18" t="s">
        <v>15</v>
      </c>
      <c r="E15" s="18">
        <v>7</v>
      </c>
      <c r="F15" s="14">
        <f t="shared" si="3"/>
        <v>5.29411764705882</v>
      </c>
      <c r="G15" s="15">
        <f t="shared" si="4"/>
        <v>0.85</v>
      </c>
      <c r="H15" s="16">
        <v>4.5</v>
      </c>
      <c r="I15" s="16">
        <f t="shared" si="5"/>
        <v>31.5</v>
      </c>
      <c r="J15" s="17"/>
    </row>
    <row r="16" s="4" customFormat="1" ht="16" customHeight="1" spans="1:10">
      <c r="A16" s="12">
        <v>12</v>
      </c>
      <c r="B16" s="17" t="s">
        <v>33</v>
      </c>
      <c r="C16" s="17"/>
      <c r="D16" s="18" t="s">
        <v>15</v>
      </c>
      <c r="E16" s="18">
        <v>6</v>
      </c>
      <c r="F16" s="14">
        <f t="shared" si="3"/>
        <v>8</v>
      </c>
      <c r="G16" s="15">
        <f t="shared" si="4"/>
        <v>0.85</v>
      </c>
      <c r="H16" s="16">
        <v>6.8</v>
      </c>
      <c r="I16" s="16">
        <f t="shared" si="5"/>
        <v>40.8</v>
      </c>
      <c r="J16" s="17"/>
    </row>
    <row r="17" s="4" customFormat="1" ht="16" customHeight="1" spans="1:10">
      <c r="A17" s="12">
        <v>13</v>
      </c>
      <c r="B17" s="17" t="s">
        <v>34</v>
      </c>
      <c r="C17" s="17"/>
      <c r="D17" s="18" t="s">
        <v>15</v>
      </c>
      <c r="E17" s="18">
        <v>8</v>
      </c>
      <c r="F17" s="14">
        <f t="shared" si="3"/>
        <v>4.11764705882353</v>
      </c>
      <c r="G17" s="15">
        <f t="shared" si="4"/>
        <v>0.85</v>
      </c>
      <c r="H17" s="16">
        <v>3.5</v>
      </c>
      <c r="I17" s="16">
        <f t="shared" si="5"/>
        <v>28</v>
      </c>
      <c r="J17" s="17"/>
    </row>
    <row r="18" s="4" customFormat="1" ht="16" customHeight="1" spans="1:10">
      <c r="A18" s="12">
        <v>14</v>
      </c>
      <c r="B18" s="17" t="s">
        <v>35</v>
      </c>
      <c r="C18" s="17"/>
      <c r="D18" s="18" t="s">
        <v>15</v>
      </c>
      <c r="E18" s="18">
        <v>6</v>
      </c>
      <c r="F18" s="14">
        <f t="shared" si="3"/>
        <v>24.4705882352941</v>
      </c>
      <c r="G18" s="15">
        <f t="shared" si="4"/>
        <v>0.85</v>
      </c>
      <c r="H18" s="16">
        <v>20.8</v>
      </c>
      <c r="I18" s="16">
        <f t="shared" si="5"/>
        <v>124.8</v>
      </c>
      <c r="J18" s="17"/>
    </row>
    <row r="19" s="4" customFormat="1" ht="16" customHeight="1" spans="1:10">
      <c r="A19" s="12">
        <v>15</v>
      </c>
      <c r="B19" s="28" t="s">
        <v>36</v>
      </c>
      <c r="C19" s="12"/>
      <c r="D19" s="13" t="s">
        <v>15</v>
      </c>
      <c r="E19" s="13">
        <v>5</v>
      </c>
      <c r="F19" s="14">
        <f t="shared" si="3"/>
        <v>19.7647058823529</v>
      </c>
      <c r="G19" s="15">
        <f t="shared" si="4"/>
        <v>0.85</v>
      </c>
      <c r="H19" s="16">
        <v>16.8</v>
      </c>
      <c r="I19" s="16">
        <f t="shared" si="5"/>
        <v>84</v>
      </c>
      <c r="J19" s="12"/>
    </row>
    <row r="20" s="4" customFormat="1" ht="16" customHeight="1" spans="1:10">
      <c r="A20" s="12">
        <v>17</v>
      </c>
      <c r="B20" s="17" t="s">
        <v>37</v>
      </c>
      <c r="C20" s="17" t="s">
        <v>38</v>
      </c>
      <c r="D20" s="18" t="s">
        <v>39</v>
      </c>
      <c r="E20" s="18">
        <v>20</v>
      </c>
      <c r="F20" s="14">
        <f>H20/0.85</f>
        <v>1.76470588235294</v>
      </c>
      <c r="G20" s="15">
        <f>H20/F20</f>
        <v>0.85</v>
      </c>
      <c r="H20" s="16">
        <v>1.5</v>
      </c>
      <c r="I20" s="16">
        <f>E20*H20</f>
        <v>30</v>
      </c>
      <c r="J20" s="17"/>
    </row>
    <row r="21" s="4" customFormat="1" ht="16" customHeight="1" spans="1:10">
      <c r="A21" s="12">
        <v>18</v>
      </c>
      <c r="B21" s="17"/>
      <c r="C21" s="17"/>
      <c r="D21" s="18"/>
      <c r="E21" s="18"/>
      <c r="F21" s="14"/>
      <c r="G21" s="15"/>
      <c r="H21" s="19"/>
      <c r="I21" s="16"/>
      <c r="J21" s="17"/>
    </row>
    <row r="22" s="4" customFormat="1" ht="16" customHeight="1" spans="1:10">
      <c r="A22" s="12">
        <v>19</v>
      </c>
      <c r="B22" s="17"/>
      <c r="C22" s="17"/>
      <c r="D22" s="17"/>
      <c r="E22" s="18"/>
      <c r="F22" s="14"/>
      <c r="G22" s="15"/>
      <c r="H22" s="19"/>
      <c r="I22" s="16"/>
      <c r="J22" s="17"/>
    </row>
    <row r="23" s="4" customFormat="1" ht="16" customHeight="1" spans="1:10">
      <c r="A23" s="12">
        <v>20</v>
      </c>
      <c r="B23" s="17"/>
      <c r="C23" s="17"/>
      <c r="D23" s="18"/>
      <c r="E23" s="18"/>
      <c r="F23" s="14"/>
      <c r="G23" s="15"/>
      <c r="H23" s="19"/>
      <c r="I23" s="16"/>
      <c r="J23" s="17"/>
    </row>
    <row r="24" s="4" customFormat="1" ht="16" customHeight="1" spans="1:10">
      <c r="A24" s="12">
        <v>21</v>
      </c>
      <c r="B24" s="17"/>
      <c r="C24" s="17"/>
      <c r="D24" s="18"/>
      <c r="E24" s="18"/>
      <c r="F24" s="14"/>
      <c r="G24" s="15"/>
      <c r="H24" s="19"/>
      <c r="I24" s="16"/>
      <c r="J24" s="17"/>
    </row>
    <row r="25" s="4" customFormat="1" ht="16" customHeight="1" spans="1:10">
      <c r="A25" s="12">
        <v>22</v>
      </c>
      <c r="B25" s="12"/>
      <c r="C25" s="12"/>
      <c r="D25" s="13"/>
      <c r="E25" s="13"/>
      <c r="F25" s="14"/>
      <c r="G25" s="15"/>
      <c r="H25" s="16"/>
      <c r="I25" s="16"/>
      <c r="J25" s="12"/>
    </row>
    <row r="26" s="4" customFormat="1" ht="16" customHeight="1" spans="1:10">
      <c r="A26" s="12">
        <v>23</v>
      </c>
      <c r="B26" s="17"/>
      <c r="C26" s="17"/>
      <c r="D26" s="13"/>
      <c r="E26" s="13"/>
      <c r="F26" s="14"/>
      <c r="G26" s="15"/>
      <c r="H26" s="16"/>
      <c r="I26" s="16"/>
      <c r="J26" s="12"/>
    </row>
    <row r="27" s="4" customFormat="1" ht="16" customHeight="1" spans="1:10">
      <c r="A27" s="12">
        <v>24</v>
      </c>
      <c r="B27" s="17"/>
      <c r="C27" s="17"/>
      <c r="D27" s="17"/>
      <c r="E27" s="18"/>
      <c r="F27" s="14"/>
      <c r="G27" s="15"/>
      <c r="H27" s="16"/>
      <c r="I27" s="16"/>
      <c r="J27" s="17"/>
    </row>
    <row r="28" s="4" customFormat="1" ht="16" customHeight="1" spans="1:10">
      <c r="A28" s="12">
        <v>25</v>
      </c>
      <c r="B28" s="12"/>
      <c r="C28" s="12"/>
      <c r="D28" s="17"/>
      <c r="E28" s="13"/>
      <c r="F28" s="14"/>
      <c r="G28" s="15"/>
      <c r="H28" s="16"/>
      <c r="I28" s="16"/>
      <c r="J28" s="12"/>
    </row>
    <row r="29" s="4" customFormat="1" ht="16" customHeight="1" spans="1:10">
      <c r="A29" s="12">
        <v>26</v>
      </c>
      <c r="B29" s="28"/>
      <c r="C29" s="12"/>
      <c r="D29" s="17"/>
      <c r="E29" s="13"/>
      <c r="F29" s="14"/>
      <c r="G29" s="15"/>
      <c r="H29" s="16"/>
      <c r="I29" s="16"/>
      <c r="J29" s="12"/>
    </row>
    <row r="30" s="4" customFormat="1" ht="16" customHeight="1" spans="1:10">
      <c r="A30" s="12">
        <v>27</v>
      </c>
      <c r="B30" s="12"/>
      <c r="C30" s="12"/>
      <c r="D30" s="12"/>
      <c r="E30" s="13"/>
      <c r="F30" s="14"/>
      <c r="G30" s="15"/>
      <c r="H30" s="16"/>
      <c r="I30" s="16"/>
      <c r="J30" s="12"/>
    </row>
    <row r="31" s="4" customFormat="1" ht="16" customHeight="1" spans="1:10">
      <c r="A31" s="12">
        <v>28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4" customFormat="1" customHeight="1" spans="1:10">
      <c r="A32" s="12" t="s">
        <v>23</v>
      </c>
      <c r="B32" s="20">
        <f>SUM(I6:I31)</f>
        <v>525</v>
      </c>
      <c r="C32" s="21"/>
      <c r="D32" s="21"/>
      <c r="E32" s="21"/>
      <c r="F32" s="21"/>
      <c r="G32" s="21"/>
      <c r="H32" s="21"/>
      <c r="I32" s="21"/>
      <c r="J32" s="25"/>
    </row>
    <row r="33" s="4" customFormat="1" customHeight="1" spans="1:10">
      <c r="A33" s="12" t="s">
        <v>24</v>
      </c>
      <c r="B33" s="23">
        <f>B32</f>
        <v>525</v>
      </c>
      <c r="C33" s="24"/>
      <c r="D33" s="24"/>
      <c r="E33" s="24"/>
      <c r="F33" s="24"/>
      <c r="G33" s="24"/>
      <c r="H33" s="24"/>
      <c r="I33" s="24"/>
      <c r="J33" s="26"/>
    </row>
    <row r="34" s="4" customFormat="1" customHeight="1" spans="1:1">
      <c r="A34" s="4" t="s">
        <v>25</v>
      </c>
    </row>
    <row r="36" customHeight="1" spans="10:10">
      <c r="J36"/>
    </row>
  </sheetData>
  <mergeCells count="4">
    <mergeCell ref="A1:J1"/>
    <mergeCell ref="B32:J32"/>
    <mergeCell ref="B33:J33"/>
    <mergeCell ref="A34:J34"/>
  </mergeCells>
  <conditionalFormatting sqref="B6:B31">
    <cfRule type="duplicateValues" dxfId="0" priority="1"/>
  </conditionalFormatting>
  <conditionalFormatting sqref="B6:C25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workbookViewId="0">
      <selection activeCell="B13" sqref="B13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4" customWidth="1"/>
    <col min="6" max="6" width="8" style="4" customWidth="1"/>
    <col min="7" max="7" width="6.625" style="4" customWidth="1"/>
    <col min="8" max="8" width="8.5" style="4" customWidth="1"/>
    <col min="9" max="9" width="8.625" style="4" customWidth="1"/>
    <col min="10" max="10" width="7.375" style="4" customWidth="1"/>
    <col min="11" max="16330" width="11.6666666666667" style="4" customWidth="1"/>
    <col min="16331" max="16331" width="11.6666666666667" style="4"/>
    <col min="16332" max="16337" width="11" style="4"/>
    <col min="16338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2">
      <c r="A3" s="4" t="s">
        <v>1</v>
      </c>
      <c r="B3" s="4" t="s">
        <v>2</v>
      </c>
    </row>
    <row r="4" s="4" customFormat="1" customHeight="1" spans="1:10">
      <c r="A4" s="4" t="s">
        <v>3</v>
      </c>
      <c r="B4" s="9">
        <v>45204</v>
      </c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2</v>
      </c>
      <c r="F6" s="14">
        <f t="shared" ref="F6:F20" si="0">H6/0.85</f>
        <v>3.52941176470588</v>
      </c>
      <c r="G6" s="15">
        <f t="shared" ref="G6:G20" si="1">H6/F6</f>
        <v>0.85</v>
      </c>
      <c r="H6" s="16">
        <v>3</v>
      </c>
      <c r="I6" s="16">
        <f t="shared" ref="I6:I20" si="2">E6*H6</f>
        <v>6</v>
      </c>
      <c r="J6" s="12"/>
    </row>
    <row r="7" s="4" customFormat="1" ht="16" customHeight="1" spans="1:10">
      <c r="A7" s="12">
        <v>2</v>
      </c>
      <c r="B7" s="12" t="s">
        <v>40</v>
      </c>
      <c r="C7" s="12" t="s">
        <v>22</v>
      </c>
      <c r="D7" s="13" t="s">
        <v>15</v>
      </c>
      <c r="E7" s="13">
        <v>6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21</v>
      </c>
      <c r="J7" s="12"/>
    </row>
    <row r="8" s="4" customFormat="1" ht="16" customHeight="1" spans="1:10">
      <c r="A8" s="12">
        <v>3</v>
      </c>
      <c r="B8" s="12" t="s">
        <v>41</v>
      </c>
      <c r="C8" s="12"/>
      <c r="D8" s="13" t="s">
        <v>15</v>
      </c>
      <c r="E8" s="13">
        <v>3</v>
      </c>
      <c r="F8" s="14">
        <f t="shared" si="0"/>
        <v>2.35294117647059</v>
      </c>
      <c r="G8" s="15">
        <f t="shared" si="1"/>
        <v>0.85</v>
      </c>
      <c r="H8" s="16">
        <v>2</v>
      </c>
      <c r="I8" s="16">
        <f t="shared" si="2"/>
        <v>6</v>
      </c>
      <c r="J8" s="12"/>
    </row>
    <row r="9" s="4" customFormat="1" ht="16" customHeight="1" spans="1:10">
      <c r="A9" s="12">
        <v>4</v>
      </c>
      <c r="B9" s="17" t="s">
        <v>26</v>
      </c>
      <c r="C9" s="17"/>
      <c r="D9" s="13" t="s">
        <v>15</v>
      </c>
      <c r="E9" s="13">
        <v>2</v>
      </c>
      <c r="F9" s="14">
        <f t="shared" si="0"/>
        <v>9.17647058823529</v>
      </c>
      <c r="G9" s="15">
        <f t="shared" si="1"/>
        <v>0.85</v>
      </c>
      <c r="H9" s="16">
        <v>7.8</v>
      </c>
      <c r="I9" s="16">
        <f t="shared" si="2"/>
        <v>15.6</v>
      </c>
      <c r="J9" s="12"/>
    </row>
    <row r="10" s="4" customFormat="1" ht="16" customHeight="1" spans="1:10">
      <c r="A10" s="12">
        <v>5</v>
      </c>
      <c r="B10" s="17" t="s">
        <v>29</v>
      </c>
      <c r="C10" s="17"/>
      <c r="D10" s="13" t="s">
        <v>15</v>
      </c>
      <c r="E10" s="13">
        <v>6</v>
      </c>
      <c r="F10" s="14">
        <f t="shared" si="0"/>
        <v>6.47058823529412</v>
      </c>
      <c r="G10" s="15">
        <f t="shared" si="1"/>
        <v>0.85</v>
      </c>
      <c r="H10" s="16">
        <v>5.5</v>
      </c>
      <c r="I10" s="16">
        <f t="shared" si="2"/>
        <v>33</v>
      </c>
      <c r="J10" s="12"/>
    </row>
    <row r="11" s="4" customFormat="1" ht="16" customHeight="1" spans="1:10">
      <c r="A11" s="12">
        <v>6</v>
      </c>
      <c r="B11" s="12" t="s">
        <v>18</v>
      </c>
      <c r="C11" s="12"/>
      <c r="D11" s="13" t="s">
        <v>15</v>
      </c>
      <c r="E11" s="13">
        <v>6</v>
      </c>
      <c r="F11" s="14">
        <f t="shared" si="0"/>
        <v>4.47058823529412</v>
      </c>
      <c r="G11" s="15">
        <f t="shared" si="1"/>
        <v>0.85</v>
      </c>
      <c r="H11" s="16">
        <v>3.8</v>
      </c>
      <c r="I11" s="16">
        <f t="shared" si="2"/>
        <v>22.8</v>
      </c>
      <c r="J11" s="12"/>
    </row>
    <row r="12" s="4" customFormat="1" ht="16" customHeight="1" spans="1:10">
      <c r="A12" s="12">
        <v>7</v>
      </c>
      <c r="B12" s="12" t="s">
        <v>42</v>
      </c>
      <c r="C12" s="12"/>
      <c r="D12" s="13" t="s">
        <v>15</v>
      </c>
      <c r="E12" s="13">
        <v>4</v>
      </c>
      <c r="F12" s="14">
        <f t="shared" si="0"/>
        <v>8</v>
      </c>
      <c r="G12" s="15">
        <f t="shared" si="1"/>
        <v>0.85</v>
      </c>
      <c r="H12" s="16">
        <v>6.8</v>
      </c>
      <c r="I12" s="16">
        <f t="shared" si="2"/>
        <v>27.2</v>
      </c>
      <c r="J12" s="12"/>
    </row>
    <row r="13" s="4" customFormat="1" ht="16" customHeight="1" spans="1:10">
      <c r="A13" s="12">
        <v>8</v>
      </c>
      <c r="B13" s="12" t="s">
        <v>19</v>
      </c>
      <c r="C13" s="12"/>
      <c r="D13" s="13" t="s">
        <v>15</v>
      </c>
      <c r="E13" s="13">
        <v>8</v>
      </c>
      <c r="F13" s="14">
        <f t="shared" si="0"/>
        <v>2.11764705882353</v>
      </c>
      <c r="G13" s="15">
        <f t="shared" si="1"/>
        <v>0.85</v>
      </c>
      <c r="H13" s="16">
        <v>1.8</v>
      </c>
      <c r="I13" s="16">
        <f t="shared" si="2"/>
        <v>14.4</v>
      </c>
      <c r="J13" s="12"/>
    </row>
    <row r="14" s="4" customFormat="1" ht="16" customHeight="1" spans="1:10">
      <c r="A14" s="12">
        <v>9</v>
      </c>
      <c r="B14" s="17" t="s">
        <v>43</v>
      </c>
      <c r="C14" s="17"/>
      <c r="D14" s="18" t="s">
        <v>15</v>
      </c>
      <c r="E14" s="18">
        <v>6</v>
      </c>
      <c r="F14" s="14">
        <f t="shared" si="0"/>
        <v>17.4117647058824</v>
      </c>
      <c r="G14" s="15">
        <f t="shared" si="1"/>
        <v>0.85</v>
      </c>
      <c r="H14" s="19">
        <v>14.8</v>
      </c>
      <c r="I14" s="16">
        <f t="shared" si="2"/>
        <v>88.8</v>
      </c>
      <c r="J14" s="17"/>
    </row>
    <row r="15" s="4" customFormat="1" ht="16" customHeight="1" spans="1:10">
      <c r="A15" s="12">
        <v>10</v>
      </c>
      <c r="B15" s="17" t="s">
        <v>44</v>
      </c>
      <c r="C15" s="17"/>
      <c r="D15" s="18" t="s">
        <v>15</v>
      </c>
      <c r="E15" s="18">
        <v>2</v>
      </c>
      <c r="F15" s="14">
        <f t="shared" si="0"/>
        <v>17.4117647058824</v>
      </c>
      <c r="G15" s="15">
        <f t="shared" si="1"/>
        <v>0.85</v>
      </c>
      <c r="H15" s="19">
        <v>14.8</v>
      </c>
      <c r="I15" s="16">
        <f t="shared" si="2"/>
        <v>29.6</v>
      </c>
      <c r="J15" s="17"/>
    </row>
    <row r="16" s="4" customFormat="1" ht="16" customHeight="1" spans="1:10">
      <c r="A16" s="12">
        <v>12</v>
      </c>
      <c r="B16" s="17" t="s">
        <v>20</v>
      </c>
      <c r="C16" s="17"/>
      <c r="D16" s="18" t="s">
        <v>15</v>
      </c>
      <c r="E16" s="18">
        <v>5</v>
      </c>
      <c r="F16" s="14">
        <f t="shared" si="0"/>
        <v>25.8823529411765</v>
      </c>
      <c r="G16" s="15">
        <f t="shared" si="1"/>
        <v>0.85</v>
      </c>
      <c r="H16" s="19">
        <v>22</v>
      </c>
      <c r="I16" s="16">
        <f t="shared" si="2"/>
        <v>110</v>
      </c>
      <c r="J16" s="17"/>
    </row>
    <row r="17" s="4" customFormat="1" ht="16" customHeight="1" spans="1:10">
      <c r="A17" s="12">
        <v>13</v>
      </c>
      <c r="B17" s="17" t="s">
        <v>45</v>
      </c>
      <c r="C17" s="17" t="s">
        <v>46</v>
      </c>
      <c r="D17" s="18" t="s">
        <v>47</v>
      </c>
      <c r="E17" s="18">
        <v>1</v>
      </c>
      <c r="F17" s="14">
        <f t="shared" si="0"/>
        <v>29.4117647058824</v>
      </c>
      <c r="G17" s="15">
        <f t="shared" si="1"/>
        <v>0.85</v>
      </c>
      <c r="H17" s="19">
        <v>25</v>
      </c>
      <c r="I17" s="16">
        <f t="shared" si="2"/>
        <v>25</v>
      </c>
      <c r="J17" s="17"/>
    </row>
    <row r="18" s="4" customFormat="1" ht="16" customHeight="1" spans="1:10">
      <c r="A18" s="12">
        <v>14</v>
      </c>
      <c r="B18" s="17" t="s">
        <v>48</v>
      </c>
      <c r="C18" s="17" t="s">
        <v>38</v>
      </c>
      <c r="D18" s="18" t="s">
        <v>39</v>
      </c>
      <c r="E18" s="18">
        <v>20</v>
      </c>
      <c r="F18" s="14">
        <f t="shared" si="0"/>
        <v>1.88235294117647</v>
      </c>
      <c r="G18" s="15">
        <f t="shared" si="1"/>
        <v>0.85</v>
      </c>
      <c r="H18" s="19">
        <v>1.6</v>
      </c>
      <c r="I18" s="16">
        <f t="shared" si="2"/>
        <v>32</v>
      </c>
      <c r="J18" s="17"/>
    </row>
    <row r="19" s="4" customFormat="1" ht="16" customHeight="1" spans="1:10">
      <c r="A19" s="12">
        <v>15</v>
      </c>
      <c r="B19" s="12"/>
      <c r="C19" s="12"/>
      <c r="D19" s="13"/>
      <c r="E19" s="13"/>
      <c r="F19" s="14"/>
      <c r="G19" s="15"/>
      <c r="H19" s="16"/>
      <c r="I19" s="16"/>
      <c r="J19" s="12"/>
    </row>
    <row r="20" s="4" customFormat="1" ht="16" customHeight="1" spans="1:10">
      <c r="A20" s="12">
        <v>16</v>
      </c>
      <c r="B20" s="17"/>
      <c r="C20" s="17"/>
      <c r="D20" s="18"/>
      <c r="E20" s="18"/>
      <c r="F20" s="14"/>
      <c r="G20" s="15"/>
      <c r="H20" s="19"/>
      <c r="I20" s="16"/>
      <c r="J20" s="17"/>
    </row>
    <row r="21" s="4" customFormat="1" ht="16" customHeight="1" spans="1:10">
      <c r="A21" s="12">
        <v>17</v>
      </c>
      <c r="B21" s="17"/>
      <c r="C21" s="17"/>
      <c r="D21" s="18"/>
      <c r="E21" s="18"/>
      <c r="F21" s="14"/>
      <c r="G21" s="15"/>
      <c r="H21" s="19"/>
      <c r="I21" s="16"/>
      <c r="J21" s="17"/>
    </row>
    <row r="22" s="4" customFormat="1" ht="16" customHeight="1" spans="1:10">
      <c r="A22" s="12">
        <v>18</v>
      </c>
      <c r="B22" s="17"/>
      <c r="C22" s="17"/>
      <c r="D22" s="18"/>
      <c r="E22" s="18"/>
      <c r="F22" s="14"/>
      <c r="G22" s="15"/>
      <c r="H22" s="19"/>
      <c r="I22" s="16"/>
      <c r="J22" s="17"/>
    </row>
    <row r="23" s="4" customFormat="1" ht="16" customHeight="1" spans="1:10">
      <c r="A23" s="12">
        <v>19</v>
      </c>
      <c r="B23" s="17"/>
      <c r="C23" s="17"/>
      <c r="D23" s="17"/>
      <c r="E23" s="18"/>
      <c r="F23" s="14"/>
      <c r="G23" s="15"/>
      <c r="H23" s="19"/>
      <c r="I23" s="16"/>
      <c r="J23" s="17"/>
    </row>
    <row r="24" s="4" customFormat="1" ht="16" customHeight="1" spans="1:10">
      <c r="A24" s="12">
        <v>20</v>
      </c>
      <c r="B24" s="17"/>
      <c r="C24" s="17"/>
      <c r="D24" s="18"/>
      <c r="E24" s="18"/>
      <c r="F24" s="14"/>
      <c r="G24" s="15"/>
      <c r="H24" s="19"/>
      <c r="I24" s="16"/>
      <c r="J24" s="17"/>
    </row>
    <row r="25" s="4" customFormat="1" ht="16" customHeight="1" spans="1:10">
      <c r="A25" s="12">
        <v>21</v>
      </c>
      <c r="B25" s="17"/>
      <c r="C25" s="17"/>
      <c r="D25" s="18"/>
      <c r="E25" s="18"/>
      <c r="F25" s="14"/>
      <c r="G25" s="15"/>
      <c r="H25" s="19"/>
      <c r="I25" s="16"/>
      <c r="J25" s="17"/>
    </row>
    <row r="26" s="4" customFormat="1" ht="16" customHeight="1" spans="1:10">
      <c r="A26" s="12">
        <v>22</v>
      </c>
      <c r="B26" s="12"/>
      <c r="C26" s="12"/>
      <c r="D26" s="13"/>
      <c r="E26" s="13"/>
      <c r="F26" s="14"/>
      <c r="G26" s="15"/>
      <c r="H26" s="16"/>
      <c r="I26" s="16"/>
      <c r="J26" s="12"/>
    </row>
    <row r="27" s="4" customFormat="1" ht="16" customHeight="1" spans="1:10">
      <c r="A27" s="12">
        <v>23</v>
      </c>
      <c r="B27" s="17"/>
      <c r="C27" s="17"/>
      <c r="D27" s="13"/>
      <c r="E27" s="13"/>
      <c r="F27" s="14"/>
      <c r="G27" s="15"/>
      <c r="H27" s="16"/>
      <c r="I27" s="16"/>
      <c r="J27" s="12"/>
    </row>
    <row r="28" s="4" customFormat="1" ht="16" customHeight="1" spans="1:10">
      <c r="A28" s="12">
        <v>24</v>
      </c>
      <c r="B28" s="17"/>
      <c r="C28" s="17"/>
      <c r="D28" s="17"/>
      <c r="E28" s="18"/>
      <c r="F28" s="14"/>
      <c r="G28" s="15"/>
      <c r="H28" s="19"/>
      <c r="I28" s="16"/>
      <c r="J28" s="17"/>
    </row>
    <row r="29" s="4" customFormat="1" ht="16" customHeight="1" spans="1:10">
      <c r="A29" s="12">
        <v>25</v>
      </c>
      <c r="B29" s="12"/>
      <c r="C29" s="12"/>
      <c r="D29" s="17"/>
      <c r="E29" s="13"/>
      <c r="F29" s="14"/>
      <c r="G29" s="15"/>
      <c r="H29" s="16"/>
      <c r="I29" s="16"/>
      <c r="J29" s="12"/>
    </row>
    <row r="30" s="4" customFormat="1" ht="16" customHeight="1" spans="1:10">
      <c r="A30" s="12">
        <v>26</v>
      </c>
      <c r="B30" s="12"/>
      <c r="C30" s="12"/>
      <c r="D30" s="17"/>
      <c r="E30" s="13"/>
      <c r="F30" s="14"/>
      <c r="G30" s="15"/>
      <c r="H30" s="16"/>
      <c r="I30" s="16"/>
      <c r="J30" s="12"/>
    </row>
    <row r="31" s="4" customFormat="1" ht="16" customHeight="1" spans="1:10">
      <c r="A31" s="12">
        <v>27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4" customFormat="1" ht="16" customHeight="1" spans="1:10">
      <c r="A32" s="12">
        <v>28</v>
      </c>
      <c r="B32" s="12"/>
      <c r="C32" s="12"/>
      <c r="D32" s="12"/>
      <c r="E32" s="13"/>
      <c r="F32" s="14"/>
      <c r="G32" s="15"/>
      <c r="H32" s="16"/>
      <c r="I32" s="16"/>
      <c r="J32" s="12"/>
    </row>
    <row r="33" s="4" customFormat="1" customHeight="1" spans="1:10">
      <c r="A33" s="12" t="s">
        <v>23</v>
      </c>
      <c r="B33" s="20">
        <f>SUM(I6:I32)</f>
        <v>431.4</v>
      </c>
      <c r="C33" s="21"/>
      <c r="D33" s="21"/>
      <c r="E33" s="21"/>
      <c r="F33" s="21"/>
      <c r="G33" s="21"/>
      <c r="H33" s="21"/>
      <c r="I33" s="21"/>
      <c r="J33" s="25"/>
    </row>
    <row r="34" s="4" customFormat="1" customHeight="1" spans="1:10">
      <c r="A34" s="12" t="s">
        <v>24</v>
      </c>
      <c r="B34" s="23">
        <f>B33</f>
        <v>431.4</v>
      </c>
      <c r="C34" s="24"/>
      <c r="D34" s="24"/>
      <c r="E34" s="24"/>
      <c r="F34" s="24"/>
      <c r="G34" s="24"/>
      <c r="H34" s="24"/>
      <c r="I34" s="24"/>
      <c r="J34" s="26"/>
    </row>
    <row r="35" s="4" customFormat="1" customHeight="1" spans="1:1">
      <c r="A35" s="4" t="s">
        <v>25</v>
      </c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7"/>
  <sheetViews>
    <sheetView workbookViewId="0">
      <selection activeCell="E14" sqref="E14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4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30" width="11.6666666666667" style="4" customWidth="1"/>
    <col min="16331" max="16331" width="11.6666666666667" style="4"/>
    <col min="16332" max="16337" width="11" style="4"/>
    <col min="16338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2">
      <c r="A3" s="4" t="s">
        <v>1</v>
      </c>
      <c r="B3" s="4" t="s">
        <v>2</v>
      </c>
    </row>
    <row r="4" s="4" customFormat="1" customHeight="1" spans="1:10">
      <c r="A4" s="4" t="s">
        <v>3</v>
      </c>
      <c r="B4" s="9">
        <v>45205</v>
      </c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49</v>
      </c>
      <c r="C6" s="12"/>
      <c r="D6" s="13" t="s">
        <v>15</v>
      </c>
      <c r="E6" s="13">
        <v>4</v>
      </c>
      <c r="F6" s="14">
        <f t="shared" ref="F6:F14" si="0">H6/0.85</f>
        <v>9.17647058823529</v>
      </c>
      <c r="G6" s="15">
        <f t="shared" ref="G6:G14" si="1">H6/F6</f>
        <v>0.85</v>
      </c>
      <c r="H6" s="16">
        <v>7.8</v>
      </c>
      <c r="I6" s="16">
        <f t="shared" ref="I6:I14" si="2">E6*H6</f>
        <v>31.2</v>
      </c>
      <c r="J6" s="12"/>
    </row>
    <row r="7" s="4" customFormat="1" ht="16" customHeight="1" spans="1:10">
      <c r="A7" s="12">
        <v>2</v>
      </c>
      <c r="B7" s="12" t="s">
        <v>50</v>
      </c>
      <c r="C7" s="12"/>
      <c r="D7" s="13" t="s">
        <v>15</v>
      </c>
      <c r="E7" s="13">
        <v>5.5</v>
      </c>
      <c r="F7" s="14">
        <f t="shared" si="0"/>
        <v>5.29411764705882</v>
      </c>
      <c r="G7" s="15">
        <f t="shared" si="1"/>
        <v>0.85</v>
      </c>
      <c r="H7" s="16">
        <v>4.5</v>
      </c>
      <c r="I7" s="16">
        <f t="shared" si="2"/>
        <v>24.75</v>
      </c>
      <c r="J7" s="12"/>
    </row>
    <row r="8" s="4" customFormat="1" ht="16" customHeight="1" spans="1:10">
      <c r="A8" s="12">
        <v>3</v>
      </c>
      <c r="B8" s="12" t="s">
        <v>51</v>
      </c>
      <c r="C8" s="12"/>
      <c r="D8" s="13" t="s">
        <v>15</v>
      </c>
      <c r="E8" s="13">
        <v>5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17.5</v>
      </c>
      <c r="J8" s="12"/>
    </row>
    <row r="9" s="4" customFormat="1" ht="16" customHeight="1" spans="1:10">
      <c r="A9" s="12">
        <v>4</v>
      </c>
      <c r="B9" s="17" t="s">
        <v>18</v>
      </c>
      <c r="C9" s="17"/>
      <c r="D9" s="13" t="s">
        <v>15</v>
      </c>
      <c r="E9" s="13">
        <v>5</v>
      </c>
      <c r="F9" s="14">
        <f t="shared" si="0"/>
        <v>4.47058823529412</v>
      </c>
      <c r="G9" s="15">
        <f t="shared" si="1"/>
        <v>0.85</v>
      </c>
      <c r="H9" s="16">
        <v>3.8</v>
      </c>
      <c r="I9" s="16">
        <f t="shared" si="2"/>
        <v>19</v>
      </c>
      <c r="J9" s="12"/>
    </row>
    <row r="10" s="4" customFormat="1" ht="16" customHeight="1" spans="1:10">
      <c r="A10" s="12">
        <v>5</v>
      </c>
      <c r="B10" s="17" t="s">
        <v>30</v>
      </c>
      <c r="C10" s="17"/>
      <c r="D10" s="13" t="s">
        <v>15</v>
      </c>
      <c r="E10" s="13">
        <v>3</v>
      </c>
      <c r="F10" s="14">
        <f t="shared" si="0"/>
        <v>4.47058823529412</v>
      </c>
      <c r="G10" s="15">
        <f t="shared" si="1"/>
        <v>0.85</v>
      </c>
      <c r="H10" s="16">
        <v>3.8</v>
      </c>
      <c r="I10" s="16">
        <f t="shared" si="2"/>
        <v>11.4</v>
      </c>
      <c r="J10" s="12"/>
    </row>
    <row r="11" s="4" customFormat="1" ht="16" customHeight="1" spans="1:10">
      <c r="A11" s="12">
        <v>6</v>
      </c>
      <c r="B11" s="12" t="s">
        <v>52</v>
      </c>
      <c r="C11" s="12"/>
      <c r="D11" s="13" t="s">
        <v>15</v>
      </c>
      <c r="E11" s="13">
        <v>5</v>
      </c>
      <c r="F11" s="14">
        <f t="shared" si="0"/>
        <v>2.35294117647059</v>
      </c>
      <c r="G11" s="15">
        <f t="shared" si="1"/>
        <v>0.85</v>
      </c>
      <c r="H11" s="16">
        <v>2</v>
      </c>
      <c r="I11" s="16">
        <f t="shared" si="2"/>
        <v>10</v>
      </c>
      <c r="J11" s="12"/>
    </row>
    <row r="12" s="4" customFormat="1" ht="16" customHeight="1" spans="1:10">
      <c r="A12" s="12">
        <v>7</v>
      </c>
      <c r="B12" s="12" t="s">
        <v>53</v>
      </c>
      <c r="C12" s="12" t="s">
        <v>22</v>
      </c>
      <c r="D12" s="13" t="s">
        <v>15</v>
      </c>
      <c r="E12" s="13">
        <v>6</v>
      </c>
      <c r="F12" s="14">
        <f t="shared" si="0"/>
        <v>11.5294117647059</v>
      </c>
      <c r="G12" s="15">
        <f t="shared" si="1"/>
        <v>0.85</v>
      </c>
      <c r="H12" s="16">
        <v>9.8</v>
      </c>
      <c r="I12" s="16">
        <f t="shared" si="2"/>
        <v>58.8</v>
      </c>
      <c r="J12" s="12"/>
    </row>
    <row r="13" s="4" customFormat="1" ht="16" customHeight="1" spans="1:10">
      <c r="A13" s="12">
        <v>8</v>
      </c>
      <c r="B13" s="12" t="s">
        <v>54</v>
      </c>
      <c r="C13" s="12"/>
      <c r="D13" s="13" t="s">
        <v>55</v>
      </c>
      <c r="E13" s="13">
        <v>3</v>
      </c>
      <c r="F13" s="14">
        <f t="shared" si="0"/>
        <v>34.1176470588235</v>
      </c>
      <c r="G13" s="15">
        <f t="shared" si="1"/>
        <v>0.85</v>
      </c>
      <c r="H13" s="16">
        <v>29</v>
      </c>
      <c r="I13" s="16">
        <f t="shared" si="2"/>
        <v>87</v>
      </c>
      <c r="J13" s="12"/>
    </row>
    <row r="14" s="4" customFormat="1" ht="16" customHeight="1" spans="1:10">
      <c r="A14" s="12">
        <v>9</v>
      </c>
      <c r="B14" s="17" t="s">
        <v>56</v>
      </c>
      <c r="C14" s="17"/>
      <c r="D14" s="18" t="s">
        <v>39</v>
      </c>
      <c r="E14" s="18">
        <v>20</v>
      </c>
      <c r="F14" s="14">
        <f t="shared" si="0"/>
        <v>4.11764705882353</v>
      </c>
      <c r="G14" s="15">
        <f t="shared" si="1"/>
        <v>0.85</v>
      </c>
      <c r="H14" s="16">
        <v>3.5</v>
      </c>
      <c r="I14" s="16">
        <f t="shared" si="2"/>
        <v>70</v>
      </c>
      <c r="J14" s="17"/>
    </row>
    <row r="15" s="4" customFormat="1" ht="16" customHeight="1" spans="1:10">
      <c r="A15" s="12">
        <v>10</v>
      </c>
      <c r="B15" s="17"/>
      <c r="C15" s="17"/>
      <c r="D15" s="18"/>
      <c r="E15" s="18"/>
      <c r="F15" s="14"/>
      <c r="G15" s="15"/>
      <c r="H15" s="16"/>
      <c r="I15" s="16"/>
      <c r="J15" s="17"/>
    </row>
    <row r="16" s="4" customFormat="1" ht="16" customHeight="1" spans="1:10">
      <c r="A16" s="12">
        <v>12</v>
      </c>
      <c r="B16" s="17"/>
      <c r="C16" s="17"/>
      <c r="D16" s="18"/>
      <c r="E16" s="18"/>
      <c r="F16" s="14"/>
      <c r="G16" s="15"/>
      <c r="H16" s="16"/>
      <c r="I16" s="16"/>
      <c r="J16" s="17"/>
    </row>
    <row r="17" s="4" customFormat="1" ht="16" customHeight="1" spans="1:10">
      <c r="A17" s="12">
        <v>13</v>
      </c>
      <c r="B17" s="17"/>
      <c r="C17" s="17"/>
      <c r="D17" s="18"/>
      <c r="E17" s="18"/>
      <c r="F17" s="14"/>
      <c r="G17" s="15"/>
      <c r="H17" s="16"/>
      <c r="I17" s="16"/>
      <c r="J17" s="17"/>
    </row>
    <row r="18" s="4" customFormat="1" ht="16" customHeight="1" spans="1:10">
      <c r="A18" s="12">
        <v>14</v>
      </c>
      <c r="B18" s="17"/>
      <c r="C18" s="17"/>
      <c r="D18" s="18"/>
      <c r="E18" s="18"/>
      <c r="F18" s="14"/>
      <c r="G18" s="15"/>
      <c r="H18" s="16"/>
      <c r="I18" s="16"/>
      <c r="J18" s="17"/>
    </row>
    <row r="19" s="4" customFormat="1" ht="16" customHeight="1" spans="1:10">
      <c r="A19" s="12">
        <v>15</v>
      </c>
      <c r="B19" s="12"/>
      <c r="C19" s="12"/>
      <c r="D19" s="13"/>
      <c r="E19" s="13"/>
      <c r="F19" s="14"/>
      <c r="G19" s="15"/>
      <c r="H19" s="16"/>
      <c r="I19" s="16"/>
      <c r="J19" s="12"/>
    </row>
    <row r="20" s="4" customFormat="1" ht="16" customHeight="1" spans="1:10">
      <c r="A20" s="12">
        <v>16</v>
      </c>
      <c r="B20" s="17"/>
      <c r="C20" s="17"/>
      <c r="D20" s="18"/>
      <c r="E20" s="18"/>
      <c r="F20" s="14"/>
      <c r="G20" s="15"/>
      <c r="H20" s="16"/>
      <c r="I20" s="16"/>
      <c r="J20" s="17"/>
    </row>
    <row r="21" s="4" customFormat="1" ht="16" customHeight="1" spans="1:10">
      <c r="A21" s="12">
        <v>17</v>
      </c>
      <c r="B21" s="17"/>
      <c r="C21" s="17"/>
      <c r="D21" s="18"/>
      <c r="E21" s="18"/>
      <c r="F21" s="14"/>
      <c r="G21" s="15"/>
      <c r="H21" s="16"/>
      <c r="I21" s="16"/>
      <c r="J21" s="17"/>
    </row>
    <row r="22" s="4" customFormat="1" ht="16" customHeight="1" spans="1:10">
      <c r="A22" s="12">
        <v>18</v>
      </c>
      <c r="B22" s="17"/>
      <c r="C22" s="17"/>
      <c r="D22" s="18"/>
      <c r="E22" s="18"/>
      <c r="F22" s="14"/>
      <c r="G22" s="15"/>
      <c r="H22" s="16"/>
      <c r="I22" s="16"/>
      <c r="J22" s="17"/>
    </row>
    <row r="23" s="4" customFormat="1" ht="16" customHeight="1" spans="1:10">
      <c r="A23" s="12">
        <v>19</v>
      </c>
      <c r="B23" s="17"/>
      <c r="C23" s="17"/>
      <c r="D23" s="17"/>
      <c r="E23" s="18"/>
      <c r="F23" s="14"/>
      <c r="G23" s="15"/>
      <c r="H23" s="16"/>
      <c r="I23" s="16"/>
      <c r="J23" s="17"/>
    </row>
    <row r="24" s="4" customFormat="1" ht="16" customHeight="1" spans="1:10">
      <c r="A24" s="12">
        <v>20</v>
      </c>
      <c r="B24" s="17"/>
      <c r="C24" s="17"/>
      <c r="D24" s="18"/>
      <c r="E24" s="18"/>
      <c r="F24" s="14"/>
      <c r="G24" s="15"/>
      <c r="H24" s="16"/>
      <c r="I24" s="16"/>
      <c r="J24" s="17"/>
    </row>
    <row r="25" s="4" customFormat="1" ht="16" customHeight="1" spans="1:10">
      <c r="A25" s="12">
        <v>21</v>
      </c>
      <c r="B25" s="17"/>
      <c r="C25" s="17"/>
      <c r="D25" s="18"/>
      <c r="E25" s="18"/>
      <c r="F25" s="14"/>
      <c r="G25" s="15"/>
      <c r="H25" s="16"/>
      <c r="I25" s="16"/>
      <c r="J25" s="17"/>
    </row>
    <row r="26" s="4" customFormat="1" ht="16" customHeight="1" spans="1:10">
      <c r="A26" s="12">
        <v>22</v>
      </c>
      <c r="B26" s="12"/>
      <c r="C26" s="12"/>
      <c r="D26" s="13"/>
      <c r="E26" s="13"/>
      <c r="F26" s="14"/>
      <c r="G26" s="15"/>
      <c r="H26" s="16"/>
      <c r="I26" s="16"/>
      <c r="J26" s="12"/>
    </row>
    <row r="27" s="4" customFormat="1" ht="16" customHeight="1" spans="1:10">
      <c r="A27" s="12">
        <v>23</v>
      </c>
      <c r="B27" s="17"/>
      <c r="C27" s="17"/>
      <c r="D27" s="13"/>
      <c r="E27" s="13"/>
      <c r="F27" s="14"/>
      <c r="G27" s="15"/>
      <c r="H27" s="16"/>
      <c r="I27" s="16"/>
      <c r="J27" s="12"/>
    </row>
    <row r="28" s="4" customFormat="1" ht="16" customHeight="1" spans="1:10">
      <c r="A28" s="12">
        <v>24</v>
      </c>
      <c r="B28" s="17"/>
      <c r="C28" s="17"/>
      <c r="D28" s="17"/>
      <c r="E28" s="18"/>
      <c r="F28" s="14"/>
      <c r="G28" s="15"/>
      <c r="H28" s="19"/>
      <c r="I28" s="16"/>
      <c r="J28" s="17"/>
    </row>
    <row r="29" s="4" customFormat="1" ht="16" customHeight="1" spans="1:10">
      <c r="A29" s="12">
        <v>25</v>
      </c>
      <c r="B29" s="12"/>
      <c r="C29" s="12"/>
      <c r="D29" s="17"/>
      <c r="E29" s="13"/>
      <c r="F29" s="14"/>
      <c r="G29" s="15"/>
      <c r="H29" s="16"/>
      <c r="I29" s="16"/>
      <c r="J29" s="12"/>
    </row>
    <row r="30" s="4" customFormat="1" ht="16" customHeight="1" spans="1:10">
      <c r="A30" s="12">
        <v>26</v>
      </c>
      <c r="B30" s="12"/>
      <c r="C30" s="12"/>
      <c r="D30" s="17"/>
      <c r="E30" s="13"/>
      <c r="F30" s="14"/>
      <c r="G30" s="15"/>
      <c r="H30" s="16"/>
      <c r="I30" s="16"/>
      <c r="J30" s="12"/>
    </row>
    <row r="31" s="4" customFormat="1" ht="16" customHeight="1" spans="1:10">
      <c r="A31" s="12">
        <v>27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4" customFormat="1" ht="16" customHeight="1" spans="1:10">
      <c r="A32" s="12">
        <v>28</v>
      </c>
      <c r="B32" s="12"/>
      <c r="C32" s="12"/>
      <c r="D32" s="12"/>
      <c r="E32" s="13"/>
      <c r="F32" s="14"/>
      <c r="G32" s="15"/>
      <c r="H32" s="16"/>
      <c r="I32" s="16"/>
      <c r="J32" s="12"/>
    </row>
    <row r="33" s="4" customFormat="1" customHeight="1" spans="1:10">
      <c r="A33" s="12" t="s">
        <v>23</v>
      </c>
      <c r="B33" s="20">
        <f>SUM(I6:I32)</f>
        <v>329.65</v>
      </c>
      <c r="C33" s="21"/>
      <c r="D33" s="21"/>
      <c r="E33" s="21"/>
      <c r="F33" s="21"/>
      <c r="G33" s="21"/>
      <c r="H33" s="21"/>
      <c r="I33" s="21"/>
      <c r="J33" s="25"/>
    </row>
    <row r="34" s="4" customFormat="1" customHeight="1" spans="1:10">
      <c r="A34" s="12" t="s">
        <v>24</v>
      </c>
      <c r="B34" s="23">
        <f>B33</f>
        <v>329.65</v>
      </c>
      <c r="C34" s="24"/>
      <c r="D34" s="24"/>
      <c r="E34" s="24"/>
      <c r="F34" s="24"/>
      <c r="G34" s="24"/>
      <c r="H34" s="24"/>
      <c r="I34" s="24"/>
      <c r="J34" s="26"/>
    </row>
    <row r="35" s="4" customFormat="1" customHeight="1" spans="1:1">
      <c r="A35" s="4" t="s">
        <v>25</v>
      </c>
    </row>
    <row r="37" customHeight="1" spans="9:9">
      <c r="I37"/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8"/>
  <sheetViews>
    <sheetView topLeftCell="A10" workbookViewId="0">
      <selection activeCell="F28" sqref="F28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8.25" style="4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30" width="11.6666666666667" style="4" customWidth="1"/>
    <col min="16331" max="16331" width="11.6666666666667" style="4"/>
    <col min="16332" max="16337" width="11" style="4"/>
    <col min="16338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2">
      <c r="A3" s="4" t="s">
        <v>1</v>
      </c>
      <c r="B3" s="4" t="s">
        <v>2</v>
      </c>
    </row>
    <row r="4" s="4" customFormat="1" customHeight="1" spans="1:10">
      <c r="A4" s="4" t="s">
        <v>3</v>
      </c>
      <c r="B4" s="9">
        <v>45206</v>
      </c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5</v>
      </c>
      <c r="F6" s="14">
        <f t="shared" ref="F6:F24" si="0">H6/0.85</f>
        <v>3.52941176470588</v>
      </c>
      <c r="G6" s="15">
        <f t="shared" ref="G6:G24" si="1">H6/F6</f>
        <v>0.85</v>
      </c>
      <c r="H6" s="16">
        <v>3</v>
      </c>
      <c r="I6" s="16">
        <f t="shared" ref="I6:I24" si="2">E6*H6</f>
        <v>15</v>
      </c>
      <c r="J6" s="12"/>
    </row>
    <row r="7" s="4" customFormat="1" ht="16" customHeight="1" spans="1:10">
      <c r="A7" s="12">
        <v>2</v>
      </c>
      <c r="B7" s="12" t="s">
        <v>40</v>
      </c>
      <c r="C7" s="12" t="s">
        <v>22</v>
      </c>
      <c r="D7" s="13" t="s">
        <v>15</v>
      </c>
      <c r="E7" s="13">
        <v>6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21</v>
      </c>
      <c r="J7" s="12"/>
    </row>
    <row r="8" s="4" customFormat="1" ht="16" customHeight="1" spans="1:10">
      <c r="A8" s="12">
        <v>3</v>
      </c>
      <c r="B8" s="12" t="s">
        <v>57</v>
      </c>
      <c r="C8" s="12"/>
      <c r="D8" s="13" t="s">
        <v>15</v>
      </c>
      <c r="E8" s="13">
        <v>2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7</v>
      </c>
      <c r="J8" s="12"/>
    </row>
    <row r="9" s="4" customFormat="1" ht="16" customHeight="1" spans="1:10">
      <c r="A9" s="12">
        <v>4</v>
      </c>
      <c r="B9" s="17" t="s">
        <v>58</v>
      </c>
      <c r="C9" s="17"/>
      <c r="D9" s="13" t="s">
        <v>15</v>
      </c>
      <c r="E9" s="13">
        <v>2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7</v>
      </c>
      <c r="J9" s="12"/>
    </row>
    <row r="10" s="4" customFormat="1" ht="16" customHeight="1" spans="1:10">
      <c r="A10" s="12">
        <v>5</v>
      </c>
      <c r="B10" s="17" t="s">
        <v>16</v>
      </c>
      <c r="C10" s="17"/>
      <c r="D10" s="13" t="s">
        <v>15</v>
      </c>
      <c r="E10" s="13">
        <v>5</v>
      </c>
      <c r="F10" s="14">
        <f t="shared" si="0"/>
        <v>4.11764705882353</v>
      </c>
      <c r="G10" s="15">
        <f t="shared" si="1"/>
        <v>0.85</v>
      </c>
      <c r="H10" s="16">
        <v>3.5</v>
      </c>
      <c r="I10" s="16">
        <f t="shared" si="2"/>
        <v>17.5</v>
      </c>
      <c r="J10" s="12"/>
    </row>
    <row r="11" s="4" customFormat="1" ht="16" customHeight="1" spans="1:10">
      <c r="A11" s="12">
        <v>6</v>
      </c>
      <c r="B11" s="12" t="s">
        <v>59</v>
      </c>
      <c r="C11" s="12"/>
      <c r="D11" s="13" t="s">
        <v>15</v>
      </c>
      <c r="E11" s="13">
        <v>2</v>
      </c>
      <c r="F11" s="14">
        <f t="shared" si="0"/>
        <v>4.11764705882353</v>
      </c>
      <c r="G11" s="15">
        <f t="shared" si="1"/>
        <v>0.85</v>
      </c>
      <c r="H11" s="16">
        <v>3.5</v>
      </c>
      <c r="I11" s="16">
        <f t="shared" si="2"/>
        <v>7</v>
      </c>
      <c r="J11" s="12"/>
    </row>
    <row r="12" s="4" customFormat="1" ht="16" customHeight="1" spans="1:10">
      <c r="A12" s="12">
        <v>7</v>
      </c>
      <c r="B12" s="12" t="s">
        <v>60</v>
      </c>
      <c r="C12" s="12"/>
      <c r="D12" s="13" t="s">
        <v>15</v>
      </c>
      <c r="E12" s="13">
        <v>1</v>
      </c>
      <c r="F12" s="14">
        <f t="shared" si="0"/>
        <v>8</v>
      </c>
      <c r="G12" s="15">
        <f t="shared" si="1"/>
        <v>0.85</v>
      </c>
      <c r="H12" s="16">
        <v>6.8</v>
      </c>
      <c r="I12" s="16">
        <f t="shared" si="2"/>
        <v>6.8</v>
      </c>
      <c r="J12" s="12"/>
    </row>
    <row r="13" s="4" customFormat="1" ht="16" customHeight="1" spans="1:10">
      <c r="A13" s="12">
        <v>8</v>
      </c>
      <c r="B13" s="12" t="s">
        <v>26</v>
      </c>
      <c r="C13" s="12"/>
      <c r="D13" s="13" t="s">
        <v>15</v>
      </c>
      <c r="E13" s="13">
        <v>3</v>
      </c>
      <c r="F13" s="14">
        <f t="shared" si="0"/>
        <v>9.17647058823529</v>
      </c>
      <c r="G13" s="15">
        <f t="shared" si="1"/>
        <v>0.85</v>
      </c>
      <c r="H13" s="16">
        <v>7.8</v>
      </c>
      <c r="I13" s="16">
        <f t="shared" si="2"/>
        <v>23.4</v>
      </c>
      <c r="J13" s="12"/>
    </row>
    <row r="14" s="4" customFormat="1" ht="16" customHeight="1" spans="1:10">
      <c r="A14" s="12">
        <v>9</v>
      </c>
      <c r="B14" s="17" t="s">
        <v>61</v>
      </c>
      <c r="C14" s="17"/>
      <c r="D14" s="18" t="s">
        <v>15</v>
      </c>
      <c r="E14" s="18">
        <v>6</v>
      </c>
      <c r="F14" s="14">
        <f t="shared" si="0"/>
        <v>11.5294117647059</v>
      </c>
      <c r="G14" s="15">
        <f t="shared" si="1"/>
        <v>0.85</v>
      </c>
      <c r="H14" s="19">
        <v>9.8</v>
      </c>
      <c r="I14" s="16">
        <f t="shared" si="2"/>
        <v>58.8</v>
      </c>
      <c r="J14" s="17"/>
    </row>
    <row r="15" s="4" customFormat="1" ht="16" customHeight="1" spans="1:10">
      <c r="A15" s="12">
        <v>10</v>
      </c>
      <c r="B15" s="17" t="s">
        <v>18</v>
      </c>
      <c r="C15" s="17"/>
      <c r="D15" s="18" t="s">
        <v>15</v>
      </c>
      <c r="E15" s="18">
        <v>8</v>
      </c>
      <c r="F15" s="14">
        <f t="shared" si="0"/>
        <v>4.47058823529412</v>
      </c>
      <c r="G15" s="15">
        <f t="shared" si="1"/>
        <v>0.85</v>
      </c>
      <c r="H15" s="19">
        <v>3.8</v>
      </c>
      <c r="I15" s="16">
        <f t="shared" si="2"/>
        <v>30.4</v>
      </c>
      <c r="J15" s="17"/>
    </row>
    <row r="16" s="4" customFormat="1" ht="16" customHeight="1" spans="1:10">
      <c r="A16" s="12">
        <v>11</v>
      </c>
      <c r="B16" s="17" t="s">
        <v>62</v>
      </c>
      <c r="C16" s="17"/>
      <c r="D16" s="18" t="s">
        <v>15</v>
      </c>
      <c r="E16" s="18">
        <v>10</v>
      </c>
      <c r="F16" s="14">
        <f t="shared" si="0"/>
        <v>6.47058823529412</v>
      </c>
      <c r="G16" s="15">
        <f t="shared" si="1"/>
        <v>0.85</v>
      </c>
      <c r="H16" s="19">
        <v>5.5</v>
      </c>
      <c r="I16" s="16">
        <f t="shared" si="2"/>
        <v>55</v>
      </c>
      <c r="J16" s="17"/>
    </row>
    <row r="17" s="4" customFormat="1" ht="16" customHeight="1" spans="1:10">
      <c r="A17" s="12">
        <v>12</v>
      </c>
      <c r="B17" s="17" t="s">
        <v>63</v>
      </c>
      <c r="C17" s="17"/>
      <c r="D17" s="17" t="s">
        <v>15</v>
      </c>
      <c r="E17" s="18">
        <v>18</v>
      </c>
      <c r="F17" s="14">
        <f t="shared" si="0"/>
        <v>6.82352941176471</v>
      </c>
      <c r="G17" s="15">
        <f t="shared" si="1"/>
        <v>0.85</v>
      </c>
      <c r="H17" s="19">
        <v>5.8</v>
      </c>
      <c r="I17" s="16">
        <f t="shared" si="2"/>
        <v>104.4</v>
      </c>
      <c r="J17" s="17"/>
    </row>
    <row r="18" s="4" customFormat="1" ht="16" customHeight="1" spans="1:10">
      <c r="A18" s="12">
        <v>13</v>
      </c>
      <c r="B18" s="17" t="s">
        <v>42</v>
      </c>
      <c r="C18" s="17"/>
      <c r="D18" s="18" t="s">
        <v>15</v>
      </c>
      <c r="E18" s="18">
        <v>6</v>
      </c>
      <c r="F18" s="14">
        <f t="shared" ref="F18:F29" si="3">H18/0.85</f>
        <v>8</v>
      </c>
      <c r="G18" s="15">
        <f t="shared" ref="G18:G29" si="4">H18/F18</f>
        <v>0.85</v>
      </c>
      <c r="H18" s="19">
        <v>6.8</v>
      </c>
      <c r="I18" s="16">
        <f t="shared" ref="I18:I29" si="5">E18*H18</f>
        <v>40.8</v>
      </c>
      <c r="J18" s="17"/>
    </row>
    <row r="19" s="4" customFormat="1" ht="16" customHeight="1" spans="1:10">
      <c r="A19" s="12">
        <v>14</v>
      </c>
      <c r="B19" s="12" t="s">
        <v>32</v>
      </c>
      <c r="C19" s="12"/>
      <c r="D19" s="13" t="s">
        <v>15</v>
      </c>
      <c r="E19" s="13">
        <v>16</v>
      </c>
      <c r="F19" s="14">
        <f t="shared" si="3"/>
        <v>5.29411764705882</v>
      </c>
      <c r="G19" s="15">
        <f t="shared" si="4"/>
        <v>0.85</v>
      </c>
      <c r="H19" s="16">
        <v>4.5</v>
      </c>
      <c r="I19" s="16">
        <f t="shared" si="5"/>
        <v>72</v>
      </c>
      <c r="J19" s="12"/>
    </row>
    <row r="20" s="4" customFormat="1" ht="16" customHeight="1" spans="1:10">
      <c r="A20" s="12">
        <v>15</v>
      </c>
      <c r="B20" s="17" t="s">
        <v>64</v>
      </c>
      <c r="C20" s="17" t="s">
        <v>65</v>
      </c>
      <c r="D20" s="13" t="s">
        <v>66</v>
      </c>
      <c r="E20" s="13">
        <v>1</v>
      </c>
      <c r="F20" s="14">
        <f t="shared" si="3"/>
        <v>352.941176470588</v>
      </c>
      <c r="G20" s="15">
        <f t="shared" si="4"/>
        <v>0.85</v>
      </c>
      <c r="H20" s="16">
        <v>300</v>
      </c>
      <c r="I20" s="16">
        <f t="shared" si="5"/>
        <v>300</v>
      </c>
      <c r="J20" s="12"/>
    </row>
    <row r="21" s="4" customFormat="1" ht="16" customHeight="1" spans="1:10">
      <c r="A21" s="12">
        <v>16</v>
      </c>
      <c r="B21" s="17" t="s">
        <v>36</v>
      </c>
      <c r="C21" s="17"/>
      <c r="D21" s="17" t="s">
        <v>15</v>
      </c>
      <c r="E21" s="18">
        <v>4</v>
      </c>
      <c r="F21" s="14">
        <f t="shared" si="3"/>
        <v>19.7647058823529</v>
      </c>
      <c r="G21" s="15">
        <f t="shared" si="4"/>
        <v>0.85</v>
      </c>
      <c r="H21" s="19">
        <v>16.8</v>
      </c>
      <c r="I21" s="16">
        <f t="shared" si="5"/>
        <v>67.2</v>
      </c>
      <c r="J21" s="17"/>
    </row>
    <row r="22" s="4" customFormat="1" ht="16" customHeight="1" spans="1:10">
      <c r="A22" s="12">
        <v>17</v>
      </c>
      <c r="B22" s="12" t="s">
        <v>20</v>
      </c>
      <c r="C22" s="12"/>
      <c r="D22" s="17" t="s">
        <v>15</v>
      </c>
      <c r="E22" s="13">
        <v>6</v>
      </c>
      <c r="F22" s="14">
        <f t="shared" si="3"/>
        <v>25.8823529411765</v>
      </c>
      <c r="G22" s="15">
        <f t="shared" si="4"/>
        <v>0.85</v>
      </c>
      <c r="H22" s="16">
        <v>22</v>
      </c>
      <c r="I22" s="16">
        <f t="shared" si="5"/>
        <v>132</v>
      </c>
      <c r="J22" s="12"/>
    </row>
    <row r="23" s="4" customFormat="1" ht="16" customHeight="1" spans="1:10">
      <c r="A23" s="12">
        <v>18</v>
      </c>
      <c r="B23" s="12" t="s">
        <v>67</v>
      </c>
      <c r="C23" s="12"/>
      <c r="D23" s="17" t="s">
        <v>15</v>
      </c>
      <c r="E23" s="13">
        <v>6</v>
      </c>
      <c r="F23" s="14">
        <f t="shared" si="3"/>
        <v>21.7647058823529</v>
      </c>
      <c r="G23" s="15">
        <f t="shared" si="4"/>
        <v>0.85</v>
      </c>
      <c r="H23" s="16">
        <v>18.5</v>
      </c>
      <c r="I23" s="16">
        <f t="shared" si="5"/>
        <v>111</v>
      </c>
      <c r="J23" s="12"/>
    </row>
    <row r="24" s="4" customFormat="1" ht="16" customHeight="1" spans="1:10">
      <c r="A24" s="12">
        <v>19</v>
      </c>
      <c r="B24" s="12" t="s">
        <v>68</v>
      </c>
      <c r="C24" s="12"/>
      <c r="D24" s="12" t="s">
        <v>15</v>
      </c>
      <c r="E24" s="13">
        <v>5</v>
      </c>
      <c r="F24" s="14">
        <f t="shared" si="3"/>
        <v>76.4705882352941</v>
      </c>
      <c r="G24" s="15">
        <f t="shared" si="4"/>
        <v>0.85</v>
      </c>
      <c r="H24" s="16">
        <v>65</v>
      </c>
      <c r="I24" s="16">
        <f t="shared" si="5"/>
        <v>325</v>
      </c>
      <c r="J24" s="12"/>
    </row>
    <row r="25" s="4" customFormat="1" ht="16" customHeight="1" spans="1:10">
      <c r="A25" s="12">
        <v>20</v>
      </c>
      <c r="B25" s="12" t="s">
        <v>69</v>
      </c>
      <c r="C25" s="12" t="s">
        <v>22</v>
      </c>
      <c r="D25" s="12" t="s">
        <v>15</v>
      </c>
      <c r="E25" s="13">
        <v>2</v>
      </c>
      <c r="F25" s="14">
        <f t="shared" si="3"/>
        <v>44.7058823529412</v>
      </c>
      <c r="G25" s="15">
        <f t="shared" si="4"/>
        <v>0.85</v>
      </c>
      <c r="H25" s="16">
        <v>38</v>
      </c>
      <c r="I25" s="16">
        <f t="shared" si="5"/>
        <v>76</v>
      </c>
      <c r="J25" s="12"/>
    </row>
    <row r="26" s="4" customFormat="1" ht="16" customHeight="1" spans="1:10">
      <c r="A26" s="12">
        <v>21</v>
      </c>
      <c r="B26" s="12" t="s">
        <v>70</v>
      </c>
      <c r="C26" s="12" t="s">
        <v>71</v>
      </c>
      <c r="D26" s="12" t="s">
        <v>47</v>
      </c>
      <c r="E26" s="13">
        <v>8</v>
      </c>
      <c r="F26" s="14">
        <f t="shared" si="3"/>
        <v>12.7058823529412</v>
      </c>
      <c r="G26" s="15">
        <f t="shared" si="4"/>
        <v>0.85</v>
      </c>
      <c r="H26" s="16">
        <v>10.8</v>
      </c>
      <c r="I26" s="16">
        <f t="shared" si="5"/>
        <v>86.4</v>
      </c>
      <c r="J26" s="12"/>
    </row>
    <row r="27" s="4" customFormat="1" ht="16" customHeight="1" spans="1:10">
      <c r="A27" s="12">
        <v>22</v>
      </c>
      <c r="B27" s="12" t="s">
        <v>72</v>
      </c>
      <c r="C27" s="12"/>
      <c r="D27" s="12" t="s">
        <v>15</v>
      </c>
      <c r="E27" s="13">
        <v>3</v>
      </c>
      <c r="F27" s="14">
        <f t="shared" si="3"/>
        <v>103.529411764706</v>
      </c>
      <c r="G27" s="15">
        <f t="shared" si="4"/>
        <v>0.85</v>
      </c>
      <c r="H27" s="16">
        <v>88</v>
      </c>
      <c r="I27" s="16">
        <f t="shared" si="5"/>
        <v>264</v>
      </c>
      <c r="J27" s="12"/>
    </row>
    <row r="28" s="4" customFormat="1" ht="16" customHeight="1" spans="1:10">
      <c r="A28" s="12">
        <v>23</v>
      </c>
      <c r="B28" s="12" t="s">
        <v>73</v>
      </c>
      <c r="C28" s="12" t="s">
        <v>22</v>
      </c>
      <c r="D28" s="12" t="s">
        <v>15</v>
      </c>
      <c r="E28" s="13">
        <v>5</v>
      </c>
      <c r="F28" s="14">
        <f t="shared" si="3"/>
        <v>8</v>
      </c>
      <c r="G28" s="15">
        <f t="shared" si="4"/>
        <v>0.85</v>
      </c>
      <c r="H28" s="16">
        <v>6.8</v>
      </c>
      <c r="I28" s="16">
        <f t="shared" si="5"/>
        <v>34</v>
      </c>
      <c r="J28" s="12"/>
    </row>
    <row r="29" s="4" customFormat="1" ht="16" customHeight="1" spans="1:10">
      <c r="A29" s="12">
        <v>24</v>
      </c>
      <c r="B29" s="12" t="s">
        <v>74</v>
      </c>
      <c r="C29" s="12" t="s">
        <v>75</v>
      </c>
      <c r="D29" s="12" t="s">
        <v>15</v>
      </c>
      <c r="E29" s="13">
        <v>5</v>
      </c>
      <c r="F29" s="14">
        <f>H29/0.85</f>
        <v>6.47058823529412</v>
      </c>
      <c r="G29" s="15">
        <f>H29/F29</f>
        <v>0.85</v>
      </c>
      <c r="H29" s="16">
        <v>5.5</v>
      </c>
      <c r="I29" s="16">
        <f>E29*H29</f>
        <v>27.5</v>
      </c>
      <c r="J29" s="12"/>
    </row>
    <row r="30" s="4" customFormat="1" ht="16" customHeight="1" spans="1:10">
      <c r="A30" s="12">
        <v>25</v>
      </c>
      <c r="B30" s="12" t="s">
        <v>76</v>
      </c>
      <c r="C30" s="12" t="s">
        <v>22</v>
      </c>
      <c r="D30" s="12" t="s">
        <v>15</v>
      </c>
      <c r="E30" s="13">
        <v>2</v>
      </c>
      <c r="F30" s="14">
        <f>H30/0.85</f>
        <v>8</v>
      </c>
      <c r="G30" s="15">
        <f>H30/F30</f>
        <v>0.85</v>
      </c>
      <c r="H30" s="16">
        <v>6.8</v>
      </c>
      <c r="I30" s="16">
        <f>E30*H30</f>
        <v>13.6</v>
      </c>
      <c r="J30" s="12"/>
    </row>
    <row r="31" s="4" customFormat="1" ht="16" customHeight="1" spans="1:10">
      <c r="A31" s="12">
        <v>26</v>
      </c>
      <c r="B31" s="12" t="s">
        <v>77</v>
      </c>
      <c r="C31" s="12" t="s">
        <v>22</v>
      </c>
      <c r="D31" s="12" t="s">
        <v>15</v>
      </c>
      <c r="E31" s="13">
        <v>2</v>
      </c>
      <c r="F31" s="14">
        <f>H31/0.85</f>
        <v>8</v>
      </c>
      <c r="G31" s="15">
        <f>H31/F31</f>
        <v>0.85</v>
      </c>
      <c r="H31" s="16">
        <v>6.8</v>
      </c>
      <c r="I31" s="16">
        <f>E31*H31</f>
        <v>13.6</v>
      </c>
      <c r="J31" s="12"/>
    </row>
    <row r="32" s="4" customFormat="1" ht="16" customHeight="1" spans="1:10">
      <c r="A32" s="12">
        <v>27</v>
      </c>
      <c r="B32" s="12" t="s">
        <v>78</v>
      </c>
      <c r="C32" s="12" t="s">
        <v>22</v>
      </c>
      <c r="D32" s="12" t="s">
        <v>15</v>
      </c>
      <c r="E32" s="13">
        <v>2</v>
      </c>
      <c r="F32" s="14">
        <f>H32/0.85</f>
        <v>8</v>
      </c>
      <c r="G32" s="15">
        <f>H32/F32</f>
        <v>0.85</v>
      </c>
      <c r="H32" s="16">
        <v>6.8</v>
      </c>
      <c r="I32" s="16">
        <f>E32*H32</f>
        <v>13.6</v>
      </c>
      <c r="J32" s="12"/>
    </row>
    <row r="33" s="4" customFormat="1" ht="16" customHeight="1" spans="1:10">
      <c r="A33" s="12">
        <v>28</v>
      </c>
      <c r="B33" s="12" t="s">
        <v>56</v>
      </c>
      <c r="C33" s="12"/>
      <c r="D33" s="12" t="s">
        <v>39</v>
      </c>
      <c r="E33" s="13">
        <v>75</v>
      </c>
      <c r="F33" s="14">
        <f>H33/0.85</f>
        <v>4.11764705882353</v>
      </c>
      <c r="G33" s="15">
        <f>H33/F33</f>
        <v>0.85</v>
      </c>
      <c r="H33" s="16">
        <v>3.5</v>
      </c>
      <c r="I33" s="16">
        <f>E33*H33</f>
        <v>262.5</v>
      </c>
      <c r="J33" s="12"/>
    </row>
    <row r="34" s="4" customFormat="1" customHeight="1" spans="1:10">
      <c r="A34" s="12" t="s">
        <v>23</v>
      </c>
      <c r="B34" s="20">
        <f>SUM(I6:I33)</f>
        <v>2192.5</v>
      </c>
      <c r="C34" s="21"/>
      <c r="D34" s="21"/>
      <c r="E34" s="21"/>
      <c r="F34" s="21"/>
      <c r="G34" s="21"/>
      <c r="H34" s="21"/>
      <c r="I34" s="21"/>
      <c r="J34" s="25"/>
    </row>
    <row r="35" s="4" customFormat="1" customHeight="1" spans="1:10">
      <c r="A35" s="12" t="s">
        <v>24</v>
      </c>
      <c r="B35" s="23">
        <f>B34</f>
        <v>2192.5</v>
      </c>
      <c r="C35" s="24"/>
      <c r="D35" s="24"/>
      <c r="E35" s="24"/>
      <c r="F35" s="24"/>
      <c r="G35" s="24"/>
      <c r="H35" s="24"/>
      <c r="I35" s="24"/>
      <c r="J35" s="26"/>
    </row>
    <row r="36" s="4" customFormat="1" customHeight="1" spans="1:1">
      <c r="A36" s="4" t="s">
        <v>25</v>
      </c>
    </row>
    <row r="38" customHeight="1" spans="10:10">
      <c r="J38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6:C19">
    <cfRule type="duplicateValues" dxfId="0" priority="3"/>
  </conditionalFormatting>
  <pageMargins left="0.751388888888889" right="0.751388888888889" top="0.409027777777778" bottom="0.2125" header="0.5" footer="0.5"/>
  <pageSetup paperSize="9" scale="93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3"/>
  <sheetViews>
    <sheetView workbookViewId="0">
      <selection activeCell="G19" sqref="G19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4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30" width="11.6666666666667" style="4" customWidth="1"/>
    <col min="16331" max="16331" width="11.6666666666667" style="4"/>
    <col min="16332" max="16337" width="11" style="4"/>
    <col min="16338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2">
      <c r="A3" s="4" t="s">
        <v>1</v>
      </c>
      <c r="B3" s="4" t="s">
        <v>2</v>
      </c>
    </row>
    <row r="4" s="4" customFormat="1" customHeight="1" spans="1:10">
      <c r="A4" s="4" t="s">
        <v>3</v>
      </c>
      <c r="B4" s="9">
        <v>45207</v>
      </c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6</v>
      </c>
      <c r="F6" s="14">
        <f>H6/0.85</f>
        <v>3.52941176470588</v>
      </c>
      <c r="G6" s="15">
        <f>H6/F6</f>
        <v>0.85</v>
      </c>
      <c r="H6" s="16">
        <v>3</v>
      </c>
      <c r="I6" s="16">
        <f>E6*H6</f>
        <v>18</v>
      </c>
      <c r="J6" s="12"/>
    </row>
    <row r="7" s="4" customFormat="1" ht="16" customHeight="1" spans="1:10">
      <c r="A7" s="12">
        <v>2</v>
      </c>
      <c r="B7" s="12" t="s">
        <v>16</v>
      </c>
      <c r="C7" s="12"/>
      <c r="D7" s="13" t="s">
        <v>15</v>
      </c>
      <c r="E7" s="13">
        <v>6</v>
      </c>
      <c r="F7" s="14">
        <f>H7/0.85</f>
        <v>4.11764705882353</v>
      </c>
      <c r="G7" s="15">
        <f>H7/F7</f>
        <v>0.85</v>
      </c>
      <c r="H7" s="16">
        <v>3.5</v>
      </c>
      <c r="I7" s="16">
        <f>E7*H7</f>
        <v>21</v>
      </c>
      <c r="J7" s="12"/>
    </row>
    <row r="8" s="4" customFormat="1" ht="16" customHeight="1" spans="1:10">
      <c r="A8" s="12">
        <v>3</v>
      </c>
      <c r="B8" s="12" t="s">
        <v>79</v>
      </c>
      <c r="C8" s="12"/>
      <c r="D8" s="13" t="s">
        <v>15</v>
      </c>
      <c r="E8" s="13">
        <v>5</v>
      </c>
      <c r="F8" s="14">
        <f t="shared" ref="F8:F26" si="0">H8/0.85</f>
        <v>2.94117647058824</v>
      </c>
      <c r="G8" s="15">
        <f t="shared" ref="G8:G26" si="1">H8/F8</f>
        <v>0.85</v>
      </c>
      <c r="H8" s="16">
        <v>2.5</v>
      </c>
      <c r="I8" s="16">
        <f t="shared" ref="I8:I26" si="2">E8*H8</f>
        <v>12.5</v>
      </c>
      <c r="J8" s="12"/>
    </row>
    <row r="9" s="4" customFormat="1" ht="16" customHeight="1" spans="1:10">
      <c r="A9" s="12">
        <v>4</v>
      </c>
      <c r="B9" s="17" t="s">
        <v>51</v>
      </c>
      <c r="C9" s="17"/>
      <c r="D9" s="13" t="s">
        <v>15</v>
      </c>
      <c r="E9" s="13">
        <v>18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63</v>
      </c>
      <c r="J9" s="12"/>
    </row>
    <row r="10" s="4" customFormat="1" ht="16" customHeight="1" spans="1:10">
      <c r="A10" s="12">
        <v>5</v>
      </c>
      <c r="B10" s="17" t="s">
        <v>26</v>
      </c>
      <c r="C10" s="17"/>
      <c r="D10" s="13" t="s">
        <v>15</v>
      </c>
      <c r="E10" s="13">
        <v>2</v>
      </c>
      <c r="F10" s="14">
        <f t="shared" si="0"/>
        <v>9.17647058823529</v>
      </c>
      <c r="G10" s="15">
        <f t="shared" si="1"/>
        <v>0.85</v>
      </c>
      <c r="H10" s="16">
        <v>7.8</v>
      </c>
      <c r="I10" s="16">
        <f t="shared" si="2"/>
        <v>15.6</v>
      </c>
      <c r="J10" s="12"/>
    </row>
    <row r="11" s="4" customFormat="1" ht="16" customHeight="1" spans="1:10">
      <c r="A11" s="12">
        <v>6</v>
      </c>
      <c r="B11" s="12" t="s">
        <v>27</v>
      </c>
      <c r="C11" s="12"/>
      <c r="D11" s="13" t="s">
        <v>28</v>
      </c>
      <c r="E11" s="13">
        <v>8</v>
      </c>
      <c r="F11" s="14">
        <f t="shared" si="0"/>
        <v>3.52941176470588</v>
      </c>
      <c r="G11" s="15">
        <f t="shared" si="1"/>
        <v>0.85</v>
      </c>
      <c r="H11" s="16">
        <v>3</v>
      </c>
      <c r="I11" s="16">
        <f t="shared" si="2"/>
        <v>24</v>
      </c>
      <c r="J11" s="12"/>
    </row>
    <row r="12" s="4" customFormat="1" ht="16" customHeight="1" spans="1:10">
      <c r="A12" s="12">
        <v>7</v>
      </c>
      <c r="B12" s="12" t="s">
        <v>29</v>
      </c>
      <c r="C12" s="12"/>
      <c r="D12" s="13" t="s">
        <v>15</v>
      </c>
      <c r="E12" s="13">
        <v>2</v>
      </c>
      <c r="F12" s="14">
        <f t="shared" si="0"/>
        <v>6.47058823529412</v>
      </c>
      <c r="G12" s="15">
        <f t="shared" si="1"/>
        <v>0.85</v>
      </c>
      <c r="H12" s="16">
        <v>5.5</v>
      </c>
      <c r="I12" s="16">
        <f t="shared" si="2"/>
        <v>11</v>
      </c>
      <c r="J12" s="12"/>
    </row>
    <row r="13" s="4" customFormat="1" ht="16" customHeight="1" spans="1:10">
      <c r="A13" s="12">
        <v>8</v>
      </c>
      <c r="B13" s="12" t="s">
        <v>80</v>
      </c>
      <c r="C13" s="12"/>
      <c r="D13" s="13" t="s">
        <v>15</v>
      </c>
      <c r="E13" s="13">
        <v>3</v>
      </c>
      <c r="F13" s="14">
        <f t="shared" si="0"/>
        <v>10.3529411764706</v>
      </c>
      <c r="G13" s="15">
        <f t="shared" si="1"/>
        <v>0.85</v>
      </c>
      <c r="H13" s="16">
        <v>8.8</v>
      </c>
      <c r="I13" s="16">
        <f t="shared" si="2"/>
        <v>26.4</v>
      </c>
      <c r="J13" s="12"/>
    </row>
    <row r="14" s="4" customFormat="1" ht="16" customHeight="1" spans="1:10">
      <c r="A14" s="12">
        <v>9</v>
      </c>
      <c r="B14" s="17" t="s">
        <v>31</v>
      </c>
      <c r="C14" s="17"/>
      <c r="D14" s="18" t="s">
        <v>15</v>
      </c>
      <c r="E14" s="18">
        <v>19</v>
      </c>
      <c r="F14" s="14">
        <f t="shared" si="0"/>
        <v>5.64705882352941</v>
      </c>
      <c r="G14" s="15">
        <f t="shared" si="1"/>
        <v>0.85</v>
      </c>
      <c r="H14" s="16">
        <v>4.8</v>
      </c>
      <c r="I14" s="16">
        <f t="shared" si="2"/>
        <v>91.2</v>
      </c>
      <c r="J14" s="17"/>
    </row>
    <row r="15" s="4" customFormat="1" ht="16" customHeight="1" spans="1:10">
      <c r="A15" s="12">
        <v>10</v>
      </c>
      <c r="B15" s="17" t="s">
        <v>81</v>
      </c>
      <c r="C15" s="17"/>
      <c r="D15" s="18" t="s">
        <v>15</v>
      </c>
      <c r="E15" s="18">
        <v>10</v>
      </c>
      <c r="F15" s="14">
        <f t="shared" si="0"/>
        <v>8</v>
      </c>
      <c r="G15" s="15">
        <f t="shared" si="1"/>
        <v>0.85</v>
      </c>
      <c r="H15" s="16">
        <v>6.8</v>
      </c>
      <c r="I15" s="16">
        <f t="shared" si="2"/>
        <v>68</v>
      </c>
      <c r="J15" s="17"/>
    </row>
    <row r="16" s="4" customFormat="1" ht="16" customHeight="1" spans="1:10">
      <c r="A16" s="12">
        <v>11</v>
      </c>
      <c r="B16" s="17" t="s">
        <v>36</v>
      </c>
      <c r="C16" s="17"/>
      <c r="D16" s="18" t="s">
        <v>15</v>
      </c>
      <c r="E16" s="18">
        <v>2</v>
      </c>
      <c r="F16" s="14">
        <f t="shared" si="0"/>
        <v>19.7647058823529</v>
      </c>
      <c r="G16" s="15">
        <f t="shared" si="1"/>
        <v>0.85</v>
      </c>
      <c r="H16" s="16">
        <v>16.8</v>
      </c>
      <c r="I16" s="16">
        <f t="shared" si="2"/>
        <v>33.6</v>
      </c>
      <c r="J16" s="17"/>
    </row>
    <row r="17" s="4" customFormat="1" ht="16" customHeight="1" spans="1:10">
      <c r="A17" s="12">
        <v>12</v>
      </c>
      <c r="B17" s="17" t="s">
        <v>82</v>
      </c>
      <c r="C17" s="17"/>
      <c r="D17" s="18" t="s">
        <v>15</v>
      </c>
      <c r="E17" s="18">
        <v>7</v>
      </c>
      <c r="F17" s="14">
        <f t="shared" si="0"/>
        <v>33.8823529411765</v>
      </c>
      <c r="G17" s="15">
        <f t="shared" si="1"/>
        <v>0.85</v>
      </c>
      <c r="H17" s="16">
        <v>28.8</v>
      </c>
      <c r="I17" s="16">
        <f t="shared" si="2"/>
        <v>201.6</v>
      </c>
      <c r="J17" s="17"/>
    </row>
    <row r="18" s="4" customFormat="1" ht="16" customHeight="1" spans="1:10">
      <c r="A18" s="12">
        <v>13</v>
      </c>
      <c r="B18" s="17" t="s">
        <v>83</v>
      </c>
      <c r="C18" s="17" t="s">
        <v>22</v>
      </c>
      <c r="D18" s="18" t="s">
        <v>15</v>
      </c>
      <c r="E18" s="18">
        <v>2</v>
      </c>
      <c r="F18" s="14">
        <f t="shared" si="0"/>
        <v>17.6470588235294</v>
      </c>
      <c r="G18" s="15">
        <f t="shared" si="1"/>
        <v>0.85</v>
      </c>
      <c r="H18" s="16">
        <v>15</v>
      </c>
      <c r="I18" s="16">
        <f t="shared" si="2"/>
        <v>30</v>
      </c>
      <c r="J18" s="17"/>
    </row>
    <row r="19" s="4" customFormat="1" ht="16" customHeight="1" spans="1:10">
      <c r="A19" s="12">
        <v>14</v>
      </c>
      <c r="B19" s="12" t="s">
        <v>84</v>
      </c>
      <c r="C19" s="12" t="s">
        <v>85</v>
      </c>
      <c r="D19" s="13" t="s">
        <v>15</v>
      </c>
      <c r="E19" s="13">
        <v>6</v>
      </c>
      <c r="F19" s="14">
        <f t="shared" si="0"/>
        <v>9.41176470588235</v>
      </c>
      <c r="G19" s="15">
        <f t="shared" si="1"/>
        <v>0.85</v>
      </c>
      <c r="H19" s="16">
        <v>8</v>
      </c>
      <c r="I19" s="16">
        <f t="shared" si="2"/>
        <v>48</v>
      </c>
      <c r="J19" s="12"/>
    </row>
    <row r="20" s="4" customFormat="1" ht="16" customHeight="1" spans="1:10">
      <c r="A20" s="12">
        <v>15</v>
      </c>
      <c r="B20" s="17" t="s">
        <v>86</v>
      </c>
      <c r="C20" s="17" t="s">
        <v>87</v>
      </c>
      <c r="D20" s="18" t="s">
        <v>47</v>
      </c>
      <c r="E20" s="18">
        <v>10</v>
      </c>
      <c r="F20" s="14">
        <f t="shared" si="0"/>
        <v>2.35294117647059</v>
      </c>
      <c r="G20" s="15">
        <f t="shared" si="1"/>
        <v>0.85</v>
      </c>
      <c r="H20" s="16">
        <v>2</v>
      </c>
      <c r="I20" s="16">
        <f t="shared" si="2"/>
        <v>20</v>
      </c>
      <c r="J20" s="17"/>
    </row>
    <row r="21" s="4" customFormat="1" ht="16" customHeight="1" spans="1:10">
      <c r="A21" s="12">
        <v>17</v>
      </c>
      <c r="B21" s="17" t="s">
        <v>56</v>
      </c>
      <c r="C21" s="17"/>
      <c r="D21" s="18" t="s">
        <v>39</v>
      </c>
      <c r="E21" s="18">
        <v>60</v>
      </c>
      <c r="F21" s="14">
        <f>H21/0.85</f>
        <v>4.11764705882353</v>
      </c>
      <c r="G21" s="15">
        <f>H21/F21</f>
        <v>0.85</v>
      </c>
      <c r="H21" s="16">
        <v>3.5</v>
      </c>
      <c r="I21" s="16">
        <f>E21*H21</f>
        <v>210</v>
      </c>
      <c r="J21" s="17"/>
    </row>
    <row r="22" s="4" customFormat="1" ht="16" customHeight="1" spans="1:10">
      <c r="A22" s="12">
        <v>20</v>
      </c>
      <c r="B22" s="17"/>
      <c r="C22" s="17"/>
      <c r="D22" s="18"/>
      <c r="E22" s="18"/>
      <c r="F22" s="14"/>
      <c r="G22" s="15"/>
      <c r="H22" s="16"/>
      <c r="I22" s="16"/>
      <c r="J22" s="17"/>
    </row>
    <row r="23" s="4" customFormat="1" ht="16" customHeight="1" spans="1:10">
      <c r="A23" s="12">
        <v>21</v>
      </c>
      <c r="B23" s="12"/>
      <c r="C23" s="12"/>
      <c r="D23" s="13"/>
      <c r="E23" s="13"/>
      <c r="F23" s="14"/>
      <c r="G23" s="15"/>
      <c r="H23" s="16"/>
      <c r="I23" s="16"/>
      <c r="J23" s="12"/>
    </row>
    <row r="24" s="4" customFormat="1" ht="16" customHeight="1" spans="1:10">
      <c r="A24" s="12">
        <v>22</v>
      </c>
      <c r="B24" s="17"/>
      <c r="C24" s="17"/>
      <c r="D24" s="17"/>
      <c r="E24" s="18"/>
      <c r="F24" s="14"/>
      <c r="G24" s="15"/>
      <c r="H24" s="16"/>
      <c r="I24" s="16"/>
      <c r="J24" s="17"/>
    </row>
    <row r="25" s="4" customFormat="1" ht="16" customHeight="1" spans="1:10">
      <c r="A25" s="12">
        <v>23</v>
      </c>
      <c r="B25" s="12"/>
      <c r="C25" s="12"/>
      <c r="D25" s="17"/>
      <c r="E25" s="13"/>
      <c r="F25" s="14"/>
      <c r="G25" s="15"/>
      <c r="H25" s="16"/>
      <c r="I25" s="16"/>
      <c r="J25" s="12"/>
    </row>
    <row r="26" s="4" customFormat="1" ht="16" customHeight="1" spans="1:10">
      <c r="A26" s="12">
        <v>24</v>
      </c>
      <c r="B26" s="12"/>
      <c r="C26" s="12"/>
      <c r="D26" s="17"/>
      <c r="E26" s="13"/>
      <c r="F26" s="14"/>
      <c r="G26" s="15"/>
      <c r="H26" s="16"/>
      <c r="I26" s="16"/>
      <c r="J26" s="12"/>
    </row>
    <row r="27" s="4" customFormat="1" ht="16" customHeight="1" spans="1:10">
      <c r="A27" s="12">
        <v>25</v>
      </c>
      <c r="B27" s="12"/>
      <c r="C27" s="12"/>
      <c r="D27" s="12"/>
      <c r="E27" s="13"/>
      <c r="F27" s="14"/>
      <c r="G27" s="15"/>
      <c r="H27" s="16"/>
      <c r="I27" s="16"/>
      <c r="J27" s="12"/>
    </row>
    <row r="28" s="4" customFormat="1" ht="16" customHeight="1" spans="1:10">
      <c r="A28" s="12">
        <v>26</v>
      </c>
      <c r="B28" s="12"/>
      <c r="C28" s="12"/>
      <c r="D28" s="12"/>
      <c r="E28" s="13"/>
      <c r="F28" s="14"/>
      <c r="G28" s="15"/>
      <c r="H28" s="16"/>
      <c r="I28" s="16"/>
      <c r="J28" s="12"/>
    </row>
    <row r="29" s="4" customFormat="1" ht="16" customHeight="1" spans="1:10">
      <c r="A29" s="12">
        <v>27</v>
      </c>
      <c r="B29" s="12"/>
      <c r="C29" s="12"/>
      <c r="D29" s="12"/>
      <c r="E29" s="13"/>
      <c r="F29" s="14"/>
      <c r="G29" s="15"/>
      <c r="H29" s="16"/>
      <c r="I29" s="16"/>
      <c r="J29" s="12"/>
    </row>
    <row r="30" s="4" customFormat="1" ht="16" customHeight="1" spans="1:10">
      <c r="A30" s="12">
        <v>28</v>
      </c>
      <c r="B30" s="12"/>
      <c r="C30" s="12"/>
      <c r="D30" s="12"/>
      <c r="E30" s="13"/>
      <c r="F30" s="14"/>
      <c r="G30" s="15"/>
      <c r="H30" s="16"/>
      <c r="I30" s="16"/>
      <c r="J30" s="12"/>
    </row>
    <row r="31" s="4" customFormat="1" customHeight="1" spans="1:10">
      <c r="A31" s="12" t="s">
        <v>23</v>
      </c>
      <c r="B31" s="20">
        <f>SUM(I6:I30)</f>
        <v>893.9</v>
      </c>
      <c r="C31" s="21"/>
      <c r="D31" s="21"/>
      <c r="E31" s="21"/>
      <c r="F31" s="21"/>
      <c r="G31" s="21"/>
      <c r="H31" s="21"/>
      <c r="I31" s="21"/>
      <c r="J31" s="25"/>
    </row>
    <row r="32" s="4" customFormat="1" customHeight="1" spans="1:10">
      <c r="A32" s="12" t="s">
        <v>24</v>
      </c>
      <c r="B32" s="23">
        <f>B31</f>
        <v>893.9</v>
      </c>
      <c r="C32" s="24"/>
      <c r="D32" s="24"/>
      <c r="E32" s="24"/>
      <c r="F32" s="24"/>
      <c r="G32" s="24"/>
      <c r="H32" s="24"/>
      <c r="I32" s="24"/>
      <c r="J32" s="26"/>
    </row>
    <row r="33" s="4" customFormat="1" customHeight="1" spans="1:1">
      <c r="A33" s="4" t="s">
        <v>25</v>
      </c>
    </row>
  </sheetData>
  <mergeCells count="4">
    <mergeCell ref="A1:J1"/>
    <mergeCell ref="B31:J31"/>
    <mergeCell ref="B32:J32"/>
    <mergeCell ref="A33:J33"/>
  </mergeCells>
  <conditionalFormatting sqref="B6:B30">
    <cfRule type="duplicateValues" dxfId="0" priority="1"/>
  </conditionalFormatting>
  <conditionalFormatting sqref="B6:C23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opLeftCell="A3" workbookViewId="0">
      <selection activeCell="F20" sqref="F20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3.125" style="4" customWidth="1"/>
    <col min="4" max="4" width="5.94166666666667" style="4" customWidth="1"/>
    <col min="5" max="5" width="5.25" style="4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30" width="11.6666666666667" style="4" customWidth="1"/>
    <col min="16331" max="16331" width="11.6666666666667" style="4"/>
    <col min="16332" max="16337" width="11" style="4"/>
    <col min="16338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2">
      <c r="A3" s="4" t="s">
        <v>1</v>
      </c>
      <c r="B3" s="4" t="s">
        <v>2</v>
      </c>
    </row>
    <row r="4" s="4" customFormat="1" customHeight="1" spans="1:10">
      <c r="A4" s="4" t="s">
        <v>3</v>
      </c>
      <c r="B4" s="9">
        <v>45208</v>
      </c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6</v>
      </c>
      <c r="F6" s="14">
        <f t="shared" ref="F6:F13" si="0">H6/0.85</f>
        <v>3.52941176470588</v>
      </c>
      <c r="G6" s="15">
        <f t="shared" ref="G6:G13" si="1">H6/F6</f>
        <v>0.85</v>
      </c>
      <c r="H6" s="16">
        <v>3</v>
      </c>
      <c r="I6" s="16">
        <f t="shared" ref="I6:I13" si="2">E6*H6</f>
        <v>18</v>
      </c>
      <c r="J6" s="12"/>
    </row>
    <row r="7" s="4" customFormat="1" ht="16" customHeight="1" spans="1:10">
      <c r="A7" s="12">
        <v>2</v>
      </c>
      <c r="B7" s="12" t="s">
        <v>40</v>
      </c>
      <c r="C7" s="12" t="s">
        <v>22</v>
      </c>
      <c r="D7" s="13" t="s">
        <v>15</v>
      </c>
      <c r="E7" s="13">
        <v>10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35</v>
      </c>
      <c r="J7" s="12"/>
    </row>
    <row r="8" s="4" customFormat="1" ht="16" customHeight="1" spans="1:10">
      <c r="A8" s="12">
        <v>3</v>
      </c>
      <c r="B8" s="12" t="s">
        <v>16</v>
      </c>
      <c r="C8" s="12"/>
      <c r="D8" s="13" t="s">
        <v>15</v>
      </c>
      <c r="E8" s="13">
        <v>6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21</v>
      </c>
      <c r="J8" s="12"/>
    </row>
    <row r="9" s="4" customFormat="1" ht="16" customHeight="1" spans="1:10">
      <c r="A9" s="12">
        <v>4</v>
      </c>
      <c r="B9" s="17" t="s">
        <v>88</v>
      </c>
      <c r="C9" s="17"/>
      <c r="D9" s="13" t="s">
        <v>15</v>
      </c>
      <c r="E9" s="13">
        <v>18</v>
      </c>
      <c r="F9" s="14">
        <f t="shared" si="0"/>
        <v>2.94117647058824</v>
      </c>
      <c r="G9" s="15">
        <f t="shared" si="1"/>
        <v>0.85</v>
      </c>
      <c r="H9" s="16">
        <v>2.5</v>
      </c>
      <c r="I9" s="16">
        <f t="shared" si="2"/>
        <v>45</v>
      </c>
      <c r="J9" s="12"/>
    </row>
    <row r="10" s="4" customFormat="1" ht="16" customHeight="1" spans="1:10">
      <c r="A10" s="12">
        <v>6</v>
      </c>
      <c r="B10" s="12" t="s">
        <v>41</v>
      </c>
      <c r="C10" s="12"/>
      <c r="D10" s="13" t="s">
        <v>15</v>
      </c>
      <c r="E10" s="13">
        <v>18</v>
      </c>
      <c r="F10" s="14">
        <f t="shared" si="0"/>
        <v>2.35294117647059</v>
      </c>
      <c r="G10" s="15">
        <f t="shared" si="1"/>
        <v>0.85</v>
      </c>
      <c r="H10" s="16">
        <v>2</v>
      </c>
      <c r="I10" s="16">
        <f t="shared" si="2"/>
        <v>36</v>
      </c>
      <c r="J10" s="12"/>
    </row>
    <row r="11" s="4" customFormat="1" ht="16" customHeight="1" spans="1:10">
      <c r="A11" s="12">
        <v>7</v>
      </c>
      <c r="B11" s="12" t="s">
        <v>18</v>
      </c>
      <c r="C11" s="12"/>
      <c r="D11" s="13" t="s">
        <v>15</v>
      </c>
      <c r="E11" s="13">
        <v>17</v>
      </c>
      <c r="F11" s="14">
        <f t="shared" si="0"/>
        <v>4.47058823529412</v>
      </c>
      <c r="G11" s="15">
        <f t="shared" si="1"/>
        <v>0.85</v>
      </c>
      <c r="H11" s="16">
        <v>3.8</v>
      </c>
      <c r="I11" s="16">
        <f t="shared" si="2"/>
        <v>64.6</v>
      </c>
      <c r="J11" s="12"/>
    </row>
    <row r="12" s="4" customFormat="1" ht="16" customHeight="1" spans="1:10">
      <c r="A12" s="12">
        <v>8</v>
      </c>
      <c r="B12" s="12" t="s">
        <v>89</v>
      </c>
      <c r="C12" s="12"/>
      <c r="D12" s="13" t="s">
        <v>15</v>
      </c>
      <c r="E12" s="13">
        <v>4</v>
      </c>
      <c r="F12" s="14">
        <f t="shared" si="0"/>
        <v>2.94117647058824</v>
      </c>
      <c r="G12" s="15">
        <f t="shared" si="1"/>
        <v>0.85</v>
      </c>
      <c r="H12" s="16">
        <v>2.5</v>
      </c>
      <c r="I12" s="16">
        <f t="shared" si="2"/>
        <v>10</v>
      </c>
      <c r="J12" s="12"/>
    </row>
    <row r="13" s="4" customFormat="1" ht="16" customHeight="1" spans="1:10">
      <c r="A13" s="12">
        <v>9</v>
      </c>
      <c r="B13" s="17" t="s">
        <v>90</v>
      </c>
      <c r="C13" s="17"/>
      <c r="D13" s="18" t="s">
        <v>15</v>
      </c>
      <c r="E13" s="18">
        <v>1</v>
      </c>
      <c r="F13" s="14">
        <f t="shared" si="0"/>
        <v>11.5294117647059</v>
      </c>
      <c r="G13" s="15">
        <f t="shared" si="1"/>
        <v>0.85</v>
      </c>
      <c r="H13" s="16">
        <v>9.8</v>
      </c>
      <c r="I13" s="16">
        <f t="shared" si="2"/>
        <v>9.8</v>
      </c>
      <c r="J13" s="17"/>
    </row>
    <row r="14" s="4" customFormat="1" ht="16" customHeight="1" spans="1:10">
      <c r="A14" s="12">
        <v>10</v>
      </c>
      <c r="B14" s="17" t="s">
        <v>91</v>
      </c>
      <c r="C14" s="17"/>
      <c r="D14" s="18" t="s">
        <v>15</v>
      </c>
      <c r="E14" s="18">
        <v>2</v>
      </c>
      <c r="F14" s="14">
        <f>H14/0.85</f>
        <v>5.64705882352941</v>
      </c>
      <c r="G14" s="15">
        <f>H14/F14</f>
        <v>0.85</v>
      </c>
      <c r="H14" s="16">
        <v>4.8</v>
      </c>
      <c r="I14" s="16">
        <f>E14*H14</f>
        <v>9.6</v>
      </c>
      <c r="J14" s="17"/>
    </row>
    <row r="15" s="4" customFormat="1" ht="16" customHeight="1" spans="1:10">
      <c r="A15" s="12">
        <v>11</v>
      </c>
      <c r="B15" s="17" t="s">
        <v>43</v>
      </c>
      <c r="C15" s="17"/>
      <c r="D15" s="18" t="s">
        <v>15</v>
      </c>
      <c r="E15" s="18">
        <v>6.7</v>
      </c>
      <c r="F15" s="14">
        <f>H15/0.85</f>
        <v>17.4117647058824</v>
      </c>
      <c r="G15" s="15">
        <f>H15/F15</f>
        <v>0.85</v>
      </c>
      <c r="H15" s="16">
        <v>14.8</v>
      </c>
      <c r="I15" s="16">
        <f>E15*H15</f>
        <v>99.16</v>
      </c>
      <c r="J15" s="17"/>
    </row>
    <row r="16" s="4" customFormat="1" ht="16" customHeight="1" spans="1:10">
      <c r="A16" s="12">
        <v>12</v>
      </c>
      <c r="B16" s="17" t="s">
        <v>35</v>
      </c>
      <c r="C16" s="17"/>
      <c r="D16" s="18" t="s">
        <v>15</v>
      </c>
      <c r="E16" s="18">
        <v>2</v>
      </c>
      <c r="F16" s="14">
        <f>H16/0.85</f>
        <v>24.4705882352941</v>
      </c>
      <c r="G16" s="15">
        <f>H16/F16</f>
        <v>0.85</v>
      </c>
      <c r="H16" s="16">
        <v>20.8</v>
      </c>
      <c r="I16" s="16">
        <f>E16*H16</f>
        <v>41.6</v>
      </c>
      <c r="J16" s="17"/>
    </row>
    <row r="17" s="4" customFormat="1" ht="16" customHeight="1" spans="1:10">
      <c r="A17" s="12">
        <v>13</v>
      </c>
      <c r="B17" s="17" t="s">
        <v>67</v>
      </c>
      <c r="C17" s="17"/>
      <c r="D17" s="18" t="s">
        <v>15</v>
      </c>
      <c r="E17" s="18">
        <v>5</v>
      </c>
      <c r="F17" s="14">
        <f>H17/0.85</f>
        <v>21.7647058823529</v>
      </c>
      <c r="G17" s="15">
        <f>H17/F17</f>
        <v>0.85</v>
      </c>
      <c r="H17" s="16">
        <v>18.5</v>
      </c>
      <c r="I17" s="16">
        <f>E17*H17</f>
        <v>92.5</v>
      </c>
      <c r="J17" s="17"/>
    </row>
    <row r="18" s="4" customFormat="1" ht="16" customHeight="1" spans="1:10">
      <c r="A18" s="12">
        <v>15</v>
      </c>
      <c r="B18" s="17" t="s">
        <v>92</v>
      </c>
      <c r="C18" s="17"/>
      <c r="D18" s="18" t="s">
        <v>15</v>
      </c>
      <c r="E18" s="18">
        <v>8</v>
      </c>
      <c r="F18" s="14">
        <f>H18/0.85</f>
        <v>5.76470588235294</v>
      </c>
      <c r="G18" s="15">
        <f>H18/F18</f>
        <v>0.85</v>
      </c>
      <c r="H18" s="16">
        <v>4.9</v>
      </c>
      <c r="I18" s="16">
        <f>E18*H18</f>
        <v>39.2</v>
      </c>
      <c r="J18" s="17"/>
    </row>
    <row r="19" s="4" customFormat="1" ht="16" customHeight="1" spans="1:10">
      <c r="A19" s="12">
        <v>16</v>
      </c>
      <c r="B19" s="17" t="s">
        <v>93</v>
      </c>
      <c r="C19" s="17" t="s">
        <v>94</v>
      </c>
      <c r="D19" s="18" t="s">
        <v>95</v>
      </c>
      <c r="E19" s="18">
        <v>5</v>
      </c>
      <c r="F19" s="14">
        <f>H19/0.85</f>
        <v>10</v>
      </c>
      <c r="G19" s="15">
        <f>H19/F19</f>
        <v>0.85</v>
      </c>
      <c r="H19" s="16">
        <v>8.5</v>
      </c>
      <c r="I19" s="16">
        <f>E19*H19</f>
        <v>42.5</v>
      </c>
      <c r="J19" s="17"/>
    </row>
    <row r="20" s="4" customFormat="1" ht="16" customHeight="1" spans="1:10">
      <c r="A20" s="12">
        <v>17</v>
      </c>
      <c r="B20" s="17" t="s">
        <v>96</v>
      </c>
      <c r="C20" s="17" t="s">
        <v>22</v>
      </c>
      <c r="D20" s="18" t="s">
        <v>15</v>
      </c>
      <c r="E20" s="18">
        <v>3</v>
      </c>
      <c r="F20" s="14">
        <f>H20/0.85</f>
        <v>8</v>
      </c>
      <c r="G20" s="15">
        <f>H20/F20</f>
        <v>0.85</v>
      </c>
      <c r="H20" s="16">
        <v>6.8</v>
      </c>
      <c r="I20" s="16">
        <f>E20*H20</f>
        <v>20.4</v>
      </c>
      <c r="J20" s="17"/>
    </row>
    <row r="21" s="4" customFormat="1" ht="16" customHeight="1" spans="1:10">
      <c r="A21" s="12">
        <v>18</v>
      </c>
      <c r="B21" s="17" t="s">
        <v>97</v>
      </c>
      <c r="C21" s="17" t="s">
        <v>98</v>
      </c>
      <c r="D21" s="17" t="s">
        <v>47</v>
      </c>
      <c r="E21" s="18">
        <v>2</v>
      </c>
      <c r="F21" s="14">
        <f>H21/0.85</f>
        <v>35.2941176470588</v>
      </c>
      <c r="G21" s="15">
        <f>H21/F21</f>
        <v>0.85</v>
      </c>
      <c r="H21" s="16">
        <v>30</v>
      </c>
      <c r="I21" s="16">
        <f>E21*H21</f>
        <v>60</v>
      </c>
      <c r="J21" s="17"/>
    </row>
    <row r="22" s="4" customFormat="1" ht="16" customHeight="1" spans="1:10">
      <c r="A22" s="12">
        <v>19</v>
      </c>
      <c r="B22" s="17" t="s">
        <v>56</v>
      </c>
      <c r="C22" s="17"/>
      <c r="D22" s="18" t="s">
        <v>39</v>
      </c>
      <c r="E22" s="18">
        <v>55</v>
      </c>
      <c r="F22" s="14">
        <f>H22/0.85</f>
        <v>4.11764705882353</v>
      </c>
      <c r="G22" s="15">
        <f>H22/F22</f>
        <v>0.85</v>
      </c>
      <c r="H22" s="16">
        <v>3.5</v>
      </c>
      <c r="I22" s="16">
        <f>E22*H22</f>
        <v>192.5</v>
      </c>
      <c r="J22" s="17"/>
    </row>
    <row r="23" s="4" customFormat="1" ht="16" customHeight="1" spans="1:10">
      <c r="A23" s="12">
        <v>20</v>
      </c>
      <c r="B23" s="17"/>
      <c r="C23" s="17"/>
      <c r="D23" s="18"/>
      <c r="E23" s="18"/>
      <c r="F23" s="14"/>
      <c r="G23" s="15"/>
      <c r="H23" s="16"/>
      <c r="I23" s="16"/>
      <c r="J23" s="17"/>
    </row>
    <row r="24" s="4" customFormat="1" ht="16" customHeight="1" spans="1:10">
      <c r="A24" s="12">
        <v>21</v>
      </c>
      <c r="B24" s="12"/>
      <c r="C24" s="12"/>
      <c r="D24" s="13"/>
      <c r="E24" s="13"/>
      <c r="F24" s="14"/>
      <c r="G24" s="15"/>
      <c r="H24" s="16"/>
      <c r="I24" s="16"/>
      <c r="J24" s="12"/>
    </row>
    <row r="25" s="4" customFormat="1" ht="16" customHeight="1" spans="1:10">
      <c r="A25" s="12">
        <v>22</v>
      </c>
      <c r="B25" s="17"/>
      <c r="C25" s="17"/>
      <c r="D25" s="13"/>
      <c r="E25" s="13"/>
      <c r="F25" s="14"/>
      <c r="G25" s="15"/>
      <c r="H25" s="16"/>
      <c r="I25" s="16"/>
      <c r="J25" s="12"/>
    </row>
    <row r="26" s="4" customFormat="1" ht="16" customHeight="1" spans="1:10">
      <c r="A26" s="12">
        <v>23</v>
      </c>
      <c r="B26" s="17"/>
      <c r="C26" s="17"/>
      <c r="D26" s="17"/>
      <c r="E26" s="18"/>
      <c r="F26" s="14"/>
      <c r="G26" s="15"/>
      <c r="H26" s="16"/>
      <c r="I26" s="16"/>
      <c r="J26" s="17"/>
    </row>
    <row r="27" s="4" customFormat="1" ht="16" customHeight="1" spans="1:10">
      <c r="A27" s="12">
        <v>24</v>
      </c>
      <c r="B27" s="12"/>
      <c r="C27" s="12"/>
      <c r="D27" s="17"/>
      <c r="E27" s="13"/>
      <c r="F27" s="14"/>
      <c r="G27" s="15"/>
      <c r="H27" s="16"/>
      <c r="I27" s="16"/>
      <c r="J27" s="12"/>
    </row>
    <row r="28" s="4" customFormat="1" ht="16" customHeight="1" spans="1:10">
      <c r="A28" s="12">
        <v>25</v>
      </c>
      <c r="B28" s="12"/>
      <c r="C28" s="12"/>
      <c r="D28" s="17"/>
      <c r="E28" s="13"/>
      <c r="F28" s="14"/>
      <c r="G28" s="15"/>
      <c r="H28" s="16"/>
      <c r="I28" s="16"/>
      <c r="J28" s="12"/>
    </row>
    <row r="29" s="4" customFormat="1" ht="16" customHeight="1" spans="1:10">
      <c r="A29" s="12">
        <v>26</v>
      </c>
      <c r="B29" s="12"/>
      <c r="C29" s="12"/>
      <c r="D29" s="12"/>
      <c r="E29" s="13"/>
      <c r="F29" s="14"/>
      <c r="G29" s="15"/>
      <c r="H29" s="16"/>
      <c r="I29" s="16"/>
      <c r="J29" s="12"/>
    </row>
    <row r="30" s="4" customFormat="1" ht="16" customHeight="1" spans="1:10">
      <c r="A30" s="12">
        <v>27</v>
      </c>
      <c r="B30" s="12"/>
      <c r="C30" s="12"/>
      <c r="D30" s="12"/>
      <c r="E30" s="13"/>
      <c r="F30" s="14"/>
      <c r="G30" s="15"/>
      <c r="H30" s="16"/>
      <c r="I30" s="16"/>
      <c r="J30" s="12"/>
    </row>
    <row r="31" s="4" customFormat="1" ht="16" customHeight="1" spans="1:10">
      <c r="A31" s="12">
        <v>28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4" customFormat="1" customHeight="1" spans="1:10">
      <c r="A32" s="12" t="s">
        <v>23</v>
      </c>
      <c r="B32" s="20">
        <f>SUM(I6:I31)</f>
        <v>836.86</v>
      </c>
      <c r="C32" s="21"/>
      <c r="D32" s="21"/>
      <c r="E32" s="21"/>
      <c r="F32" s="21"/>
      <c r="G32" s="21"/>
      <c r="H32" s="21"/>
      <c r="I32" s="21"/>
      <c r="J32" s="25"/>
    </row>
    <row r="33" s="4" customFormat="1" customHeight="1" spans="1:10">
      <c r="A33" s="12" t="s">
        <v>24</v>
      </c>
      <c r="B33" s="23">
        <f>B32</f>
        <v>836.86</v>
      </c>
      <c r="C33" s="24"/>
      <c r="D33" s="24"/>
      <c r="E33" s="24"/>
      <c r="F33" s="24"/>
      <c r="G33" s="24"/>
      <c r="H33" s="24"/>
      <c r="I33" s="24"/>
      <c r="J33" s="26"/>
    </row>
    <row r="34" s="4" customFormat="1" customHeight="1" spans="1:1">
      <c r="A34" s="4" t="s">
        <v>25</v>
      </c>
    </row>
  </sheetData>
  <mergeCells count="4">
    <mergeCell ref="A1:J1"/>
    <mergeCell ref="B32:J32"/>
    <mergeCell ref="B33:J33"/>
    <mergeCell ref="A34:J34"/>
  </mergeCells>
  <conditionalFormatting sqref="B6:B31">
    <cfRule type="duplicateValues" dxfId="0" priority="1"/>
  </conditionalFormatting>
  <conditionalFormatting sqref="B6:B24">
    <cfRule type="duplicateValues" dxfId="0" priority="2"/>
  </conditionalFormatting>
  <pageMargins left="0.751388888888889" right="0.751388888888889" top="0.409027777777778" bottom="0.2125" header="0.5" footer="0.5"/>
  <pageSetup paperSize="9" scale="95" orientation="portrait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workbookViewId="0">
      <selection activeCell="F22" sqref="F22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30" width="11.6666666666667" style="4" customWidth="1"/>
    <col min="16331" max="16331" width="11.6666666666667" style="4"/>
    <col min="16332" max="16337" width="11" style="4"/>
    <col min="16338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45209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 t="shared" ref="F6:F25" si="0">H6/0.85</f>
        <v>3.52941176470588</v>
      </c>
      <c r="G6" s="15">
        <f t="shared" ref="G6:G25" si="1">H6/F6</f>
        <v>0.85</v>
      </c>
      <c r="H6" s="16">
        <v>3</v>
      </c>
      <c r="I6" s="16">
        <f t="shared" ref="I6:I25" si="2">E6*H6</f>
        <v>21</v>
      </c>
      <c r="J6" s="12"/>
    </row>
    <row r="7" s="4" customFormat="1" ht="16" customHeight="1" spans="1:10">
      <c r="A7" s="12">
        <v>2</v>
      </c>
      <c r="B7" s="12" t="s">
        <v>57</v>
      </c>
      <c r="C7" s="12"/>
      <c r="D7" s="13" t="s">
        <v>15</v>
      </c>
      <c r="E7" s="13">
        <v>1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3.5</v>
      </c>
      <c r="J7" s="12"/>
    </row>
    <row r="8" s="4" customFormat="1" ht="16" customHeight="1" spans="1:10">
      <c r="A8" s="12">
        <v>3</v>
      </c>
      <c r="B8" s="12" t="s">
        <v>58</v>
      </c>
      <c r="C8" s="12"/>
      <c r="D8" s="13" t="s">
        <v>15</v>
      </c>
      <c r="E8" s="13">
        <v>2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7</v>
      </c>
      <c r="J8" s="12"/>
    </row>
    <row r="9" s="4" customFormat="1" ht="16" customHeight="1" spans="1:10">
      <c r="A9" s="12">
        <v>4</v>
      </c>
      <c r="B9" s="17" t="s">
        <v>16</v>
      </c>
      <c r="C9" s="17"/>
      <c r="D9" s="13" t="s">
        <v>15</v>
      </c>
      <c r="E9" s="13">
        <v>6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21</v>
      </c>
      <c r="J9" s="12"/>
    </row>
    <row r="10" s="4" customFormat="1" ht="16" customHeight="1" spans="1:10">
      <c r="A10" s="12">
        <v>5</v>
      </c>
      <c r="B10" s="17" t="s">
        <v>99</v>
      </c>
      <c r="C10" s="17"/>
      <c r="D10" s="13" t="s">
        <v>28</v>
      </c>
      <c r="E10" s="13">
        <v>8</v>
      </c>
      <c r="F10" s="14">
        <f t="shared" si="0"/>
        <v>3.52941176470588</v>
      </c>
      <c r="G10" s="15">
        <f t="shared" si="1"/>
        <v>0.85</v>
      </c>
      <c r="H10" s="16">
        <v>3</v>
      </c>
      <c r="I10" s="16">
        <f t="shared" si="2"/>
        <v>24</v>
      </c>
      <c r="J10" s="12"/>
    </row>
    <row r="11" s="4" customFormat="1" ht="16" customHeight="1" spans="1:10">
      <c r="A11" s="12">
        <v>6</v>
      </c>
      <c r="B11" s="12" t="s">
        <v>26</v>
      </c>
      <c r="C11" s="12"/>
      <c r="D11" s="13" t="s">
        <v>15</v>
      </c>
      <c r="E11" s="13">
        <v>6</v>
      </c>
      <c r="F11" s="14">
        <f t="shared" si="0"/>
        <v>9.17647058823529</v>
      </c>
      <c r="G11" s="15">
        <f t="shared" si="1"/>
        <v>0.85</v>
      </c>
      <c r="H11" s="16">
        <v>7.8</v>
      </c>
      <c r="I11" s="16">
        <f t="shared" si="2"/>
        <v>46.8</v>
      </c>
      <c r="J11" s="12"/>
    </row>
    <row r="12" s="4" customFormat="1" ht="16" customHeight="1" spans="1:10">
      <c r="A12" s="12">
        <v>7</v>
      </c>
      <c r="B12" s="12" t="s">
        <v>29</v>
      </c>
      <c r="C12" s="12"/>
      <c r="D12" s="13" t="s">
        <v>15</v>
      </c>
      <c r="E12" s="13">
        <v>6</v>
      </c>
      <c r="F12" s="14">
        <f t="shared" si="0"/>
        <v>6.47058823529412</v>
      </c>
      <c r="G12" s="15">
        <f t="shared" si="1"/>
        <v>0.85</v>
      </c>
      <c r="H12" s="16">
        <v>5.5</v>
      </c>
      <c r="I12" s="16">
        <f t="shared" si="2"/>
        <v>33</v>
      </c>
      <c r="J12" s="12"/>
    </row>
    <row r="13" s="4" customFormat="1" ht="16" customHeight="1" spans="1:10">
      <c r="A13" s="12">
        <v>8</v>
      </c>
      <c r="B13" s="17" t="s">
        <v>30</v>
      </c>
      <c r="C13" s="17"/>
      <c r="D13" s="18" t="s">
        <v>15</v>
      </c>
      <c r="E13" s="18">
        <v>8</v>
      </c>
      <c r="F13" s="14">
        <f t="shared" si="0"/>
        <v>4.47058823529412</v>
      </c>
      <c r="G13" s="15">
        <f t="shared" si="1"/>
        <v>0.85</v>
      </c>
      <c r="H13" s="19">
        <v>3.8</v>
      </c>
      <c r="I13" s="16">
        <f t="shared" si="2"/>
        <v>30.4</v>
      </c>
      <c r="J13" s="17"/>
    </row>
    <row r="14" s="4" customFormat="1" ht="16" customHeight="1" spans="1:10">
      <c r="A14" s="12">
        <v>9</v>
      </c>
      <c r="B14" s="17" t="s">
        <v>89</v>
      </c>
      <c r="C14" s="17"/>
      <c r="D14" s="18" t="s">
        <v>15</v>
      </c>
      <c r="E14" s="18">
        <v>8</v>
      </c>
      <c r="F14" s="14">
        <f t="shared" si="0"/>
        <v>2.94117647058824</v>
      </c>
      <c r="G14" s="15">
        <f t="shared" si="1"/>
        <v>0.85</v>
      </c>
      <c r="H14" s="19">
        <v>2.5</v>
      </c>
      <c r="I14" s="16">
        <f t="shared" si="2"/>
        <v>20</v>
      </c>
      <c r="J14" s="17"/>
    </row>
    <row r="15" s="4" customFormat="1" ht="16" customHeight="1" spans="1:10">
      <c r="A15" s="12">
        <v>10</v>
      </c>
      <c r="B15" s="17" t="s">
        <v>100</v>
      </c>
      <c r="C15" s="17"/>
      <c r="D15" s="18" t="s">
        <v>15</v>
      </c>
      <c r="E15" s="18">
        <v>18</v>
      </c>
      <c r="F15" s="14">
        <f t="shared" si="0"/>
        <v>6.82352941176471</v>
      </c>
      <c r="G15" s="15">
        <f t="shared" si="1"/>
        <v>0.85</v>
      </c>
      <c r="H15" s="19">
        <v>5.8</v>
      </c>
      <c r="I15" s="16">
        <f t="shared" si="2"/>
        <v>104.4</v>
      </c>
      <c r="J15" s="17"/>
    </row>
    <row r="16" s="4" customFormat="1" ht="16" customHeight="1" spans="1:10">
      <c r="A16" s="12">
        <v>11</v>
      </c>
      <c r="B16" s="12" t="s">
        <v>52</v>
      </c>
      <c r="C16" s="12"/>
      <c r="D16" s="13" t="s">
        <v>15</v>
      </c>
      <c r="E16" s="13">
        <v>19</v>
      </c>
      <c r="F16" s="14">
        <f t="shared" si="0"/>
        <v>2.35294117647059</v>
      </c>
      <c r="G16" s="15">
        <f t="shared" si="1"/>
        <v>0.85</v>
      </c>
      <c r="H16" s="16">
        <v>2</v>
      </c>
      <c r="I16" s="16">
        <f t="shared" si="2"/>
        <v>38</v>
      </c>
      <c r="J16" s="12"/>
    </row>
    <row r="17" s="4" customFormat="1" ht="16" customHeight="1" spans="1:10">
      <c r="A17" s="12">
        <v>12</v>
      </c>
      <c r="B17" s="17" t="s">
        <v>101</v>
      </c>
      <c r="C17" s="17"/>
      <c r="D17" s="18" t="s">
        <v>15</v>
      </c>
      <c r="E17" s="18">
        <v>4</v>
      </c>
      <c r="F17" s="14">
        <f t="shared" si="0"/>
        <v>6.47058823529412</v>
      </c>
      <c r="G17" s="15">
        <f t="shared" si="1"/>
        <v>0.85</v>
      </c>
      <c r="H17" s="16">
        <v>5.5</v>
      </c>
      <c r="I17" s="16">
        <f t="shared" si="2"/>
        <v>22</v>
      </c>
      <c r="J17" s="17"/>
    </row>
    <row r="18" s="4" customFormat="1" ht="16" customHeight="1" spans="1:10">
      <c r="A18" s="12">
        <v>13</v>
      </c>
      <c r="B18" s="17" t="s">
        <v>32</v>
      </c>
      <c r="C18" s="17"/>
      <c r="D18" s="18" t="s">
        <v>15</v>
      </c>
      <c r="E18" s="18">
        <v>7</v>
      </c>
      <c r="F18" s="14">
        <f t="shared" si="0"/>
        <v>5.29411764705882</v>
      </c>
      <c r="G18" s="15">
        <f t="shared" si="1"/>
        <v>0.85</v>
      </c>
      <c r="H18" s="16">
        <v>4.5</v>
      </c>
      <c r="I18" s="16">
        <f t="shared" si="2"/>
        <v>31.5</v>
      </c>
      <c r="J18" s="17"/>
    </row>
    <row r="19" s="4" customFormat="1" ht="16" customHeight="1" spans="1:10">
      <c r="A19" s="12">
        <v>14</v>
      </c>
      <c r="B19" s="17" t="s">
        <v>81</v>
      </c>
      <c r="C19" s="17"/>
      <c r="D19" s="17" t="s">
        <v>15</v>
      </c>
      <c r="E19" s="18">
        <v>6</v>
      </c>
      <c r="F19" s="14">
        <f t="shared" si="0"/>
        <v>8</v>
      </c>
      <c r="G19" s="15">
        <f t="shared" si="1"/>
        <v>0.85</v>
      </c>
      <c r="H19" s="16">
        <v>6.8</v>
      </c>
      <c r="I19" s="16">
        <f t="shared" si="2"/>
        <v>40.8</v>
      </c>
      <c r="J19" s="17"/>
    </row>
    <row r="20" s="4" customFormat="1" ht="16" customHeight="1" spans="1:10">
      <c r="A20" s="12">
        <v>15</v>
      </c>
      <c r="B20" s="17" t="s">
        <v>36</v>
      </c>
      <c r="C20" s="17"/>
      <c r="D20" s="18" t="s">
        <v>15</v>
      </c>
      <c r="E20" s="18">
        <v>2</v>
      </c>
      <c r="F20" s="14">
        <f t="shared" si="0"/>
        <v>19.7647058823529</v>
      </c>
      <c r="G20" s="15">
        <f t="shared" si="1"/>
        <v>0.85</v>
      </c>
      <c r="H20" s="16">
        <v>16.8</v>
      </c>
      <c r="I20" s="16">
        <f t="shared" si="2"/>
        <v>33.6</v>
      </c>
      <c r="J20" s="17"/>
    </row>
    <row r="21" s="4" customFormat="1" ht="16" customHeight="1" spans="1:10">
      <c r="A21" s="12">
        <v>16</v>
      </c>
      <c r="B21" s="17" t="s">
        <v>102</v>
      </c>
      <c r="C21" s="17"/>
      <c r="D21" s="18" t="s">
        <v>15</v>
      </c>
      <c r="E21" s="18">
        <v>6</v>
      </c>
      <c r="F21" s="14">
        <f t="shared" si="0"/>
        <v>28.2352941176471</v>
      </c>
      <c r="G21" s="15">
        <f t="shared" si="1"/>
        <v>0.85</v>
      </c>
      <c r="H21" s="16">
        <v>24</v>
      </c>
      <c r="I21" s="16">
        <f t="shared" si="2"/>
        <v>144</v>
      </c>
      <c r="J21" s="17"/>
    </row>
    <row r="22" s="4" customFormat="1" ht="16" customHeight="1" spans="1:10">
      <c r="A22" s="12">
        <v>17</v>
      </c>
      <c r="B22" s="12" t="s">
        <v>103</v>
      </c>
      <c r="C22" s="12" t="s">
        <v>104</v>
      </c>
      <c r="D22" s="13" t="s">
        <v>15</v>
      </c>
      <c r="E22" s="13">
        <v>2</v>
      </c>
      <c r="F22" s="14">
        <f t="shared" si="0"/>
        <v>7.05882352941176</v>
      </c>
      <c r="G22" s="15">
        <f t="shared" si="1"/>
        <v>0.85</v>
      </c>
      <c r="H22" s="16">
        <v>6</v>
      </c>
      <c r="I22" s="16">
        <f t="shared" si="2"/>
        <v>12</v>
      </c>
      <c r="J22" s="12"/>
    </row>
    <row r="23" s="4" customFormat="1" ht="16" customHeight="1" spans="1:10">
      <c r="A23" s="12">
        <v>18</v>
      </c>
      <c r="B23" s="17" t="s">
        <v>105</v>
      </c>
      <c r="C23" s="17" t="s">
        <v>106</v>
      </c>
      <c r="D23" s="13" t="s">
        <v>47</v>
      </c>
      <c r="E23" s="13">
        <v>2</v>
      </c>
      <c r="F23" s="14">
        <f t="shared" si="0"/>
        <v>205.882352941176</v>
      </c>
      <c r="G23" s="15">
        <f t="shared" si="1"/>
        <v>0.85</v>
      </c>
      <c r="H23" s="16">
        <v>175</v>
      </c>
      <c r="I23" s="16">
        <f t="shared" si="2"/>
        <v>350</v>
      </c>
      <c r="J23" s="12"/>
    </row>
    <row r="24" s="4" customFormat="1" ht="16" customHeight="1" spans="1:10">
      <c r="A24" s="12">
        <v>19</v>
      </c>
      <c r="B24" s="17" t="s">
        <v>107</v>
      </c>
      <c r="C24" s="17" t="s">
        <v>108</v>
      </c>
      <c r="D24" s="17" t="s">
        <v>109</v>
      </c>
      <c r="E24" s="18">
        <v>1</v>
      </c>
      <c r="F24" s="14">
        <f t="shared" si="0"/>
        <v>127.058823529412</v>
      </c>
      <c r="G24" s="15">
        <f t="shared" si="1"/>
        <v>0.85</v>
      </c>
      <c r="H24" s="16">
        <v>108</v>
      </c>
      <c r="I24" s="16">
        <f t="shared" si="2"/>
        <v>108</v>
      </c>
      <c r="J24" s="17"/>
    </row>
    <row r="25" s="4" customFormat="1" ht="16" customHeight="1" spans="1:10">
      <c r="A25" s="12">
        <v>20</v>
      </c>
      <c r="B25" s="12" t="s">
        <v>56</v>
      </c>
      <c r="C25" s="12"/>
      <c r="D25" s="17" t="s">
        <v>39</v>
      </c>
      <c r="E25" s="13">
        <v>70</v>
      </c>
      <c r="F25" s="14">
        <f t="shared" si="0"/>
        <v>4.11764705882353</v>
      </c>
      <c r="G25" s="15">
        <f t="shared" si="1"/>
        <v>0.85</v>
      </c>
      <c r="H25" s="16">
        <v>3.5</v>
      </c>
      <c r="I25" s="16">
        <f t="shared" si="2"/>
        <v>245</v>
      </c>
      <c r="J25" s="12"/>
    </row>
    <row r="26" s="4" customFormat="1" ht="16" customHeight="1" spans="1:10">
      <c r="A26" s="12">
        <v>21</v>
      </c>
      <c r="B26" s="12"/>
      <c r="C26" s="12"/>
      <c r="D26" s="13"/>
      <c r="E26" s="13"/>
      <c r="F26" s="14"/>
      <c r="G26" s="15"/>
      <c r="H26" s="16"/>
      <c r="I26" s="16"/>
      <c r="J26" s="12"/>
    </row>
    <row r="27" s="4" customFormat="1" ht="16" customHeight="1" spans="1:10">
      <c r="A27" s="12">
        <v>22</v>
      </c>
      <c r="B27" s="17"/>
      <c r="C27" s="17"/>
      <c r="D27" s="18"/>
      <c r="E27" s="18"/>
      <c r="F27" s="14"/>
      <c r="G27" s="15"/>
      <c r="H27" s="19"/>
      <c r="I27" s="16"/>
      <c r="J27" s="17"/>
    </row>
    <row r="28" s="4" customFormat="1" ht="16" customHeight="1" spans="1:10">
      <c r="A28" s="12">
        <v>23</v>
      </c>
      <c r="B28" s="12"/>
      <c r="C28" s="12"/>
      <c r="D28" s="17"/>
      <c r="E28" s="13"/>
      <c r="F28" s="14"/>
      <c r="G28" s="15"/>
      <c r="H28" s="16"/>
      <c r="I28" s="16"/>
      <c r="J28" s="12"/>
    </row>
    <row r="29" s="4" customFormat="1" ht="16" customHeight="1" spans="1:10">
      <c r="A29" s="12">
        <v>24</v>
      </c>
      <c r="B29" s="12"/>
      <c r="C29" s="12"/>
      <c r="D29" s="12"/>
      <c r="E29" s="13"/>
      <c r="F29" s="14"/>
      <c r="G29" s="15"/>
      <c r="H29" s="19"/>
      <c r="I29" s="16"/>
      <c r="J29" s="12"/>
    </row>
    <row r="30" s="4" customFormat="1" ht="16" customHeight="1" spans="1:10">
      <c r="A30" s="12">
        <v>25</v>
      </c>
      <c r="B30" s="12"/>
      <c r="C30" s="12"/>
      <c r="D30" s="12"/>
      <c r="E30" s="13"/>
      <c r="F30" s="14"/>
      <c r="G30" s="15"/>
      <c r="H30" s="19"/>
      <c r="I30" s="16"/>
      <c r="J30" s="12"/>
    </row>
    <row r="31" s="4" customFormat="1" ht="16" customHeight="1" spans="1:10">
      <c r="A31" s="12">
        <v>26</v>
      </c>
      <c r="B31" s="12"/>
      <c r="C31" s="12"/>
      <c r="D31" s="12"/>
      <c r="E31" s="13"/>
      <c r="F31" s="14"/>
      <c r="G31" s="15"/>
      <c r="H31" s="19"/>
      <c r="I31" s="16"/>
      <c r="J31" s="12"/>
    </row>
    <row r="32" s="4" customFormat="1" ht="16" customHeight="1" spans="1:10">
      <c r="A32" s="12">
        <v>27</v>
      </c>
      <c r="B32" s="12"/>
      <c r="C32" s="12"/>
      <c r="D32" s="12"/>
      <c r="E32" s="13"/>
      <c r="F32" s="14"/>
      <c r="G32" s="15"/>
      <c r="H32" s="19"/>
      <c r="I32" s="16"/>
      <c r="J32" s="12"/>
    </row>
    <row r="33" s="4" customFormat="1" ht="16" customHeight="1" spans="1:10">
      <c r="A33" s="12">
        <v>28</v>
      </c>
      <c r="B33" s="12"/>
      <c r="C33" s="12"/>
      <c r="D33" s="12"/>
      <c r="E33" s="13"/>
      <c r="F33" s="14"/>
      <c r="G33" s="15"/>
      <c r="H33" s="19"/>
      <c r="I33" s="16"/>
      <c r="J33" s="12"/>
    </row>
    <row r="34" s="4" customFormat="1" customHeight="1" spans="1:10">
      <c r="A34" s="12" t="s">
        <v>23</v>
      </c>
      <c r="B34" s="20">
        <f>SUM(I6:I33)</f>
        <v>1336</v>
      </c>
      <c r="C34" s="21"/>
      <c r="D34" s="21"/>
      <c r="E34" s="22"/>
      <c r="F34" s="21"/>
      <c r="G34" s="21"/>
      <c r="H34" s="21"/>
      <c r="I34" s="21"/>
      <c r="J34" s="25"/>
    </row>
    <row r="35" s="4" customFormat="1" customHeight="1" spans="1:10">
      <c r="A35" s="12" t="s">
        <v>24</v>
      </c>
      <c r="B35" s="23">
        <f>B34</f>
        <v>1336</v>
      </c>
      <c r="C35" s="24"/>
      <c r="D35" s="24"/>
      <c r="E35" s="22"/>
      <c r="F35" s="24"/>
      <c r="G35" s="24"/>
      <c r="H35" s="24"/>
      <c r="I35" s="24"/>
      <c r="J35" s="26"/>
    </row>
    <row r="36" s="4" customFormat="1" customHeight="1" spans="1:5">
      <c r="A36" s="4" t="s">
        <v>25</v>
      </c>
      <c r="E36" s="5"/>
    </row>
  </sheetData>
  <sortState ref="A12:J27">
    <sortCondition ref="A12"/>
  </sortState>
  <mergeCells count="4">
    <mergeCell ref="A1:J1"/>
    <mergeCell ref="B34:J34"/>
    <mergeCell ref="B35:J35"/>
    <mergeCell ref="A36:J36"/>
  </mergeCells>
  <conditionalFormatting sqref="B6:B24">
    <cfRule type="duplicateValues" dxfId="0" priority="2"/>
  </conditionalFormatting>
  <conditionalFormatting sqref="B6:B33">
    <cfRule type="duplicateValues" dxfId="0" priority="1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3"/>
  <sheetViews>
    <sheetView topLeftCell="A9" workbookViewId="0">
      <selection activeCell="B27" sqref="B27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30" width="11.6666666666667" style="4" customWidth="1"/>
    <col min="16331" max="16331" width="11.6666666666667" style="4"/>
    <col min="16332" max="16337" width="11" style="4"/>
    <col min="16338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45210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>H6/0.85</f>
        <v>3.52941176470588</v>
      </c>
      <c r="G6" s="15">
        <f t="shared" ref="G6:G30" si="0">H6/F6</f>
        <v>0.850000000000001</v>
      </c>
      <c r="H6" s="16">
        <v>3</v>
      </c>
      <c r="I6" s="16">
        <f t="shared" ref="I6:I30" si="1">E6*H6</f>
        <v>21</v>
      </c>
      <c r="J6" s="12"/>
    </row>
    <row r="7" s="4" customFormat="1" ht="16" customHeight="1" spans="1:10">
      <c r="A7" s="12">
        <v>2</v>
      </c>
      <c r="B7" s="12" t="s">
        <v>110</v>
      </c>
      <c r="C7" s="12"/>
      <c r="D7" s="13" t="s">
        <v>15</v>
      </c>
      <c r="E7" s="13">
        <v>2</v>
      </c>
      <c r="F7" s="14">
        <f t="shared" ref="F7:F30" si="2">H7/0.85</f>
        <v>4.70588235294118</v>
      </c>
      <c r="G7" s="15">
        <f t="shared" si="0"/>
        <v>0.85</v>
      </c>
      <c r="H7" s="16">
        <v>4</v>
      </c>
      <c r="I7" s="16">
        <f t="shared" si="1"/>
        <v>8</v>
      </c>
      <c r="J7" s="12"/>
    </row>
    <row r="8" s="4" customFormat="1" ht="16" customHeight="1" spans="1:10">
      <c r="A8" s="12">
        <v>3</v>
      </c>
      <c r="B8" s="12" t="s">
        <v>16</v>
      </c>
      <c r="C8" s="12"/>
      <c r="D8" s="13" t="s">
        <v>15</v>
      </c>
      <c r="E8" s="13">
        <v>6</v>
      </c>
      <c r="F8" s="14">
        <f t="shared" si="2"/>
        <v>4.11764705882353</v>
      </c>
      <c r="G8" s="15">
        <f t="shared" si="0"/>
        <v>0.85</v>
      </c>
      <c r="H8" s="16">
        <v>3.5</v>
      </c>
      <c r="I8" s="16">
        <f t="shared" si="1"/>
        <v>21</v>
      </c>
      <c r="J8" s="12"/>
    </row>
    <row r="9" s="4" customFormat="1" ht="16" customHeight="1" spans="1:10">
      <c r="A9" s="12">
        <v>4</v>
      </c>
      <c r="B9" s="17" t="s">
        <v>50</v>
      </c>
      <c r="C9" s="17"/>
      <c r="D9" s="13" t="s">
        <v>15</v>
      </c>
      <c r="E9" s="13">
        <v>5</v>
      </c>
      <c r="F9" s="14">
        <f t="shared" si="2"/>
        <v>5.29411764705882</v>
      </c>
      <c r="G9" s="15">
        <f t="shared" si="0"/>
        <v>0.85</v>
      </c>
      <c r="H9" s="16">
        <v>4.5</v>
      </c>
      <c r="I9" s="16">
        <f t="shared" si="1"/>
        <v>22.5</v>
      </c>
      <c r="J9" s="12"/>
    </row>
    <row r="10" s="4" customFormat="1" ht="16" customHeight="1" spans="1:10">
      <c r="A10" s="12">
        <v>5</v>
      </c>
      <c r="B10" s="17" t="s">
        <v>51</v>
      </c>
      <c r="C10" s="17"/>
      <c r="D10" s="13" t="s">
        <v>15</v>
      </c>
      <c r="E10" s="13">
        <v>5</v>
      </c>
      <c r="F10" s="14">
        <f t="shared" si="2"/>
        <v>4.11764705882353</v>
      </c>
      <c r="G10" s="15">
        <f t="shared" si="0"/>
        <v>0.85</v>
      </c>
      <c r="H10" s="16">
        <v>3.5</v>
      </c>
      <c r="I10" s="16">
        <f t="shared" si="1"/>
        <v>17.5</v>
      </c>
      <c r="J10" s="12"/>
    </row>
    <row r="11" s="4" customFormat="1" ht="16" customHeight="1" spans="1:10">
      <c r="A11" s="12">
        <v>6</v>
      </c>
      <c r="B11" s="12" t="s">
        <v>26</v>
      </c>
      <c r="C11" s="12"/>
      <c r="D11" s="13" t="s">
        <v>15</v>
      </c>
      <c r="E11" s="13">
        <v>5</v>
      </c>
      <c r="F11" s="14">
        <f t="shared" si="2"/>
        <v>9.17647058823529</v>
      </c>
      <c r="G11" s="15">
        <f t="shared" si="0"/>
        <v>0.85</v>
      </c>
      <c r="H11" s="16">
        <v>7.8</v>
      </c>
      <c r="I11" s="16">
        <f t="shared" si="1"/>
        <v>39</v>
      </c>
      <c r="J11" s="12"/>
    </row>
    <row r="12" s="4" customFormat="1" ht="16" customHeight="1" spans="1:10">
      <c r="A12" s="12">
        <v>7</v>
      </c>
      <c r="B12" s="12" t="s">
        <v>29</v>
      </c>
      <c r="C12" s="12"/>
      <c r="D12" s="13" t="s">
        <v>15</v>
      </c>
      <c r="E12" s="13">
        <v>5</v>
      </c>
      <c r="F12" s="14">
        <f t="shared" si="2"/>
        <v>6.47058823529412</v>
      </c>
      <c r="G12" s="15">
        <f t="shared" si="0"/>
        <v>0.85</v>
      </c>
      <c r="H12" s="16">
        <v>5.5</v>
      </c>
      <c r="I12" s="16">
        <f t="shared" si="1"/>
        <v>27.5</v>
      </c>
      <c r="J12" s="12"/>
    </row>
    <row r="13" s="4" customFormat="1" ht="16" customHeight="1" spans="1:10">
      <c r="A13" s="12">
        <v>8</v>
      </c>
      <c r="B13" s="12" t="s">
        <v>111</v>
      </c>
      <c r="C13" s="12"/>
      <c r="D13" s="13" t="s">
        <v>15</v>
      </c>
      <c r="E13" s="13">
        <v>15</v>
      </c>
      <c r="F13" s="14">
        <f t="shared" si="2"/>
        <v>7.64705882352941</v>
      </c>
      <c r="G13" s="15">
        <f t="shared" si="0"/>
        <v>0.85</v>
      </c>
      <c r="H13" s="16">
        <v>6.5</v>
      </c>
      <c r="I13" s="16">
        <f t="shared" si="1"/>
        <v>97.5</v>
      </c>
      <c r="J13" s="12"/>
    </row>
    <row r="14" s="4" customFormat="1" ht="16" customHeight="1" spans="1:10">
      <c r="A14" s="12">
        <v>9</v>
      </c>
      <c r="B14" s="17" t="s">
        <v>112</v>
      </c>
      <c r="C14" s="17"/>
      <c r="D14" s="18" t="s">
        <v>15</v>
      </c>
      <c r="E14" s="18">
        <v>19</v>
      </c>
      <c r="F14" s="14">
        <f t="shared" si="2"/>
        <v>5.64705882352941</v>
      </c>
      <c r="G14" s="15">
        <f t="shared" si="0"/>
        <v>0.85</v>
      </c>
      <c r="H14" s="19">
        <v>4.8</v>
      </c>
      <c r="I14" s="16">
        <f t="shared" si="1"/>
        <v>91.2</v>
      </c>
      <c r="J14" s="17"/>
    </row>
    <row r="15" s="4" customFormat="1" ht="16" customHeight="1" spans="1:10">
      <c r="A15" s="12">
        <v>10</v>
      </c>
      <c r="B15" s="17" t="s">
        <v>19</v>
      </c>
      <c r="C15" s="17"/>
      <c r="D15" s="18" t="s">
        <v>15</v>
      </c>
      <c r="E15" s="18">
        <v>14</v>
      </c>
      <c r="F15" s="14">
        <f t="shared" si="2"/>
        <v>2.11764705882353</v>
      </c>
      <c r="G15" s="15">
        <f t="shared" si="0"/>
        <v>0.85</v>
      </c>
      <c r="H15" s="19">
        <v>1.8</v>
      </c>
      <c r="I15" s="16">
        <f t="shared" si="1"/>
        <v>25.2</v>
      </c>
      <c r="J15" s="17"/>
    </row>
    <row r="16" s="4" customFormat="1" ht="16" customHeight="1" spans="1:10">
      <c r="A16" s="12">
        <v>11</v>
      </c>
      <c r="B16" s="17" t="s">
        <v>31</v>
      </c>
      <c r="C16" s="17"/>
      <c r="D16" s="18" t="s">
        <v>15</v>
      </c>
      <c r="E16" s="18">
        <v>8</v>
      </c>
      <c r="F16" s="14">
        <f t="shared" si="2"/>
        <v>5.64705882352941</v>
      </c>
      <c r="G16" s="15">
        <f t="shared" si="0"/>
        <v>0.85</v>
      </c>
      <c r="H16" s="19">
        <v>4.8</v>
      </c>
      <c r="I16" s="16">
        <f t="shared" si="1"/>
        <v>38.4</v>
      </c>
      <c r="J16" s="17"/>
    </row>
    <row r="17" s="4" customFormat="1" ht="16" customHeight="1" spans="1:10">
      <c r="A17" s="12">
        <v>12</v>
      </c>
      <c r="B17" s="17" t="s">
        <v>113</v>
      </c>
      <c r="C17" s="17"/>
      <c r="D17" s="18" t="s">
        <v>15</v>
      </c>
      <c r="E17" s="18">
        <v>6.8</v>
      </c>
      <c r="F17" s="14">
        <f t="shared" si="2"/>
        <v>6.47058823529412</v>
      </c>
      <c r="G17" s="15">
        <f t="shared" si="0"/>
        <v>0.85</v>
      </c>
      <c r="H17" s="19">
        <v>5.5</v>
      </c>
      <c r="I17" s="16">
        <f t="shared" si="1"/>
        <v>37.4</v>
      </c>
      <c r="J17" s="17"/>
    </row>
    <row r="18" s="4" customFormat="1" ht="16" customHeight="1" spans="1:10">
      <c r="A18" s="12">
        <v>13</v>
      </c>
      <c r="B18" s="12" t="s">
        <v>34</v>
      </c>
      <c r="C18" s="12"/>
      <c r="D18" s="13" t="s">
        <v>15</v>
      </c>
      <c r="E18" s="13">
        <v>18</v>
      </c>
      <c r="F18" s="14">
        <f t="shared" si="2"/>
        <v>4.11764705882353</v>
      </c>
      <c r="G18" s="15">
        <f t="shared" si="0"/>
        <v>0.85</v>
      </c>
      <c r="H18" s="16">
        <v>3.5</v>
      </c>
      <c r="I18" s="16">
        <f t="shared" si="1"/>
        <v>63</v>
      </c>
      <c r="J18" s="12"/>
    </row>
    <row r="19" s="4" customFormat="1" ht="16" customHeight="1" spans="1:10">
      <c r="A19" s="12">
        <v>14</v>
      </c>
      <c r="B19" s="17" t="s">
        <v>82</v>
      </c>
      <c r="C19" s="17"/>
      <c r="D19" s="18" t="s">
        <v>15</v>
      </c>
      <c r="E19" s="18">
        <v>7</v>
      </c>
      <c r="F19" s="14">
        <f t="shared" si="2"/>
        <v>33.8823529411765</v>
      </c>
      <c r="G19" s="15">
        <f t="shared" si="0"/>
        <v>0.85</v>
      </c>
      <c r="H19" s="16">
        <v>28.8</v>
      </c>
      <c r="I19" s="16">
        <f t="shared" si="1"/>
        <v>201.6</v>
      </c>
      <c r="J19" s="17"/>
    </row>
    <row r="20" s="4" customFormat="1" ht="16" customHeight="1" spans="1:10">
      <c r="A20" s="12">
        <v>15</v>
      </c>
      <c r="B20" s="17" t="s">
        <v>114</v>
      </c>
      <c r="C20" s="17"/>
      <c r="D20" s="17" t="s">
        <v>66</v>
      </c>
      <c r="E20" s="18">
        <v>1</v>
      </c>
      <c r="F20" s="14">
        <f t="shared" si="2"/>
        <v>76.4705882352941</v>
      </c>
      <c r="G20" s="15">
        <f t="shared" si="0"/>
        <v>0.85</v>
      </c>
      <c r="H20" s="16">
        <v>65</v>
      </c>
      <c r="I20" s="16">
        <f t="shared" si="1"/>
        <v>65</v>
      </c>
      <c r="J20" s="17"/>
    </row>
    <row r="21" s="4" customFormat="1" ht="16" customHeight="1" spans="1:10">
      <c r="A21" s="12">
        <v>16</v>
      </c>
      <c r="B21" s="17" t="s">
        <v>115</v>
      </c>
      <c r="C21" s="17" t="s">
        <v>116</v>
      </c>
      <c r="D21" s="18" t="s">
        <v>117</v>
      </c>
      <c r="E21" s="18">
        <v>5</v>
      </c>
      <c r="F21" s="14">
        <f t="shared" si="2"/>
        <v>14.1176470588235</v>
      </c>
      <c r="G21" s="15">
        <f t="shared" si="0"/>
        <v>0.85</v>
      </c>
      <c r="H21" s="16">
        <v>12</v>
      </c>
      <c r="I21" s="16">
        <f t="shared" si="1"/>
        <v>60</v>
      </c>
      <c r="J21" s="17"/>
    </row>
    <row r="22" s="4" customFormat="1" ht="16" customHeight="1" spans="1:10">
      <c r="A22" s="12">
        <v>17</v>
      </c>
      <c r="B22" s="17" t="s">
        <v>118</v>
      </c>
      <c r="C22" s="17"/>
      <c r="D22" s="18" t="s">
        <v>15</v>
      </c>
      <c r="E22" s="18">
        <v>4</v>
      </c>
      <c r="F22" s="14">
        <f t="shared" si="2"/>
        <v>19.7647058823529</v>
      </c>
      <c r="G22" s="15">
        <f t="shared" si="0"/>
        <v>0.85</v>
      </c>
      <c r="H22" s="16">
        <v>16.8</v>
      </c>
      <c r="I22" s="16">
        <f t="shared" si="1"/>
        <v>67.2</v>
      </c>
      <c r="J22" s="17"/>
    </row>
    <row r="23" s="4" customFormat="1" ht="16" customHeight="1" spans="1:10">
      <c r="A23" s="12">
        <v>18</v>
      </c>
      <c r="B23" s="12" t="s">
        <v>119</v>
      </c>
      <c r="C23" s="12"/>
      <c r="D23" s="13" t="s">
        <v>15</v>
      </c>
      <c r="E23" s="13">
        <v>8</v>
      </c>
      <c r="F23" s="14">
        <f t="shared" si="2"/>
        <v>23.5294117647059</v>
      </c>
      <c r="G23" s="15">
        <f t="shared" si="0"/>
        <v>0.85</v>
      </c>
      <c r="H23" s="16">
        <v>20</v>
      </c>
      <c r="I23" s="16">
        <f t="shared" si="1"/>
        <v>160</v>
      </c>
      <c r="J23" s="12"/>
    </row>
    <row r="24" s="4" customFormat="1" ht="16" customHeight="1" spans="1:10">
      <c r="A24" s="12">
        <v>19</v>
      </c>
      <c r="B24" s="17" t="s">
        <v>120</v>
      </c>
      <c r="C24" s="17" t="s">
        <v>121</v>
      </c>
      <c r="D24" s="13" t="s">
        <v>117</v>
      </c>
      <c r="E24" s="13">
        <v>3</v>
      </c>
      <c r="F24" s="14">
        <f t="shared" si="2"/>
        <v>14.7058823529412</v>
      </c>
      <c r="G24" s="15">
        <f t="shared" si="0"/>
        <v>0.85</v>
      </c>
      <c r="H24" s="16">
        <v>12.5</v>
      </c>
      <c r="I24" s="16">
        <f t="shared" si="1"/>
        <v>37.5</v>
      </c>
      <c r="J24" s="12"/>
    </row>
    <row r="25" s="4" customFormat="1" ht="16" customHeight="1" spans="1:10">
      <c r="A25" s="12">
        <v>20</v>
      </c>
      <c r="B25" s="17" t="s">
        <v>76</v>
      </c>
      <c r="C25" s="17" t="s">
        <v>22</v>
      </c>
      <c r="D25" s="17" t="s">
        <v>15</v>
      </c>
      <c r="E25" s="18">
        <v>5</v>
      </c>
      <c r="F25" s="14">
        <f t="shared" si="2"/>
        <v>8</v>
      </c>
      <c r="G25" s="15">
        <f t="shared" si="0"/>
        <v>0.85</v>
      </c>
      <c r="H25" s="16">
        <v>6.8</v>
      </c>
      <c r="I25" s="16">
        <f t="shared" si="1"/>
        <v>34</v>
      </c>
      <c r="J25" s="17"/>
    </row>
    <row r="26" s="4" customFormat="1" ht="16" customHeight="1" spans="1:10">
      <c r="A26" s="12">
        <v>21</v>
      </c>
      <c r="B26" s="12" t="s">
        <v>122</v>
      </c>
      <c r="C26" s="12" t="s">
        <v>123</v>
      </c>
      <c r="D26" s="17" t="s">
        <v>15</v>
      </c>
      <c r="E26" s="13">
        <v>5</v>
      </c>
      <c r="F26" s="14">
        <f t="shared" si="2"/>
        <v>5.76470588235294</v>
      </c>
      <c r="G26" s="15">
        <f t="shared" si="0"/>
        <v>0.85</v>
      </c>
      <c r="H26" s="16">
        <v>4.9</v>
      </c>
      <c r="I26" s="16">
        <f t="shared" si="1"/>
        <v>24.5</v>
      </c>
      <c r="J26" s="12"/>
    </row>
    <row r="27" s="4" customFormat="1" ht="16" customHeight="1" spans="1:10">
      <c r="A27" s="12">
        <v>22</v>
      </c>
      <c r="B27" s="12" t="s">
        <v>56</v>
      </c>
      <c r="C27" s="12"/>
      <c r="D27" s="17" t="s">
        <v>39</v>
      </c>
      <c r="E27" s="13">
        <v>45</v>
      </c>
      <c r="F27" s="14">
        <f t="shared" si="2"/>
        <v>4.11764705882353</v>
      </c>
      <c r="G27" s="15">
        <f t="shared" si="0"/>
        <v>0.85</v>
      </c>
      <c r="H27" s="16">
        <v>3.5</v>
      </c>
      <c r="I27" s="16">
        <f t="shared" si="1"/>
        <v>157.5</v>
      </c>
      <c r="J27" s="12"/>
    </row>
    <row r="28" s="4" customFormat="1" ht="16" customHeight="1" spans="1:10">
      <c r="A28" s="12">
        <v>26</v>
      </c>
      <c r="B28" s="17"/>
      <c r="C28" s="17"/>
      <c r="D28" s="18"/>
      <c r="E28" s="18"/>
      <c r="F28" s="14"/>
      <c r="G28" s="15"/>
      <c r="H28" s="16"/>
      <c r="I28" s="16"/>
      <c r="J28" s="17"/>
    </row>
    <row r="29" s="4" customFormat="1" ht="16" customHeight="1" spans="1:10">
      <c r="A29" s="12">
        <v>27</v>
      </c>
      <c r="B29" s="12"/>
      <c r="C29" s="12"/>
      <c r="D29" s="12"/>
      <c r="E29" s="13"/>
      <c r="F29" s="14"/>
      <c r="G29" s="15"/>
      <c r="H29" s="19"/>
      <c r="I29" s="16"/>
      <c r="J29" s="12"/>
    </row>
    <row r="30" s="4" customFormat="1" ht="16" customHeight="1" spans="1:10">
      <c r="A30" s="12">
        <v>28</v>
      </c>
      <c r="B30" s="12"/>
      <c r="C30" s="12"/>
      <c r="D30" s="12"/>
      <c r="E30" s="13"/>
      <c r="F30" s="14"/>
      <c r="G30" s="15"/>
      <c r="H30" s="19"/>
      <c r="I30" s="16"/>
      <c r="J30" s="12"/>
    </row>
    <row r="31" s="4" customFormat="1" customHeight="1" spans="1:10">
      <c r="A31" s="12" t="s">
        <v>23</v>
      </c>
      <c r="B31" s="20">
        <f>SUM(I6:I30)</f>
        <v>1316.5</v>
      </c>
      <c r="C31" s="21"/>
      <c r="D31" s="21"/>
      <c r="E31" s="22"/>
      <c r="F31" s="21"/>
      <c r="G31" s="21"/>
      <c r="H31" s="21"/>
      <c r="I31" s="21"/>
      <c r="J31" s="25"/>
    </row>
    <row r="32" s="4" customFormat="1" customHeight="1" spans="1:10">
      <c r="A32" s="12" t="s">
        <v>24</v>
      </c>
      <c r="B32" s="23">
        <f>B31</f>
        <v>1316.5</v>
      </c>
      <c r="C32" s="24"/>
      <c r="D32" s="24"/>
      <c r="E32" s="22"/>
      <c r="F32" s="24"/>
      <c r="G32" s="24"/>
      <c r="H32" s="24"/>
      <c r="I32" s="24"/>
      <c r="J32" s="26"/>
    </row>
    <row r="33" s="4" customFormat="1" customHeight="1" spans="1:5">
      <c r="A33" s="4" t="s">
        <v>25</v>
      </c>
      <c r="E33" s="5"/>
    </row>
  </sheetData>
  <sortState ref="A20:J31">
    <sortCondition ref="A20"/>
  </sortState>
  <mergeCells count="4">
    <mergeCell ref="A1:J1"/>
    <mergeCell ref="B31:J31"/>
    <mergeCell ref="B32:J32"/>
    <mergeCell ref="A33:J33"/>
  </mergeCells>
  <conditionalFormatting sqref="B6:B24">
    <cfRule type="duplicateValues" dxfId="0" priority="2"/>
  </conditionalFormatting>
  <conditionalFormatting sqref="B6:B30">
    <cfRule type="duplicateValues" dxfId="0" priority="1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5" workbookViewId="0">
      <selection activeCell="G30" sqref="G30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30" width="11.6666666666667" style="4" customWidth="1"/>
    <col min="16331" max="16331" width="11.6666666666667" style="4"/>
    <col min="16332" max="16337" width="11" style="4"/>
    <col min="16338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45211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>H6/0.85</f>
        <v>3.52941176470588</v>
      </c>
      <c r="G6" s="15">
        <f>H6/F6</f>
        <v>0.85</v>
      </c>
      <c r="H6" s="16">
        <v>3</v>
      </c>
      <c r="I6" s="16">
        <f>E6*H6</f>
        <v>21</v>
      </c>
      <c r="J6" s="12"/>
    </row>
    <row r="7" s="4" customFormat="1" ht="16" customHeight="1" spans="1:10">
      <c r="A7" s="12">
        <v>2</v>
      </c>
      <c r="B7" s="12" t="s">
        <v>57</v>
      </c>
      <c r="C7" s="12"/>
      <c r="D7" s="13" t="s">
        <v>15</v>
      </c>
      <c r="E7" s="13">
        <v>2</v>
      </c>
      <c r="F7" s="14">
        <f>H7/0.85</f>
        <v>4.11764705882353</v>
      </c>
      <c r="G7" s="15">
        <f>H7/F7</f>
        <v>0.85</v>
      </c>
      <c r="H7" s="16">
        <v>3.5</v>
      </c>
      <c r="I7" s="16">
        <f>E7*H7</f>
        <v>7</v>
      </c>
      <c r="J7" s="12"/>
    </row>
    <row r="8" s="4" customFormat="1" ht="16" customHeight="1" spans="1:10">
      <c r="A8" s="12">
        <v>3</v>
      </c>
      <c r="B8" s="12" t="s">
        <v>16</v>
      </c>
      <c r="C8" s="12"/>
      <c r="D8" s="13" t="s">
        <v>15</v>
      </c>
      <c r="E8" s="13">
        <v>6</v>
      </c>
      <c r="F8" s="14">
        <f>H8/0.85</f>
        <v>4.11764705882353</v>
      </c>
      <c r="G8" s="15">
        <f>H8/F8</f>
        <v>0.85</v>
      </c>
      <c r="H8" s="16">
        <v>3.5</v>
      </c>
      <c r="I8" s="16">
        <f>E8*H8</f>
        <v>21</v>
      </c>
      <c r="J8" s="12"/>
    </row>
    <row r="9" s="4" customFormat="1" ht="16" customHeight="1" spans="1:10">
      <c r="A9" s="12">
        <v>4</v>
      </c>
      <c r="B9" s="17" t="s">
        <v>124</v>
      </c>
      <c r="C9" s="17"/>
      <c r="D9" s="13" t="s">
        <v>15</v>
      </c>
      <c r="E9" s="13">
        <v>5</v>
      </c>
      <c r="F9" s="14">
        <f>H9/0.85</f>
        <v>15.0588235294118</v>
      </c>
      <c r="G9" s="15">
        <f>H9/F9</f>
        <v>0.85</v>
      </c>
      <c r="H9" s="16">
        <v>12.8</v>
      </c>
      <c r="I9" s="16">
        <f>E9*H9</f>
        <v>64</v>
      </c>
      <c r="J9" s="12"/>
    </row>
    <row r="10" s="4" customFormat="1" ht="16" customHeight="1" spans="1:10">
      <c r="A10" s="12">
        <v>5</v>
      </c>
      <c r="B10" s="17" t="s">
        <v>125</v>
      </c>
      <c r="C10" s="17"/>
      <c r="D10" s="13" t="s">
        <v>15</v>
      </c>
      <c r="E10" s="13">
        <v>21</v>
      </c>
      <c r="F10" s="14">
        <f>H10/0.85</f>
        <v>10</v>
      </c>
      <c r="G10" s="15">
        <f>H10/F10</f>
        <v>0.85</v>
      </c>
      <c r="H10" s="16">
        <v>8.5</v>
      </c>
      <c r="I10" s="16">
        <f>E10*H10</f>
        <v>178.5</v>
      </c>
      <c r="J10" s="12"/>
    </row>
    <row r="11" s="4" customFormat="1" ht="16" customHeight="1" spans="1:10">
      <c r="A11" s="12">
        <v>6</v>
      </c>
      <c r="B11" s="12" t="s">
        <v>126</v>
      </c>
      <c r="C11" s="12"/>
      <c r="D11" s="13" t="s">
        <v>15</v>
      </c>
      <c r="E11" s="13">
        <v>6</v>
      </c>
      <c r="F11" s="14">
        <f t="shared" ref="F11:F24" si="0">H11/0.85</f>
        <v>17.0588235294118</v>
      </c>
      <c r="G11" s="15">
        <f t="shared" ref="G11:G24" si="1">H11/F11</f>
        <v>0.85</v>
      </c>
      <c r="H11" s="16">
        <v>14.5</v>
      </c>
      <c r="I11" s="16">
        <f t="shared" ref="I11:I24" si="2">E11*H11</f>
        <v>87</v>
      </c>
      <c r="J11" s="12"/>
    </row>
    <row r="12" s="4" customFormat="1" ht="16" customHeight="1" spans="1:10">
      <c r="A12" s="12">
        <v>7</v>
      </c>
      <c r="B12" s="12" t="s">
        <v>41</v>
      </c>
      <c r="C12" s="12"/>
      <c r="D12" s="13" t="s">
        <v>15</v>
      </c>
      <c r="E12" s="13">
        <v>8</v>
      </c>
      <c r="F12" s="14">
        <f t="shared" si="0"/>
        <v>2.35294117647059</v>
      </c>
      <c r="G12" s="15">
        <f t="shared" si="1"/>
        <v>0.85</v>
      </c>
      <c r="H12" s="16">
        <v>2</v>
      </c>
      <c r="I12" s="16">
        <f t="shared" si="2"/>
        <v>16</v>
      </c>
      <c r="J12" s="12"/>
    </row>
    <row r="13" s="4" customFormat="1" ht="16" customHeight="1" spans="1:10">
      <c r="A13" s="12">
        <v>8</v>
      </c>
      <c r="B13" s="17" t="s">
        <v>26</v>
      </c>
      <c r="C13" s="17"/>
      <c r="D13" s="18" t="s">
        <v>15</v>
      </c>
      <c r="E13" s="18">
        <v>3</v>
      </c>
      <c r="F13" s="14">
        <f t="shared" si="0"/>
        <v>9.17647058823529</v>
      </c>
      <c r="G13" s="15">
        <f t="shared" si="1"/>
        <v>0.85</v>
      </c>
      <c r="H13" s="19">
        <v>7.8</v>
      </c>
      <c r="I13" s="16">
        <f t="shared" si="2"/>
        <v>23.4</v>
      </c>
      <c r="J13" s="17"/>
    </row>
    <row r="14" s="4" customFormat="1" ht="16" customHeight="1" spans="1:10">
      <c r="A14" s="12">
        <v>9</v>
      </c>
      <c r="B14" s="17" t="s">
        <v>27</v>
      </c>
      <c r="C14" s="17"/>
      <c r="D14" s="18" t="s">
        <v>28</v>
      </c>
      <c r="E14" s="18">
        <v>8</v>
      </c>
      <c r="F14" s="14">
        <f t="shared" si="0"/>
        <v>3.52941176470588</v>
      </c>
      <c r="G14" s="15">
        <f t="shared" si="1"/>
        <v>0.85</v>
      </c>
      <c r="H14" s="19">
        <v>3</v>
      </c>
      <c r="I14" s="16">
        <f t="shared" si="2"/>
        <v>24</v>
      </c>
      <c r="J14" s="17"/>
    </row>
    <row r="15" s="4" customFormat="1" ht="16" customHeight="1" spans="1:10">
      <c r="A15" s="12">
        <v>10</v>
      </c>
      <c r="B15" s="17" t="s">
        <v>29</v>
      </c>
      <c r="C15" s="17"/>
      <c r="D15" s="18" t="s">
        <v>15</v>
      </c>
      <c r="E15" s="18">
        <v>3</v>
      </c>
      <c r="F15" s="14">
        <f t="shared" si="0"/>
        <v>6.47058823529412</v>
      </c>
      <c r="G15" s="15">
        <f t="shared" si="1"/>
        <v>0.85</v>
      </c>
      <c r="H15" s="19">
        <v>5.5</v>
      </c>
      <c r="I15" s="16">
        <f t="shared" si="2"/>
        <v>16.5</v>
      </c>
      <c r="J15" s="17"/>
    </row>
    <row r="16" s="4" customFormat="1" ht="16" customHeight="1" spans="1:10">
      <c r="A16" s="12">
        <v>11</v>
      </c>
      <c r="B16" s="17" t="s">
        <v>19</v>
      </c>
      <c r="C16" s="17"/>
      <c r="D16" s="18" t="s">
        <v>15</v>
      </c>
      <c r="E16" s="18">
        <v>16</v>
      </c>
      <c r="F16" s="14">
        <f t="shared" si="0"/>
        <v>2.11764705882353</v>
      </c>
      <c r="G16" s="15">
        <f t="shared" si="1"/>
        <v>0.85</v>
      </c>
      <c r="H16" s="19">
        <v>1.8</v>
      </c>
      <c r="I16" s="16">
        <f t="shared" si="2"/>
        <v>28.8</v>
      </c>
      <c r="J16" s="17"/>
    </row>
    <row r="17" s="4" customFormat="1" ht="16" customHeight="1" spans="1:10">
      <c r="A17" s="12">
        <v>12</v>
      </c>
      <c r="B17" s="17" t="s">
        <v>91</v>
      </c>
      <c r="C17" s="17"/>
      <c r="D17" s="18" t="s">
        <v>15</v>
      </c>
      <c r="E17" s="18">
        <v>2</v>
      </c>
      <c r="F17" s="14">
        <f t="shared" si="0"/>
        <v>5.64705882352941</v>
      </c>
      <c r="G17" s="15">
        <f t="shared" si="1"/>
        <v>0.85</v>
      </c>
      <c r="H17" s="19">
        <v>4.8</v>
      </c>
      <c r="I17" s="16">
        <f t="shared" si="2"/>
        <v>9.6</v>
      </c>
      <c r="J17" s="17"/>
    </row>
    <row r="18" s="4" customFormat="1" ht="16" customHeight="1" spans="1:10">
      <c r="A18" s="12">
        <v>13</v>
      </c>
      <c r="B18" s="17" t="s">
        <v>52</v>
      </c>
      <c r="C18" s="17"/>
      <c r="D18" s="18" t="s">
        <v>15</v>
      </c>
      <c r="E18" s="18">
        <v>4</v>
      </c>
      <c r="F18" s="14">
        <f t="shared" si="0"/>
        <v>2.35294117647059</v>
      </c>
      <c r="G18" s="15">
        <f t="shared" si="1"/>
        <v>0.85</v>
      </c>
      <c r="H18" s="19">
        <v>2</v>
      </c>
      <c r="I18" s="16">
        <f t="shared" si="2"/>
        <v>8</v>
      </c>
      <c r="J18" s="17"/>
    </row>
    <row r="19" s="4" customFormat="1" ht="16" customHeight="1" spans="1:10">
      <c r="A19" s="12">
        <v>14</v>
      </c>
      <c r="B19" s="17" t="s">
        <v>101</v>
      </c>
      <c r="C19" s="17"/>
      <c r="D19" s="18" t="s">
        <v>15</v>
      </c>
      <c r="E19" s="18">
        <v>8.8</v>
      </c>
      <c r="F19" s="14">
        <f t="shared" si="0"/>
        <v>6.47058823529412</v>
      </c>
      <c r="G19" s="15">
        <f t="shared" si="1"/>
        <v>0.85</v>
      </c>
      <c r="H19" s="19">
        <v>5.5</v>
      </c>
      <c r="I19" s="16">
        <f t="shared" si="2"/>
        <v>48.4</v>
      </c>
      <c r="J19" s="17"/>
    </row>
    <row r="20" s="4" customFormat="1" ht="16" customHeight="1" spans="1:10">
      <c r="A20" s="12">
        <v>15</v>
      </c>
      <c r="B20" s="17" t="s">
        <v>127</v>
      </c>
      <c r="C20" s="17"/>
      <c r="D20" s="18" t="s">
        <v>15</v>
      </c>
      <c r="E20" s="18">
        <v>12.54</v>
      </c>
      <c r="F20" s="14">
        <f t="shared" si="0"/>
        <v>15.0588235294118</v>
      </c>
      <c r="G20" s="15">
        <f t="shared" si="1"/>
        <v>0.85</v>
      </c>
      <c r="H20" s="19">
        <v>12.8</v>
      </c>
      <c r="I20" s="16">
        <f t="shared" si="2"/>
        <v>160.512</v>
      </c>
      <c r="J20" s="17"/>
    </row>
    <row r="21" s="4" customFormat="1" ht="16" customHeight="1" spans="1:10">
      <c r="A21" s="12">
        <v>16</v>
      </c>
      <c r="B21" s="17" t="s">
        <v>64</v>
      </c>
      <c r="C21" s="17" t="s">
        <v>65</v>
      </c>
      <c r="D21" s="18" t="s">
        <v>66</v>
      </c>
      <c r="E21" s="18">
        <v>1</v>
      </c>
      <c r="F21" s="14">
        <f t="shared" si="0"/>
        <v>352.941176470588</v>
      </c>
      <c r="G21" s="15">
        <f t="shared" si="1"/>
        <v>0.85</v>
      </c>
      <c r="H21" s="19">
        <v>300</v>
      </c>
      <c r="I21" s="16">
        <f t="shared" si="2"/>
        <v>300</v>
      </c>
      <c r="J21" s="17"/>
    </row>
    <row r="22" s="4" customFormat="1" ht="16" customHeight="1" spans="1:10">
      <c r="A22" s="12">
        <v>17</v>
      </c>
      <c r="B22" s="12" t="s">
        <v>36</v>
      </c>
      <c r="C22" s="12"/>
      <c r="D22" s="13" t="s">
        <v>15</v>
      </c>
      <c r="E22" s="13">
        <v>6</v>
      </c>
      <c r="F22" s="14">
        <f t="shared" si="0"/>
        <v>19.7647058823529</v>
      </c>
      <c r="G22" s="15">
        <f t="shared" si="1"/>
        <v>0.85</v>
      </c>
      <c r="H22" s="19">
        <v>16.8</v>
      </c>
      <c r="I22" s="16">
        <f t="shared" si="2"/>
        <v>100.8</v>
      </c>
      <c r="J22" s="12"/>
    </row>
    <row r="23" s="4" customFormat="1" ht="16" customHeight="1" spans="1:10">
      <c r="A23" s="12">
        <v>18</v>
      </c>
      <c r="B23" s="12" t="s">
        <v>82</v>
      </c>
      <c r="C23" s="12"/>
      <c r="D23" s="17" t="s">
        <v>15</v>
      </c>
      <c r="E23" s="13">
        <v>7</v>
      </c>
      <c r="F23" s="14">
        <f t="shared" si="0"/>
        <v>33.8823529411765</v>
      </c>
      <c r="G23" s="15">
        <f t="shared" si="1"/>
        <v>0.85</v>
      </c>
      <c r="H23" s="19">
        <v>28.8</v>
      </c>
      <c r="I23" s="16">
        <f t="shared" si="2"/>
        <v>201.6</v>
      </c>
      <c r="J23" s="12"/>
    </row>
    <row r="24" s="4" customFormat="1" ht="16" customHeight="1" spans="1:10">
      <c r="A24" s="12">
        <v>19</v>
      </c>
      <c r="B24" s="12" t="s">
        <v>128</v>
      </c>
      <c r="C24" s="12"/>
      <c r="D24" s="17" t="s">
        <v>15</v>
      </c>
      <c r="E24" s="13">
        <v>10.8</v>
      </c>
      <c r="F24" s="14">
        <f t="shared" si="0"/>
        <v>16.2352941176471</v>
      </c>
      <c r="G24" s="15">
        <f t="shared" si="1"/>
        <v>0.85</v>
      </c>
      <c r="H24" s="19">
        <v>13.8</v>
      </c>
      <c r="I24" s="16">
        <f t="shared" si="2"/>
        <v>149.04</v>
      </c>
      <c r="J24" s="12"/>
    </row>
    <row r="25" s="4" customFormat="1" ht="16" customHeight="1" spans="1:10">
      <c r="A25" s="12">
        <v>20</v>
      </c>
      <c r="B25" s="12" t="s">
        <v>129</v>
      </c>
      <c r="C25" s="12" t="s">
        <v>94</v>
      </c>
      <c r="D25" s="12" t="s">
        <v>47</v>
      </c>
      <c r="E25" s="13">
        <v>5</v>
      </c>
      <c r="F25" s="14">
        <f t="shared" ref="F25:F32" si="3">H25/0.85</f>
        <v>10.5882352941176</v>
      </c>
      <c r="G25" s="15">
        <f t="shared" ref="G25:G32" si="4">H25/F25</f>
        <v>0.85</v>
      </c>
      <c r="H25" s="19">
        <v>9</v>
      </c>
      <c r="I25" s="16">
        <f t="shared" ref="I25:I32" si="5">E25*H25</f>
        <v>45</v>
      </c>
      <c r="J25" s="12"/>
    </row>
    <row r="26" s="4" customFormat="1" ht="16" customHeight="1" spans="1:10">
      <c r="A26" s="12">
        <v>21</v>
      </c>
      <c r="B26" s="12" t="s">
        <v>92</v>
      </c>
      <c r="C26" s="12" t="s">
        <v>130</v>
      </c>
      <c r="D26" s="12" t="s">
        <v>47</v>
      </c>
      <c r="E26" s="13">
        <v>1</v>
      </c>
      <c r="F26" s="14">
        <f t="shared" si="3"/>
        <v>576.470588235294</v>
      </c>
      <c r="G26" s="15">
        <f t="shared" si="4"/>
        <v>0.85</v>
      </c>
      <c r="H26" s="19">
        <v>490</v>
      </c>
      <c r="I26" s="16">
        <f t="shared" si="5"/>
        <v>490</v>
      </c>
      <c r="J26" s="12"/>
    </row>
    <row r="27" s="4" customFormat="1" ht="16" customHeight="1" spans="1:10">
      <c r="A27" s="12">
        <v>22</v>
      </c>
      <c r="B27" s="12" t="s">
        <v>131</v>
      </c>
      <c r="C27" s="12" t="s">
        <v>22</v>
      </c>
      <c r="D27" s="12" t="s">
        <v>15</v>
      </c>
      <c r="E27" s="13">
        <v>1</v>
      </c>
      <c r="F27" s="14">
        <f t="shared" si="3"/>
        <v>24.7058823529412</v>
      </c>
      <c r="G27" s="15">
        <f t="shared" si="4"/>
        <v>0.85</v>
      </c>
      <c r="H27" s="19">
        <v>21</v>
      </c>
      <c r="I27" s="16">
        <f t="shared" si="5"/>
        <v>21</v>
      </c>
      <c r="J27" s="12"/>
    </row>
    <row r="28" s="4" customFormat="1" ht="16" customHeight="1" spans="1:10">
      <c r="A28" s="12">
        <v>23</v>
      </c>
      <c r="B28" s="12" t="s">
        <v>132</v>
      </c>
      <c r="C28" s="12" t="s">
        <v>22</v>
      </c>
      <c r="D28" s="12" t="s">
        <v>15</v>
      </c>
      <c r="E28" s="13">
        <v>1</v>
      </c>
      <c r="F28" s="14">
        <f t="shared" si="3"/>
        <v>24.7058823529412</v>
      </c>
      <c r="G28" s="15">
        <f t="shared" si="4"/>
        <v>0.85</v>
      </c>
      <c r="H28" s="19">
        <v>21</v>
      </c>
      <c r="I28" s="16">
        <f t="shared" si="5"/>
        <v>21</v>
      </c>
      <c r="J28" s="12"/>
    </row>
    <row r="29" s="4" customFormat="1" ht="16" customHeight="1" spans="1:10">
      <c r="A29" s="12">
        <v>24</v>
      </c>
      <c r="B29" s="12" t="s">
        <v>133</v>
      </c>
      <c r="C29" s="12" t="s">
        <v>134</v>
      </c>
      <c r="D29" s="12" t="s">
        <v>117</v>
      </c>
      <c r="E29" s="13">
        <v>5</v>
      </c>
      <c r="F29" s="14">
        <f t="shared" si="3"/>
        <v>10</v>
      </c>
      <c r="G29" s="15">
        <f t="shared" si="4"/>
        <v>0.85</v>
      </c>
      <c r="H29" s="19">
        <v>8.5</v>
      </c>
      <c r="I29" s="16">
        <f t="shared" si="5"/>
        <v>42.5</v>
      </c>
      <c r="J29" s="12"/>
    </row>
    <row r="30" s="4" customFormat="1" ht="16" customHeight="1" spans="1:10">
      <c r="A30" s="12">
        <v>25</v>
      </c>
      <c r="B30" s="12" t="s">
        <v>135</v>
      </c>
      <c r="C30" s="12"/>
      <c r="D30" s="12" t="s">
        <v>15</v>
      </c>
      <c r="E30" s="13">
        <v>3</v>
      </c>
      <c r="F30" s="14">
        <f t="shared" si="3"/>
        <v>103.529411764706</v>
      </c>
      <c r="G30" s="15">
        <f t="shared" si="4"/>
        <v>0.85</v>
      </c>
      <c r="H30" s="19">
        <v>88</v>
      </c>
      <c r="I30" s="16">
        <f t="shared" si="5"/>
        <v>264</v>
      </c>
      <c r="J30" s="12"/>
    </row>
    <row r="31" s="4" customFormat="1" ht="16" customHeight="1" spans="1:10">
      <c r="A31" s="12">
        <v>26</v>
      </c>
      <c r="B31" s="12" t="s">
        <v>136</v>
      </c>
      <c r="C31" s="12"/>
      <c r="D31" s="12" t="s">
        <v>55</v>
      </c>
      <c r="E31" s="13">
        <v>5</v>
      </c>
      <c r="F31" s="14">
        <f t="shared" si="3"/>
        <v>30.5882352941176</v>
      </c>
      <c r="G31" s="15">
        <f t="shared" si="4"/>
        <v>0.85</v>
      </c>
      <c r="H31" s="19">
        <v>26</v>
      </c>
      <c r="I31" s="16">
        <f t="shared" si="5"/>
        <v>130</v>
      </c>
      <c r="J31" s="12"/>
    </row>
    <row r="32" s="4" customFormat="1" ht="16" customHeight="1" spans="1:10">
      <c r="A32" s="12">
        <v>27</v>
      </c>
      <c r="B32" s="14" t="s">
        <v>137</v>
      </c>
      <c r="C32" s="14" t="s">
        <v>138</v>
      </c>
      <c r="D32" s="14" t="s">
        <v>39</v>
      </c>
      <c r="E32" s="13">
        <v>60</v>
      </c>
      <c r="F32" s="14">
        <f t="shared" si="3"/>
        <v>4.11764705882353</v>
      </c>
      <c r="G32" s="15">
        <f t="shared" si="4"/>
        <v>0.85</v>
      </c>
      <c r="H32" s="19">
        <v>3.5</v>
      </c>
      <c r="I32" s="16">
        <f t="shared" si="5"/>
        <v>210</v>
      </c>
      <c r="J32" s="12"/>
    </row>
    <row r="33" s="4" customFormat="1" customHeight="1" spans="1:10">
      <c r="A33" s="12">
        <v>28</v>
      </c>
      <c r="B33" s="12"/>
      <c r="C33" s="12"/>
      <c r="D33" s="12"/>
      <c r="E33" s="13"/>
      <c r="F33" s="14"/>
      <c r="G33" s="15"/>
      <c r="H33" s="19"/>
      <c r="I33" s="16"/>
      <c r="J33" s="14"/>
    </row>
    <row r="34" s="4" customFormat="1" customHeight="1" spans="1:10">
      <c r="A34" s="12" t="s">
        <v>23</v>
      </c>
      <c r="B34" s="20">
        <f>SUM(I6:I33)</f>
        <v>2688.652</v>
      </c>
      <c r="C34" s="21"/>
      <c r="D34" s="21"/>
      <c r="E34" s="22"/>
      <c r="F34" s="21"/>
      <c r="G34" s="21"/>
      <c r="H34" s="21"/>
      <c r="I34" s="21"/>
      <c r="J34" s="25"/>
    </row>
    <row r="35" s="4" customFormat="1" customHeight="1" spans="1:10">
      <c r="A35" s="12" t="s">
        <v>24</v>
      </c>
      <c r="B35" s="23">
        <f>B34</f>
        <v>2688.652</v>
      </c>
      <c r="C35" s="24"/>
      <c r="D35" s="24"/>
      <c r="E35" s="22"/>
      <c r="F35" s="24"/>
      <c r="G35" s="24"/>
      <c r="H35" s="24"/>
      <c r="I35" s="24"/>
      <c r="J35" s="26"/>
    </row>
    <row r="36" s="4" customFormat="1" customHeight="1" spans="1:5">
      <c r="A36" s="4" t="s">
        <v>25</v>
      </c>
      <c r="E36" s="5"/>
    </row>
  </sheetData>
  <sortState ref="A32:I33">
    <sortCondition ref="A32"/>
  </sortState>
  <mergeCells count="4">
    <mergeCell ref="A1:J1"/>
    <mergeCell ref="B34:J34"/>
    <mergeCell ref="B35:J35"/>
    <mergeCell ref="A36:J36"/>
  </mergeCells>
  <conditionalFormatting sqref="B6:B33">
    <cfRule type="duplicateValues" dxfId="0" priority="1"/>
  </conditionalFormatting>
  <conditionalFormatting sqref="B6:C22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4" workbookViewId="0">
      <selection activeCell="F11" sqref="F11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30" width="11.6666666666667" style="4" customWidth="1"/>
    <col min="16331" max="16331" width="11.6666666666667" style="4"/>
    <col min="16332" max="16337" width="11" style="4"/>
    <col min="16338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45212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 t="shared" ref="F6:F28" si="0">H6/0.85</f>
        <v>3.52941176470588</v>
      </c>
      <c r="G6" s="15">
        <f t="shared" ref="G6:G28" si="1">H6/F6</f>
        <v>0.85</v>
      </c>
      <c r="H6" s="16">
        <v>3</v>
      </c>
      <c r="I6" s="16">
        <f t="shared" ref="I6:I28" si="2">E6*H6</f>
        <v>21</v>
      </c>
      <c r="J6" s="12"/>
    </row>
    <row r="7" s="4" customFormat="1" ht="16" customHeight="1" spans="1:10">
      <c r="A7" s="12">
        <v>2</v>
      </c>
      <c r="B7" s="12" t="s">
        <v>58</v>
      </c>
      <c r="C7" s="12"/>
      <c r="D7" s="13" t="s">
        <v>15</v>
      </c>
      <c r="E7" s="13">
        <v>3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10.5</v>
      </c>
      <c r="J7" s="12"/>
    </row>
    <row r="8" s="4" customFormat="1" ht="16" customHeight="1" spans="1:10">
      <c r="A8" s="12">
        <v>3</v>
      </c>
      <c r="B8" s="12" t="s">
        <v>16</v>
      </c>
      <c r="C8" s="12"/>
      <c r="D8" s="13" t="s">
        <v>15</v>
      </c>
      <c r="E8" s="13">
        <v>6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21</v>
      </c>
      <c r="J8" s="12"/>
    </row>
    <row r="9" s="4" customFormat="1" ht="16" customHeight="1" spans="1:10">
      <c r="A9" s="12">
        <v>4</v>
      </c>
      <c r="B9" s="17" t="s">
        <v>139</v>
      </c>
      <c r="C9" s="17"/>
      <c r="D9" s="13" t="s">
        <v>15</v>
      </c>
      <c r="E9" s="13">
        <v>6</v>
      </c>
      <c r="F9" s="14">
        <f t="shared" si="0"/>
        <v>6.82352941176471</v>
      </c>
      <c r="G9" s="15">
        <f t="shared" si="1"/>
        <v>0.85</v>
      </c>
      <c r="H9" s="16">
        <v>5.8</v>
      </c>
      <c r="I9" s="16">
        <f t="shared" si="2"/>
        <v>34.8</v>
      </c>
      <c r="J9" s="12"/>
    </row>
    <row r="10" s="4" customFormat="1" ht="16" customHeight="1" spans="1:10">
      <c r="A10" s="12">
        <v>5</v>
      </c>
      <c r="B10" s="12" t="s">
        <v>140</v>
      </c>
      <c r="C10" s="12"/>
      <c r="D10" s="13" t="s">
        <v>15</v>
      </c>
      <c r="E10" s="13">
        <v>16</v>
      </c>
      <c r="F10" s="14">
        <f t="shared" si="0"/>
        <v>2.94117647058824</v>
      </c>
      <c r="G10" s="15">
        <f t="shared" si="1"/>
        <v>0.85</v>
      </c>
      <c r="H10" s="16">
        <v>2.5</v>
      </c>
      <c r="I10" s="16">
        <f t="shared" si="2"/>
        <v>40</v>
      </c>
      <c r="J10" s="12"/>
    </row>
    <row r="11" s="4" customFormat="1" ht="16" customHeight="1" spans="1:10">
      <c r="A11" s="12">
        <v>6</v>
      </c>
      <c r="B11" s="17" t="s">
        <v>50</v>
      </c>
      <c r="C11" s="17"/>
      <c r="D11" s="18" t="s">
        <v>15</v>
      </c>
      <c r="E11" s="18">
        <v>5</v>
      </c>
      <c r="F11" s="14">
        <f t="shared" si="0"/>
        <v>5.29411764705882</v>
      </c>
      <c r="G11" s="15">
        <f t="shared" si="1"/>
        <v>0.85</v>
      </c>
      <c r="H11" s="19">
        <v>4.5</v>
      </c>
      <c r="I11" s="16">
        <f t="shared" si="2"/>
        <v>22.5</v>
      </c>
      <c r="J11" s="12"/>
    </row>
    <row r="12" s="4" customFormat="1" ht="16" customHeight="1" spans="1:10">
      <c r="A12" s="12">
        <v>7</v>
      </c>
      <c r="B12" s="17" t="s">
        <v>26</v>
      </c>
      <c r="C12" s="17"/>
      <c r="D12" s="18" t="s">
        <v>15</v>
      </c>
      <c r="E12" s="18">
        <v>4</v>
      </c>
      <c r="F12" s="14">
        <f t="shared" si="0"/>
        <v>9.17647058823529</v>
      </c>
      <c r="G12" s="15">
        <f t="shared" si="1"/>
        <v>0.85</v>
      </c>
      <c r="H12" s="19">
        <v>7.8</v>
      </c>
      <c r="I12" s="16">
        <f t="shared" si="2"/>
        <v>31.2</v>
      </c>
      <c r="J12" s="17"/>
    </row>
    <row r="13" s="4" customFormat="1" ht="16" customHeight="1" spans="1:10">
      <c r="A13" s="12">
        <v>8</v>
      </c>
      <c r="B13" s="17" t="s">
        <v>141</v>
      </c>
      <c r="C13" s="17"/>
      <c r="D13" s="18" t="s">
        <v>15</v>
      </c>
      <c r="E13" s="18">
        <v>5</v>
      </c>
      <c r="F13" s="14">
        <f t="shared" si="0"/>
        <v>2.94117647058824</v>
      </c>
      <c r="G13" s="15">
        <f t="shared" si="1"/>
        <v>0.85</v>
      </c>
      <c r="H13" s="19">
        <v>2.5</v>
      </c>
      <c r="I13" s="16">
        <f t="shared" si="2"/>
        <v>12.5</v>
      </c>
      <c r="J13" s="17"/>
    </row>
    <row r="14" s="4" customFormat="1" ht="16" customHeight="1" spans="1:10">
      <c r="A14" s="12">
        <v>9</v>
      </c>
      <c r="B14" s="17" t="s">
        <v>29</v>
      </c>
      <c r="C14" s="17"/>
      <c r="D14" s="18" t="s">
        <v>15</v>
      </c>
      <c r="E14" s="18">
        <v>7</v>
      </c>
      <c r="F14" s="14">
        <f t="shared" si="0"/>
        <v>6.47058823529412</v>
      </c>
      <c r="G14" s="15">
        <f t="shared" si="1"/>
        <v>0.85</v>
      </c>
      <c r="H14" s="19">
        <v>5.5</v>
      </c>
      <c r="I14" s="16">
        <f t="shared" si="2"/>
        <v>38.5</v>
      </c>
      <c r="J14" s="17"/>
    </row>
    <row r="15" s="4" customFormat="1" ht="16" customHeight="1" spans="1:10">
      <c r="A15" s="12">
        <v>10</v>
      </c>
      <c r="B15" s="17" t="s">
        <v>18</v>
      </c>
      <c r="C15" s="17"/>
      <c r="D15" s="18" t="s">
        <v>15</v>
      </c>
      <c r="E15" s="18">
        <v>5</v>
      </c>
      <c r="F15" s="14">
        <f t="shared" si="0"/>
        <v>4.47058823529412</v>
      </c>
      <c r="G15" s="15">
        <f t="shared" si="1"/>
        <v>0.85</v>
      </c>
      <c r="H15" s="19">
        <v>3.8</v>
      </c>
      <c r="I15" s="16">
        <f t="shared" si="2"/>
        <v>19</v>
      </c>
      <c r="J15" s="17"/>
    </row>
    <row r="16" s="4" customFormat="1" ht="16" customHeight="1" spans="1:10">
      <c r="A16" s="12">
        <v>11</v>
      </c>
      <c r="B16" s="17" t="s">
        <v>89</v>
      </c>
      <c r="C16" s="17"/>
      <c r="D16" s="18" t="s">
        <v>15</v>
      </c>
      <c r="E16" s="18">
        <v>8</v>
      </c>
      <c r="F16" s="14">
        <f t="shared" si="0"/>
        <v>2.94117647058824</v>
      </c>
      <c r="G16" s="15">
        <f t="shared" si="1"/>
        <v>0.85</v>
      </c>
      <c r="H16" s="19">
        <v>2.5</v>
      </c>
      <c r="I16" s="16">
        <f t="shared" si="2"/>
        <v>20</v>
      </c>
      <c r="J16" s="17"/>
    </row>
    <row r="17" s="4" customFormat="1" ht="16" customHeight="1" spans="1:10">
      <c r="A17" s="12">
        <v>12</v>
      </c>
      <c r="B17" s="12" t="s">
        <v>142</v>
      </c>
      <c r="C17" s="12"/>
      <c r="D17" s="13" t="s">
        <v>15</v>
      </c>
      <c r="E17" s="13">
        <v>5</v>
      </c>
      <c r="F17" s="14">
        <f t="shared" si="0"/>
        <v>5.64705882352941</v>
      </c>
      <c r="G17" s="15">
        <f t="shared" si="1"/>
        <v>0.85</v>
      </c>
      <c r="H17" s="19">
        <v>4.8</v>
      </c>
      <c r="I17" s="16">
        <f t="shared" si="2"/>
        <v>24</v>
      </c>
      <c r="J17" s="17"/>
    </row>
    <row r="18" s="4" customFormat="1" ht="16" customHeight="1" spans="1:10">
      <c r="A18" s="12">
        <v>13</v>
      </c>
      <c r="B18" s="17" t="s">
        <v>63</v>
      </c>
      <c r="C18" s="17"/>
      <c r="D18" s="17" t="s">
        <v>15</v>
      </c>
      <c r="E18" s="18">
        <v>13</v>
      </c>
      <c r="F18" s="14">
        <f t="shared" si="0"/>
        <v>6.82352941176471</v>
      </c>
      <c r="G18" s="15">
        <f t="shared" si="1"/>
        <v>0.85</v>
      </c>
      <c r="H18" s="19">
        <v>5.8</v>
      </c>
      <c r="I18" s="16">
        <f t="shared" si="2"/>
        <v>75.4</v>
      </c>
      <c r="J18" s="12"/>
    </row>
    <row r="19" s="4" customFormat="1" ht="16" customHeight="1" spans="1:10">
      <c r="A19" s="12">
        <v>14</v>
      </c>
      <c r="B19" s="12" t="s">
        <v>31</v>
      </c>
      <c r="C19" s="12"/>
      <c r="D19" s="17" t="s">
        <v>15</v>
      </c>
      <c r="E19" s="13">
        <v>7</v>
      </c>
      <c r="F19" s="14">
        <f t="shared" si="0"/>
        <v>5.64705882352941</v>
      </c>
      <c r="G19" s="15">
        <f t="shared" si="1"/>
        <v>0.85</v>
      </c>
      <c r="H19" s="19">
        <v>4.8</v>
      </c>
      <c r="I19" s="16">
        <f t="shared" si="2"/>
        <v>33.6</v>
      </c>
      <c r="J19" s="17"/>
    </row>
    <row r="20" s="4" customFormat="1" ht="16" customHeight="1" spans="1:10">
      <c r="A20" s="12">
        <v>15</v>
      </c>
      <c r="B20" s="12" t="s">
        <v>34</v>
      </c>
      <c r="C20" s="12"/>
      <c r="D20" s="12" t="s">
        <v>15</v>
      </c>
      <c r="E20" s="13">
        <v>17</v>
      </c>
      <c r="F20" s="14">
        <f t="shared" si="0"/>
        <v>4.11764705882353</v>
      </c>
      <c r="G20" s="15">
        <f t="shared" si="1"/>
        <v>0.85</v>
      </c>
      <c r="H20" s="19">
        <v>3.5</v>
      </c>
      <c r="I20" s="16">
        <f t="shared" si="2"/>
        <v>59.5</v>
      </c>
      <c r="J20" s="12"/>
    </row>
    <row r="21" s="4" customFormat="1" ht="16" customHeight="1" spans="1:10">
      <c r="A21" s="12">
        <v>16</v>
      </c>
      <c r="B21" s="12" t="s">
        <v>143</v>
      </c>
      <c r="C21" s="12" t="s">
        <v>144</v>
      </c>
      <c r="D21" s="12" t="s">
        <v>28</v>
      </c>
      <c r="E21" s="13">
        <v>60</v>
      </c>
      <c r="F21" s="14">
        <f t="shared" si="0"/>
        <v>2.11764705882353</v>
      </c>
      <c r="G21" s="15">
        <f t="shared" si="1"/>
        <v>0.85</v>
      </c>
      <c r="H21" s="19">
        <v>1.8</v>
      </c>
      <c r="I21" s="16">
        <f t="shared" si="2"/>
        <v>108</v>
      </c>
      <c r="J21" s="12"/>
    </row>
    <row r="22" s="4" customFormat="1" ht="16" customHeight="1" spans="1:10">
      <c r="A22" s="12">
        <v>17</v>
      </c>
      <c r="B22" s="12" t="s">
        <v>145</v>
      </c>
      <c r="C22" s="12"/>
      <c r="D22" s="12" t="s">
        <v>15</v>
      </c>
      <c r="E22" s="13">
        <v>6.2</v>
      </c>
      <c r="F22" s="14">
        <f t="shared" si="0"/>
        <v>25.8823529411765</v>
      </c>
      <c r="G22" s="15">
        <f t="shared" si="1"/>
        <v>0.85</v>
      </c>
      <c r="H22" s="19">
        <v>22</v>
      </c>
      <c r="I22" s="16">
        <f t="shared" si="2"/>
        <v>136.4</v>
      </c>
      <c r="J22" s="12"/>
    </row>
    <row r="23" s="4" customFormat="1" ht="16" customHeight="1" spans="1:10">
      <c r="A23" s="12">
        <v>18</v>
      </c>
      <c r="B23" s="12" t="s">
        <v>82</v>
      </c>
      <c r="C23" s="12"/>
      <c r="D23" s="12" t="s">
        <v>15</v>
      </c>
      <c r="E23" s="13">
        <v>6</v>
      </c>
      <c r="F23" s="14">
        <f t="shared" si="0"/>
        <v>33.8823529411765</v>
      </c>
      <c r="G23" s="15">
        <f t="shared" si="1"/>
        <v>0.85</v>
      </c>
      <c r="H23" s="19">
        <v>28.8</v>
      </c>
      <c r="I23" s="16">
        <f t="shared" si="2"/>
        <v>172.8</v>
      </c>
      <c r="J23" s="12"/>
    </row>
    <row r="24" s="4" customFormat="1" ht="16" customHeight="1" spans="1:10">
      <c r="A24" s="12">
        <v>19</v>
      </c>
      <c r="B24" s="14" t="s">
        <v>67</v>
      </c>
      <c r="C24" s="14"/>
      <c r="D24" s="14" t="s">
        <v>15</v>
      </c>
      <c r="E24" s="13">
        <v>5</v>
      </c>
      <c r="F24" s="14">
        <f t="shared" si="0"/>
        <v>21.7647058823529</v>
      </c>
      <c r="G24" s="15">
        <f t="shared" si="1"/>
        <v>0.85</v>
      </c>
      <c r="H24" s="19">
        <v>18.5</v>
      </c>
      <c r="I24" s="16">
        <f t="shared" si="2"/>
        <v>92.5</v>
      </c>
      <c r="J24" s="12"/>
    </row>
    <row r="25" s="4" customFormat="1" customHeight="1" spans="1:10">
      <c r="A25" s="12">
        <v>20</v>
      </c>
      <c r="B25" s="14" t="s">
        <v>146</v>
      </c>
      <c r="C25" s="14" t="s">
        <v>147</v>
      </c>
      <c r="D25" s="14" t="s">
        <v>66</v>
      </c>
      <c r="E25" s="13">
        <v>1</v>
      </c>
      <c r="F25" s="14">
        <f t="shared" si="0"/>
        <v>141.176470588235</v>
      </c>
      <c r="G25" s="15">
        <f t="shared" si="1"/>
        <v>0.85</v>
      </c>
      <c r="H25" s="19">
        <v>120</v>
      </c>
      <c r="I25" s="16">
        <f t="shared" si="2"/>
        <v>120</v>
      </c>
      <c r="J25" s="14"/>
    </row>
    <row r="26" s="4" customFormat="1" customHeight="1" spans="1:10">
      <c r="A26" s="12">
        <v>21</v>
      </c>
      <c r="B26" s="14" t="s">
        <v>148</v>
      </c>
      <c r="C26" s="14" t="s">
        <v>149</v>
      </c>
      <c r="D26" s="14" t="s">
        <v>66</v>
      </c>
      <c r="E26" s="13">
        <v>1</v>
      </c>
      <c r="F26" s="14">
        <f t="shared" si="0"/>
        <v>411.764705882353</v>
      </c>
      <c r="G26" s="15">
        <f t="shared" si="1"/>
        <v>0.85</v>
      </c>
      <c r="H26" s="19">
        <v>350</v>
      </c>
      <c r="I26" s="16">
        <f t="shared" si="2"/>
        <v>350</v>
      </c>
      <c r="J26" s="14"/>
    </row>
    <row r="27" s="4" customFormat="1" customHeight="1" spans="1:10">
      <c r="A27" s="12">
        <v>22</v>
      </c>
      <c r="B27" s="14" t="s">
        <v>137</v>
      </c>
      <c r="C27" s="14" t="s">
        <v>138</v>
      </c>
      <c r="D27" s="14" t="s">
        <v>39</v>
      </c>
      <c r="E27" s="13">
        <v>65</v>
      </c>
      <c r="F27" s="14">
        <f t="shared" si="0"/>
        <v>4.11764705882353</v>
      </c>
      <c r="G27" s="15">
        <f t="shared" si="1"/>
        <v>0.85</v>
      </c>
      <c r="H27" s="19">
        <v>3.5</v>
      </c>
      <c r="I27" s="16">
        <f t="shared" si="2"/>
        <v>227.5</v>
      </c>
      <c r="J27" s="14"/>
    </row>
    <row r="28" s="4" customFormat="1" customHeight="1" spans="1:10">
      <c r="A28" s="12">
        <v>24</v>
      </c>
      <c r="B28" s="12"/>
      <c r="C28" s="12"/>
      <c r="D28" s="13"/>
      <c r="E28" s="13"/>
      <c r="F28" s="14"/>
      <c r="G28" s="15"/>
      <c r="H28" s="16"/>
      <c r="I28" s="16"/>
      <c r="J28" s="14"/>
    </row>
    <row r="29" s="4" customFormat="1" customHeight="1" spans="1:10">
      <c r="A29" s="12">
        <v>25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26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27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28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 t="s">
        <v>23</v>
      </c>
      <c r="B33" s="20">
        <f>SUM(I6:I32)</f>
        <v>1670.7</v>
      </c>
      <c r="C33" s="21"/>
      <c r="D33" s="21"/>
      <c r="E33" s="22"/>
      <c r="F33" s="21"/>
      <c r="G33" s="21"/>
      <c r="H33" s="21"/>
      <c r="I33" s="21"/>
      <c r="J33" s="25"/>
    </row>
    <row r="34" s="4" customFormat="1" customHeight="1" spans="1:10">
      <c r="A34" s="12" t="s">
        <v>24</v>
      </c>
      <c r="B34" s="23">
        <f>B33</f>
        <v>1670.7</v>
      </c>
      <c r="C34" s="24"/>
      <c r="D34" s="24"/>
      <c r="E34" s="22"/>
      <c r="F34" s="24"/>
      <c r="G34" s="24"/>
      <c r="H34" s="24"/>
      <c r="I34" s="24"/>
      <c r="J34" s="26"/>
    </row>
    <row r="35" s="4" customFormat="1" customHeight="1" spans="1:5">
      <c r="A35" s="4" t="s">
        <v>25</v>
      </c>
      <c r="E35" s="5"/>
    </row>
  </sheetData>
  <sortState ref="A11:I29">
    <sortCondition ref="A11"/>
  </sortState>
  <mergeCells count="4">
    <mergeCell ref="A1:J1"/>
    <mergeCell ref="B33:J33"/>
    <mergeCell ref="B34:J34"/>
    <mergeCell ref="A35:J35"/>
  </mergeCells>
  <conditionalFormatting sqref="B6:B32">
    <cfRule type="duplicateValues" dxfId="0" priority="1"/>
  </conditionalFormatting>
  <conditionalFormatting sqref="B6:C18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workbookViewId="0">
      <selection activeCell="F10" sqref="F10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5" width="11.6666666666667" style="4" customWidth="1"/>
    <col min="16326" max="16326" width="11.6666666666667" style="4"/>
    <col min="16327" max="16332" width="11" style="4"/>
    <col min="16333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45213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139</v>
      </c>
      <c r="C6" s="12"/>
      <c r="D6" s="13" t="s">
        <v>15</v>
      </c>
      <c r="E6" s="13">
        <v>5</v>
      </c>
      <c r="F6" s="14">
        <f t="shared" ref="F6:F16" si="0">H6/0.85</f>
        <v>6.82352941176471</v>
      </c>
      <c r="G6" s="15">
        <f t="shared" ref="G6:G16" si="1">H6/F6</f>
        <v>0.85</v>
      </c>
      <c r="H6" s="16">
        <v>5.8</v>
      </c>
      <c r="I6" s="16">
        <f t="shared" ref="I6:I16" si="2">E6*H6</f>
        <v>29</v>
      </c>
      <c r="J6" s="12"/>
    </row>
    <row r="7" s="4" customFormat="1" ht="16" customHeight="1" spans="1:10">
      <c r="A7" s="12">
        <v>2</v>
      </c>
      <c r="B7" s="12" t="s">
        <v>150</v>
      </c>
      <c r="C7" s="12"/>
      <c r="D7" s="13" t="s">
        <v>15</v>
      </c>
      <c r="E7" s="13">
        <v>14</v>
      </c>
      <c r="F7" s="14">
        <f t="shared" si="0"/>
        <v>2.94117647058824</v>
      </c>
      <c r="G7" s="15">
        <f t="shared" si="1"/>
        <v>0.85</v>
      </c>
      <c r="H7" s="16">
        <v>2.5</v>
      </c>
      <c r="I7" s="16">
        <f t="shared" si="2"/>
        <v>35</v>
      </c>
      <c r="J7" s="12"/>
    </row>
    <row r="8" s="4" customFormat="1" ht="16" customHeight="1" spans="1:10">
      <c r="A8" s="12">
        <v>3</v>
      </c>
      <c r="B8" s="12" t="s">
        <v>63</v>
      </c>
      <c r="C8" s="12"/>
      <c r="D8" s="13" t="s">
        <v>15</v>
      </c>
      <c r="E8" s="13">
        <v>5</v>
      </c>
      <c r="F8" s="14">
        <f t="shared" si="0"/>
        <v>6.82352941176471</v>
      </c>
      <c r="G8" s="15">
        <f t="shared" si="1"/>
        <v>0.85</v>
      </c>
      <c r="H8" s="16">
        <v>5.8</v>
      </c>
      <c r="I8" s="16">
        <f t="shared" si="2"/>
        <v>29</v>
      </c>
      <c r="J8" s="12"/>
    </row>
    <row r="9" s="4" customFormat="1" ht="16" customHeight="1" spans="1:10">
      <c r="A9" s="12">
        <v>4</v>
      </c>
      <c r="B9" s="17" t="s">
        <v>32</v>
      </c>
      <c r="C9" s="17"/>
      <c r="D9" s="13" t="s">
        <v>15</v>
      </c>
      <c r="E9" s="13">
        <v>10</v>
      </c>
      <c r="F9" s="14">
        <f t="shared" si="0"/>
        <v>5.29411764705882</v>
      </c>
      <c r="G9" s="15">
        <f t="shared" si="1"/>
        <v>0.85</v>
      </c>
      <c r="H9" s="16">
        <v>4.5</v>
      </c>
      <c r="I9" s="16">
        <f t="shared" si="2"/>
        <v>45</v>
      </c>
      <c r="J9" s="12"/>
    </row>
    <row r="10" s="4" customFormat="1" ht="16" customHeight="1" spans="1:10">
      <c r="A10" s="12">
        <v>5</v>
      </c>
      <c r="B10" s="12" t="s">
        <v>127</v>
      </c>
      <c r="C10" s="12"/>
      <c r="D10" s="13" t="s">
        <v>15</v>
      </c>
      <c r="E10" s="13">
        <v>8</v>
      </c>
      <c r="F10" s="14">
        <f t="shared" si="0"/>
        <v>15.0588235294118</v>
      </c>
      <c r="G10" s="15">
        <f t="shared" si="1"/>
        <v>0.85</v>
      </c>
      <c r="H10" s="16">
        <v>12.8</v>
      </c>
      <c r="I10" s="16">
        <f t="shared" si="2"/>
        <v>102.4</v>
      </c>
      <c r="J10" s="12"/>
    </row>
    <row r="11" s="4" customFormat="1" ht="16" customHeight="1" spans="1:10">
      <c r="A11" s="12">
        <v>6</v>
      </c>
      <c r="B11" s="12" t="s">
        <v>43</v>
      </c>
      <c r="C11" s="12"/>
      <c r="D11" s="13" t="s">
        <v>15</v>
      </c>
      <c r="E11" s="13">
        <v>5.8</v>
      </c>
      <c r="F11" s="14">
        <f t="shared" si="0"/>
        <v>17.4117647058824</v>
      </c>
      <c r="G11" s="15">
        <f t="shared" si="1"/>
        <v>0.85</v>
      </c>
      <c r="H11" s="16">
        <v>14.8</v>
      </c>
      <c r="I11" s="16">
        <f t="shared" si="2"/>
        <v>85.84</v>
      </c>
      <c r="J11" s="12"/>
    </row>
    <row r="12" s="4" customFormat="1" ht="16" customHeight="1" spans="1:10">
      <c r="A12" s="12">
        <v>7</v>
      </c>
      <c r="B12" s="17"/>
      <c r="C12" s="17"/>
      <c r="D12" s="18"/>
      <c r="E12" s="18"/>
      <c r="F12" s="14"/>
      <c r="G12" s="15"/>
      <c r="H12" s="19"/>
      <c r="I12" s="16"/>
      <c r="J12" s="17"/>
    </row>
    <row r="13" s="4" customFormat="1" ht="16" customHeight="1" spans="1:10">
      <c r="A13" s="12">
        <v>8</v>
      </c>
      <c r="B13" s="17"/>
      <c r="C13" s="17"/>
      <c r="D13" s="18"/>
      <c r="E13" s="18"/>
      <c r="F13" s="14"/>
      <c r="G13" s="15"/>
      <c r="H13" s="19"/>
      <c r="I13" s="16"/>
      <c r="J13" s="17"/>
    </row>
    <row r="14" s="4" customFormat="1" ht="16" customHeight="1" spans="1:10">
      <c r="A14" s="12">
        <v>9</v>
      </c>
      <c r="B14" s="17"/>
      <c r="C14" s="17"/>
      <c r="D14" s="18"/>
      <c r="E14" s="18"/>
      <c r="F14" s="14"/>
      <c r="G14" s="15"/>
      <c r="H14" s="19"/>
      <c r="I14" s="16"/>
      <c r="J14" s="17"/>
    </row>
    <row r="15" s="4" customFormat="1" ht="16" customHeight="1" spans="1:10">
      <c r="A15" s="12">
        <v>10</v>
      </c>
      <c r="B15" s="17"/>
      <c r="C15" s="17"/>
      <c r="D15" s="18"/>
      <c r="E15" s="18"/>
      <c r="F15" s="14"/>
      <c r="G15" s="15"/>
      <c r="H15" s="19"/>
      <c r="I15" s="16"/>
      <c r="J15" s="17"/>
    </row>
    <row r="16" s="4" customFormat="1" ht="16" customHeight="1" spans="1:10">
      <c r="A16" s="12">
        <v>11</v>
      </c>
      <c r="B16" s="17"/>
      <c r="C16" s="17"/>
      <c r="D16" s="18"/>
      <c r="E16" s="18"/>
      <c r="F16" s="14"/>
      <c r="G16" s="15"/>
      <c r="H16" s="19"/>
      <c r="I16" s="16"/>
      <c r="J16" s="17"/>
    </row>
    <row r="17" s="4" customFormat="1" ht="16" customHeight="1" spans="1:10">
      <c r="A17" s="12">
        <v>12</v>
      </c>
      <c r="B17" s="17"/>
      <c r="C17" s="17"/>
      <c r="D17" s="18"/>
      <c r="E17" s="18"/>
      <c r="F17" s="14"/>
      <c r="G17" s="15"/>
      <c r="H17" s="19"/>
      <c r="I17" s="16"/>
      <c r="J17" s="17"/>
    </row>
    <row r="18" s="4" customFormat="1" ht="16" customHeight="1" spans="1:10">
      <c r="A18" s="12">
        <v>13</v>
      </c>
      <c r="B18" s="12"/>
      <c r="C18" s="12"/>
      <c r="D18" s="13"/>
      <c r="E18" s="13"/>
      <c r="F18" s="14"/>
      <c r="G18" s="15"/>
      <c r="H18" s="19"/>
      <c r="I18" s="16"/>
      <c r="J18" s="12"/>
    </row>
    <row r="19" s="4" customFormat="1" ht="16" customHeight="1" spans="1:10">
      <c r="A19" s="12">
        <v>14</v>
      </c>
      <c r="B19" s="17"/>
      <c r="C19" s="17"/>
      <c r="D19" s="17"/>
      <c r="E19" s="18"/>
      <c r="F19" s="14"/>
      <c r="G19" s="15"/>
      <c r="H19" s="19"/>
      <c r="I19" s="16"/>
      <c r="J19" s="17"/>
    </row>
    <row r="20" s="4" customFormat="1" ht="16" customHeight="1" spans="1:10">
      <c r="A20" s="12">
        <v>15</v>
      </c>
      <c r="B20" s="12"/>
      <c r="C20" s="12"/>
      <c r="D20" s="17"/>
      <c r="E20" s="13"/>
      <c r="F20" s="14"/>
      <c r="G20" s="15"/>
      <c r="H20" s="19"/>
      <c r="I20" s="16"/>
      <c r="J20" s="12"/>
    </row>
    <row r="21" s="4" customFormat="1" ht="16" customHeight="1" spans="1:10">
      <c r="A21" s="12">
        <v>16</v>
      </c>
      <c r="B21" s="12"/>
      <c r="C21" s="12"/>
      <c r="D21" s="12"/>
      <c r="E21" s="13"/>
      <c r="F21" s="14"/>
      <c r="G21" s="15"/>
      <c r="H21" s="19"/>
      <c r="I21" s="16"/>
      <c r="J21" s="12"/>
    </row>
    <row r="22" s="4" customFormat="1" ht="16" customHeight="1" spans="1:10">
      <c r="A22" s="12">
        <v>17</v>
      </c>
      <c r="B22" s="12"/>
      <c r="C22" s="12"/>
      <c r="D22" s="12"/>
      <c r="E22" s="13"/>
      <c r="F22" s="14"/>
      <c r="G22" s="15"/>
      <c r="H22" s="19"/>
      <c r="I22" s="16"/>
      <c r="J22" s="12"/>
    </row>
    <row r="23" s="4" customFormat="1" ht="16" customHeight="1" spans="1:10">
      <c r="A23" s="12">
        <v>19</v>
      </c>
      <c r="B23" s="12"/>
      <c r="C23" s="12"/>
      <c r="D23" s="12"/>
      <c r="E23" s="13"/>
      <c r="F23" s="14"/>
      <c r="G23" s="15"/>
      <c r="H23" s="19"/>
      <c r="I23" s="16"/>
      <c r="J23" s="12"/>
    </row>
    <row r="24" s="4" customFormat="1" customHeight="1" spans="1:10">
      <c r="A24" s="12">
        <v>20</v>
      </c>
      <c r="B24" s="14"/>
      <c r="C24" s="14"/>
      <c r="D24" s="14"/>
      <c r="E24" s="13"/>
      <c r="F24" s="14"/>
      <c r="G24" s="15"/>
      <c r="H24" s="19"/>
      <c r="I24" s="16"/>
      <c r="J24" s="14"/>
    </row>
    <row r="25" s="4" customFormat="1" customHeight="1" spans="1:10">
      <c r="A25" s="12">
        <v>21</v>
      </c>
      <c r="B25" s="14"/>
      <c r="C25" s="14"/>
      <c r="D25" s="14"/>
      <c r="E25" s="13"/>
      <c r="F25" s="14"/>
      <c r="G25" s="15"/>
      <c r="H25" s="19"/>
      <c r="I25" s="16"/>
      <c r="J25" s="14"/>
    </row>
    <row r="26" s="4" customFormat="1" customHeight="1" spans="1:10">
      <c r="A26" s="12">
        <v>22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23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24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25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26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27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28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 t="s">
        <v>23</v>
      </c>
      <c r="B33" s="20">
        <f>SUM(I6:I32)</f>
        <v>326.24</v>
      </c>
      <c r="C33" s="21"/>
      <c r="D33" s="21"/>
      <c r="E33" s="22"/>
      <c r="F33" s="21"/>
      <c r="G33" s="21"/>
      <c r="H33" s="21"/>
      <c r="I33" s="21"/>
      <c r="J33" s="25"/>
    </row>
    <row r="34" s="4" customFormat="1" customHeight="1" spans="1:10">
      <c r="A34" s="12" t="s">
        <v>24</v>
      </c>
      <c r="B34" s="23">
        <f>B33</f>
        <v>326.24</v>
      </c>
      <c r="C34" s="24"/>
      <c r="D34" s="24"/>
      <c r="E34" s="22"/>
      <c r="F34" s="24"/>
      <c r="G34" s="24"/>
      <c r="H34" s="24"/>
      <c r="I34" s="24"/>
      <c r="J34" s="26"/>
    </row>
    <row r="35" s="4" customFormat="1" customHeight="1" spans="1:5">
      <c r="A35" s="4" t="s">
        <v>25</v>
      </c>
      <c r="E35" s="5"/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8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workbookViewId="0">
      <selection activeCell="F16" sqref="F1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5" width="11.6666666666667" style="4" customWidth="1"/>
    <col min="16326" max="16326" width="11.6666666666667" style="4"/>
    <col min="16327" max="16332" width="11" style="4"/>
    <col min="16333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45214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49</v>
      </c>
      <c r="C6" s="12"/>
      <c r="D6" s="13" t="s">
        <v>15</v>
      </c>
      <c r="E6" s="13">
        <v>4</v>
      </c>
      <c r="F6" s="14">
        <f t="shared" ref="F6:F11" si="0">H6/0.85</f>
        <v>9.17647058823529</v>
      </c>
      <c r="G6" s="15">
        <f t="shared" ref="G6:G11" si="1">H6/F6</f>
        <v>0.85</v>
      </c>
      <c r="H6" s="16">
        <v>7.8</v>
      </c>
      <c r="I6" s="16">
        <f t="shared" ref="I6:I11" si="2">E6*H6</f>
        <v>31.2</v>
      </c>
      <c r="J6" s="12"/>
    </row>
    <row r="7" s="4" customFormat="1" ht="16" customHeight="1" spans="1:10">
      <c r="A7" s="12">
        <v>2</v>
      </c>
      <c r="B7" s="12" t="s">
        <v>126</v>
      </c>
      <c r="C7" s="12"/>
      <c r="D7" s="13" t="s">
        <v>15</v>
      </c>
      <c r="E7" s="13">
        <v>5</v>
      </c>
      <c r="F7" s="14">
        <f t="shared" si="0"/>
        <v>17.0588235294118</v>
      </c>
      <c r="G7" s="15">
        <f t="shared" si="1"/>
        <v>0.85</v>
      </c>
      <c r="H7" s="16">
        <v>14.5</v>
      </c>
      <c r="I7" s="16">
        <f t="shared" si="2"/>
        <v>72.5</v>
      </c>
      <c r="J7" s="12"/>
    </row>
    <row r="8" s="4" customFormat="1" ht="16" customHeight="1" spans="1:10">
      <c r="A8" s="12">
        <v>3</v>
      </c>
      <c r="B8" s="12" t="s">
        <v>41</v>
      </c>
      <c r="C8" s="12"/>
      <c r="D8" s="13" t="s">
        <v>15</v>
      </c>
      <c r="E8" s="13">
        <v>8</v>
      </c>
      <c r="F8" s="14">
        <f t="shared" si="0"/>
        <v>2.35294117647059</v>
      </c>
      <c r="G8" s="15">
        <f t="shared" si="1"/>
        <v>0.85</v>
      </c>
      <c r="H8" s="16">
        <v>2</v>
      </c>
      <c r="I8" s="16">
        <f t="shared" si="2"/>
        <v>16</v>
      </c>
      <c r="J8" s="12"/>
    </row>
    <row r="9" s="4" customFormat="1" ht="16" customHeight="1" spans="1:10">
      <c r="A9" s="12">
        <v>4</v>
      </c>
      <c r="B9" s="12" t="s">
        <v>26</v>
      </c>
      <c r="C9" s="12"/>
      <c r="D9" s="13" t="s">
        <v>15</v>
      </c>
      <c r="E9" s="13">
        <v>2</v>
      </c>
      <c r="F9" s="14">
        <f t="shared" si="0"/>
        <v>9.17647058823529</v>
      </c>
      <c r="G9" s="15">
        <f t="shared" si="1"/>
        <v>0.85</v>
      </c>
      <c r="H9" s="16">
        <v>7.8</v>
      </c>
      <c r="I9" s="16">
        <f t="shared" si="2"/>
        <v>15.6</v>
      </c>
      <c r="J9" s="12"/>
    </row>
    <row r="10" s="4" customFormat="1" ht="16" customHeight="1" spans="1:10">
      <c r="A10" s="12">
        <v>5</v>
      </c>
      <c r="B10" s="12" t="s">
        <v>141</v>
      </c>
      <c r="C10" s="12"/>
      <c r="D10" s="13" t="s">
        <v>15</v>
      </c>
      <c r="E10" s="13">
        <v>3.1</v>
      </c>
      <c r="F10" s="14">
        <f t="shared" si="0"/>
        <v>2.94117647058824</v>
      </c>
      <c r="G10" s="15">
        <f t="shared" si="1"/>
        <v>0.85</v>
      </c>
      <c r="H10" s="16">
        <v>2.5</v>
      </c>
      <c r="I10" s="16">
        <f t="shared" si="2"/>
        <v>7.75</v>
      </c>
      <c r="J10" s="12"/>
    </row>
    <row r="11" s="4" customFormat="1" ht="16" customHeight="1" spans="1:10">
      <c r="A11" s="12">
        <v>6</v>
      </c>
      <c r="B11" s="17" t="s">
        <v>29</v>
      </c>
      <c r="C11" s="17"/>
      <c r="D11" s="18" t="s">
        <v>15</v>
      </c>
      <c r="E11" s="18">
        <v>15</v>
      </c>
      <c r="F11" s="14">
        <f t="shared" si="0"/>
        <v>6.47058823529412</v>
      </c>
      <c r="G11" s="15">
        <f t="shared" si="1"/>
        <v>0.85</v>
      </c>
      <c r="H11" s="19">
        <v>5.5</v>
      </c>
      <c r="I11" s="16">
        <f t="shared" si="2"/>
        <v>82.5</v>
      </c>
      <c r="J11" s="17"/>
    </row>
    <row r="12" s="4" customFormat="1" ht="16" customHeight="1" spans="1:10">
      <c r="A12" s="12">
        <v>7</v>
      </c>
      <c r="B12" s="17" t="s">
        <v>18</v>
      </c>
      <c r="C12" s="17"/>
      <c r="D12" s="18" t="s">
        <v>15</v>
      </c>
      <c r="E12" s="18">
        <v>12</v>
      </c>
      <c r="F12" s="14">
        <f t="shared" ref="F12:F22" si="3">H12/0.85</f>
        <v>4.47058823529412</v>
      </c>
      <c r="G12" s="15">
        <f t="shared" ref="G12:G22" si="4">H12/F12</f>
        <v>0.85</v>
      </c>
      <c r="H12" s="19">
        <v>3.8</v>
      </c>
      <c r="I12" s="16">
        <f t="shared" ref="I12:I22" si="5">E12*H12</f>
        <v>45.6</v>
      </c>
      <c r="J12" s="17"/>
    </row>
    <row r="13" s="4" customFormat="1" ht="16" customHeight="1" spans="1:10">
      <c r="A13" s="12">
        <v>8</v>
      </c>
      <c r="B13" s="17" t="s">
        <v>62</v>
      </c>
      <c r="C13" s="17"/>
      <c r="D13" s="18" t="s">
        <v>15</v>
      </c>
      <c r="E13" s="18">
        <v>7</v>
      </c>
      <c r="F13" s="14">
        <f t="shared" si="3"/>
        <v>6.47058823529412</v>
      </c>
      <c r="G13" s="15">
        <f t="shared" si="4"/>
        <v>0.85</v>
      </c>
      <c r="H13" s="19">
        <v>5.5</v>
      </c>
      <c r="I13" s="16">
        <f t="shared" si="5"/>
        <v>38.5</v>
      </c>
      <c r="J13" s="17"/>
    </row>
    <row r="14" s="4" customFormat="1" ht="16" customHeight="1" spans="1:10">
      <c r="A14" s="12">
        <v>9</v>
      </c>
      <c r="B14" s="17" t="s">
        <v>42</v>
      </c>
      <c r="C14" s="17"/>
      <c r="D14" s="18" t="s">
        <v>15</v>
      </c>
      <c r="E14" s="18">
        <v>3</v>
      </c>
      <c r="F14" s="14">
        <f t="shared" si="3"/>
        <v>8</v>
      </c>
      <c r="G14" s="15">
        <f t="shared" si="4"/>
        <v>0.85</v>
      </c>
      <c r="H14" s="19">
        <v>6.8</v>
      </c>
      <c r="I14" s="16">
        <f t="shared" si="5"/>
        <v>20.4</v>
      </c>
      <c r="J14" s="17"/>
    </row>
    <row r="15" s="4" customFormat="1" ht="16" customHeight="1" spans="1:10">
      <c r="A15" s="12">
        <v>10</v>
      </c>
      <c r="B15" s="17" t="s">
        <v>19</v>
      </c>
      <c r="C15" s="17"/>
      <c r="D15" s="18" t="s">
        <v>15</v>
      </c>
      <c r="E15" s="18">
        <v>10</v>
      </c>
      <c r="F15" s="14">
        <f t="shared" si="3"/>
        <v>2.11764705882353</v>
      </c>
      <c r="G15" s="15">
        <f t="shared" si="4"/>
        <v>0.85</v>
      </c>
      <c r="H15" s="19">
        <v>1.8</v>
      </c>
      <c r="I15" s="16">
        <f t="shared" si="5"/>
        <v>18</v>
      </c>
      <c r="J15" s="17"/>
    </row>
    <row r="16" s="4" customFormat="1" ht="16" customHeight="1" spans="1:10">
      <c r="A16" s="12">
        <v>11</v>
      </c>
      <c r="B16" s="12" t="s">
        <v>31</v>
      </c>
      <c r="C16" s="12"/>
      <c r="D16" s="13" t="s">
        <v>15</v>
      </c>
      <c r="E16" s="13">
        <v>8.6</v>
      </c>
      <c r="F16" s="14">
        <f t="shared" si="3"/>
        <v>5.64705882352941</v>
      </c>
      <c r="G16" s="15">
        <f t="shared" si="4"/>
        <v>0.85</v>
      </c>
      <c r="H16" s="19">
        <v>4.8</v>
      </c>
      <c r="I16" s="16">
        <f t="shared" si="5"/>
        <v>41.28</v>
      </c>
      <c r="J16" s="12"/>
    </row>
    <row r="17" s="4" customFormat="1" ht="16" customHeight="1" spans="1:10">
      <c r="A17" s="12">
        <v>12</v>
      </c>
      <c r="B17" s="17" t="s">
        <v>101</v>
      </c>
      <c r="C17" s="17"/>
      <c r="D17" s="17" t="s">
        <v>15</v>
      </c>
      <c r="E17" s="18">
        <v>4</v>
      </c>
      <c r="F17" s="14">
        <f t="shared" si="3"/>
        <v>6.47058823529412</v>
      </c>
      <c r="G17" s="15">
        <f t="shared" si="4"/>
        <v>0.85</v>
      </c>
      <c r="H17" s="19">
        <v>5.5</v>
      </c>
      <c r="I17" s="16">
        <f t="shared" si="5"/>
        <v>22</v>
      </c>
      <c r="J17" s="17"/>
    </row>
    <row r="18" s="4" customFormat="1" ht="16" customHeight="1" spans="1:10">
      <c r="A18" s="12">
        <v>13</v>
      </c>
      <c r="B18" s="12" t="s">
        <v>33</v>
      </c>
      <c r="C18" s="12"/>
      <c r="D18" s="17" t="s">
        <v>15</v>
      </c>
      <c r="E18" s="13">
        <v>6</v>
      </c>
      <c r="F18" s="14">
        <f t="shared" si="3"/>
        <v>8</v>
      </c>
      <c r="G18" s="15">
        <f t="shared" si="4"/>
        <v>0.85</v>
      </c>
      <c r="H18" s="19">
        <v>6.8</v>
      </c>
      <c r="I18" s="16">
        <f t="shared" si="5"/>
        <v>40.8</v>
      </c>
      <c r="J18" s="12"/>
    </row>
    <row r="19" s="4" customFormat="1" ht="16" customHeight="1" spans="1:10">
      <c r="A19" s="12">
        <v>14</v>
      </c>
      <c r="B19" s="12"/>
      <c r="C19" s="12"/>
      <c r="D19" s="12"/>
      <c r="E19" s="13"/>
      <c r="F19" s="14"/>
      <c r="G19" s="15"/>
      <c r="H19" s="19"/>
      <c r="I19" s="16"/>
      <c r="J19" s="12"/>
    </row>
    <row r="20" s="4" customFormat="1" ht="16" customHeight="1" spans="1:10">
      <c r="A20" s="12">
        <v>15</v>
      </c>
      <c r="B20" s="12"/>
      <c r="C20" s="12"/>
      <c r="D20" s="12"/>
      <c r="E20" s="13"/>
      <c r="F20" s="14"/>
      <c r="G20" s="15"/>
      <c r="H20" s="19"/>
      <c r="I20" s="16"/>
      <c r="J20" s="12"/>
    </row>
    <row r="21" s="4" customFormat="1" ht="16" customHeight="1" spans="1:10">
      <c r="A21" s="12">
        <v>16</v>
      </c>
      <c r="B21" s="12"/>
      <c r="C21" s="12"/>
      <c r="D21" s="12"/>
      <c r="E21" s="13"/>
      <c r="F21" s="14"/>
      <c r="G21" s="15"/>
      <c r="H21" s="19"/>
      <c r="I21" s="16"/>
      <c r="J21" s="12"/>
    </row>
    <row r="22" s="4" customFormat="1" customHeight="1" spans="1:10">
      <c r="A22" s="12">
        <v>17</v>
      </c>
      <c r="B22" s="14"/>
      <c r="C22" s="14"/>
      <c r="D22" s="14"/>
      <c r="E22" s="13"/>
      <c r="F22" s="14"/>
      <c r="G22" s="15"/>
      <c r="H22" s="19"/>
      <c r="I22" s="16"/>
      <c r="J22" s="14"/>
    </row>
    <row r="23" s="4" customFormat="1" customHeight="1" spans="1:10">
      <c r="A23" s="12">
        <v>18</v>
      </c>
      <c r="B23" s="14"/>
      <c r="C23" s="14"/>
      <c r="D23" s="14"/>
      <c r="E23" s="13"/>
      <c r="F23" s="14"/>
      <c r="G23" s="15"/>
      <c r="H23" s="19"/>
      <c r="I23" s="16"/>
      <c r="J23" s="14"/>
    </row>
    <row r="24" s="4" customFormat="1" customHeight="1" spans="1:10">
      <c r="A24" s="12">
        <v>19</v>
      </c>
      <c r="B24" s="14"/>
      <c r="C24" s="14"/>
      <c r="D24" s="14"/>
      <c r="E24" s="13"/>
      <c r="F24" s="14"/>
      <c r="G24" s="15"/>
      <c r="H24" s="19"/>
      <c r="I24" s="16"/>
      <c r="J24" s="14"/>
    </row>
    <row r="25" s="4" customFormat="1" customHeight="1" spans="1:10">
      <c r="A25" s="12">
        <v>20</v>
      </c>
      <c r="B25" s="14"/>
      <c r="C25" s="14"/>
      <c r="D25" s="14"/>
      <c r="E25" s="13"/>
      <c r="F25" s="14"/>
      <c r="G25" s="15"/>
      <c r="H25" s="19"/>
      <c r="I25" s="16"/>
      <c r="J25" s="14"/>
    </row>
    <row r="26" s="4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4" customFormat="1" customHeight="1" spans="1:10">
      <c r="A34" s="12" t="s">
        <v>23</v>
      </c>
      <c r="B34" s="20">
        <f>SUM(I6:I33)</f>
        <v>452.13</v>
      </c>
      <c r="C34" s="21"/>
      <c r="D34" s="21"/>
      <c r="E34" s="22"/>
      <c r="F34" s="21"/>
      <c r="G34" s="21"/>
      <c r="H34" s="21"/>
      <c r="I34" s="21"/>
      <c r="J34" s="25"/>
    </row>
    <row r="35" s="4" customFormat="1" customHeight="1" spans="1:10">
      <c r="A35" s="12" t="s">
        <v>24</v>
      </c>
      <c r="B35" s="23">
        <f>B34</f>
        <v>452.13</v>
      </c>
      <c r="C35" s="24"/>
      <c r="D35" s="24"/>
      <c r="E35" s="22"/>
      <c r="F35" s="24"/>
      <c r="G35" s="24"/>
      <c r="H35" s="24"/>
      <c r="I35" s="24"/>
      <c r="J35" s="26"/>
    </row>
    <row r="36" s="4" customFormat="1" customHeight="1" spans="1:5">
      <c r="A36" s="4" t="s">
        <v>25</v>
      </c>
      <c r="E36" s="5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8"/>
  <sheetViews>
    <sheetView topLeftCell="A16" workbookViewId="0">
      <selection activeCell="E22" sqref="E22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5" width="11.6666666666667" style="4" customWidth="1"/>
    <col min="16326" max="16326" width="11.6666666666667" style="4"/>
    <col min="16327" max="16332" width="11" style="4"/>
    <col min="16333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45215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 t="shared" ref="F6:F23" si="0">H6/0.85</f>
        <v>3.52941176470588</v>
      </c>
      <c r="G6" s="15">
        <f t="shared" ref="G6:G23" si="1">H6/F6</f>
        <v>0.85</v>
      </c>
      <c r="H6" s="16">
        <v>3</v>
      </c>
      <c r="I6" s="16">
        <f t="shared" ref="I6:I23" si="2">E6*H6</f>
        <v>21</v>
      </c>
      <c r="J6" s="12"/>
    </row>
    <row r="7" s="4" customFormat="1" ht="16" customHeight="1" spans="1:10">
      <c r="A7" s="12">
        <v>2</v>
      </c>
      <c r="B7" s="12" t="s">
        <v>57</v>
      </c>
      <c r="C7" s="12"/>
      <c r="D7" s="13" t="s">
        <v>15</v>
      </c>
      <c r="E7" s="13">
        <v>2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7</v>
      </c>
      <c r="J7" s="12"/>
    </row>
    <row r="8" s="4" customFormat="1" ht="16" customHeight="1" spans="1:10">
      <c r="A8" s="12">
        <v>3</v>
      </c>
      <c r="B8" s="12" t="s">
        <v>16</v>
      </c>
      <c r="C8" s="12"/>
      <c r="D8" s="13" t="s">
        <v>15</v>
      </c>
      <c r="E8" s="13">
        <v>6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21</v>
      </c>
      <c r="J8" s="12"/>
    </row>
    <row r="9" s="4" customFormat="1" ht="16" customHeight="1" spans="1:10">
      <c r="A9" s="12">
        <v>4</v>
      </c>
      <c r="B9" s="12" t="s">
        <v>125</v>
      </c>
      <c r="C9" s="12"/>
      <c r="D9" s="13" t="s">
        <v>15</v>
      </c>
      <c r="E9" s="13">
        <v>19</v>
      </c>
      <c r="F9" s="14">
        <f t="shared" si="0"/>
        <v>10</v>
      </c>
      <c r="G9" s="15">
        <f t="shared" si="1"/>
        <v>0.85</v>
      </c>
      <c r="H9" s="16">
        <v>8.5</v>
      </c>
      <c r="I9" s="16">
        <f t="shared" si="2"/>
        <v>161.5</v>
      </c>
      <c r="J9" s="12"/>
    </row>
    <row r="10" s="4" customFormat="1" ht="16" customHeight="1" spans="1:10">
      <c r="A10" s="12">
        <v>5</v>
      </c>
      <c r="B10" s="12" t="s">
        <v>50</v>
      </c>
      <c r="C10" s="12"/>
      <c r="D10" s="13" t="s">
        <v>15</v>
      </c>
      <c r="E10" s="13">
        <v>5</v>
      </c>
      <c r="F10" s="14">
        <f t="shared" si="0"/>
        <v>5.29411764705882</v>
      </c>
      <c r="G10" s="15">
        <f t="shared" si="1"/>
        <v>0.85</v>
      </c>
      <c r="H10" s="16">
        <v>4.5</v>
      </c>
      <c r="I10" s="16">
        <f t="shared" si="2"/>
        <v>22.5</v>
      </c>
      <c r="J10" s="12"/>
    </row>
    <row r="11" s="4" customFormat="1" ht="16" customHeight="1" spans="1:10">
      <c r="A11" s="12">
        <v>6</v>
      </c>
      <c r="B11" s="17" t="s">
        <v>51</v>
      </c>
      <c r="C11" s="17"/>
      <c r="D11" s="18" t="s">
        <v>15</v>
      </c>
      <c r="E11" s="18">
        <v>5</v>
      </c>
      <c r="F11" s="14">
        <f t="shared" si="0"/>
        <v>4.11764705882353</v>
      </c>
      <c r="G11" s="15">
        <f t="shared" si="1"/>
        <v>0.85</v>
      </c>
      <c r="H11" s="19">
        <v>3.5</v>
      </c>
      <c r="I11" s="16">
        <f t="shared" si="2"/>
        <v>17.5</v>
      </c>
      <c r="J11" s="17"/>
    </row>
    <row r="12" s="4" customFormat="1" ht="16" customHeight="1" spans="1:10">
      <c r="A12" s="12">
        <v>7</v>
      </c>
      <c r="B12" s="17" t="s">
        <v>26</v>
      </c>
      <c r="C12" s="17"/>
      <c r="D12" s="18" t="s">
        <v>15</v>
      </c>
      <c r="E12" s="18">
        <v>4</v>
      </c>
      <c r="F12" s="14">
        <f t="shared" si="0"/>
        <v>9.17647058823529</v>
      </c>
      <c r="G12" s="15">
        <f t="shared" si="1"/>
        <v>0.85</v>
      </c>
      <c r="H12" s="19">
        <v>7.8</v>
      </c>
      <c r="I12" s="16">
        <f t="shared" si="2"/>
        <v>31.2</v>
      </c>
      <c r="J12" s="17"/>
    </row>
    <row r="13" s="4" customFormat="1" ht="16" customHeight="1" spans="1:10">
      <c r="A13" s="12">
        <v>8</v>
      </c>
      <c r="B13" s="17" t="s">
        <v>61</v>
      </c>
      <c r="C13" s="17"/>
      <c r="D13" s="18" t="s">
        <v>15</v>
      </c>
      <c r="E13" s="18">
        <v>4</v>
      </c>
      <c r="F13" s="14">
        <f t="shared" si="0"/>
        <v>11.5294117647059</v>
      </c>
      <c r="G13" s="15">
        <f t="shared" si="1"/>
        <v>0.85</v>
      </c>
      <c r="H13" s="19">
        <v>9.8</v>
      </c>
      <c r="I13" s="16">
        <f t="shared" si="2"/>
        <v>39.2</v>
      </c>
      <c r="J13" s="17"/>
    </row>
    <row r="14" s="4" customFormat="1" ht="16" customHeight="1" spans="1:10">
      <c r="A14" s="12">
        <v>9</v>
      </c>
      <c r="B14" s="17" t="s">
        <v>27</v>
      </c>
      <c r="C14" s="17"/>
      <c r="D14" s="18" t="s">
        <v>28</v>
      </c>
      <c r="E14" s="18">
        <v>8</v>
      </c>
      <c r="F14" s="14">
        <f t="shared" si="0"/>
        <v>3.52941176470588</v>
      </c>
      <c r="G14" s="15">
        <f t="shared" si="1"/>
        <v>0.85</v>
      </c>
      <c r="H14" s="19">
        <v>3</v>
      </c>
      <c r="I14" s="16">
        <f t="shared" si="2"/>
        <v>24</v>
      </c>
      <c r="J14" s="17"/>
    </row>
    <row r="15" s="4" customFormat="1" ht="16" customHeight="1" spans="1:10">
      <c r="A15" s="12">
        <v>10</v>
      </c>
      <c r="B15" s="17" t="s">
        <v>29</v>
      </c>
      <c r="C15" s="17"/>
      <c r="D15" s="18" t="s">
        <v>15</v>
      </c>
      <c r="E15" s="18">
        <v>4</v>
      </c>
      <c r="F15" s="14">
        <f t="shared" si="0"/>
        <v>6.47058823529412</v>
      </c>
      <c r="G15" s="15">
        <f t="shared" si="1"/>
        <v>0.85</v>
      </c>
      <c r="H15" s="19">
        <v>5.5</v>
      </c>
      <c r="I15" s="16">
        <f t="shared" si="2"/>
        <v>22</v>
      </c>
      <c r="J15" s="17"/>
    </row>
    <row r="16" s="4" customFormat="1" ht="16" customHeight="1" spans="1:10">
      <c r="A16" s="12">
        <v>11</v>
      </c>
      <c r="B16" s="17" t="s">
        <v>18</v>
      </c>
      <c r="C16" s="17"/>
      <c r="D16" s="18" t="s">
        <v>15</v>
      </c>
      <c r="E16" s="18">
        <v>5</v>
      </c>
      <c r="F16" s="14">
        <f t="shared" si="0"/>
        <v>4.47058823529412</v>
      </c>
      <c r="G16" s="15">
        <f t="shared" si="1"/>
        <v>0.85</v>
      </c>
      <c r="H16" s="19">
        <v>3.8</v>
      </c>
      <c r="I16" s="16">
        <f t="shared" si="2"/>
        <v>19</v>
      </c>
      <c r="J16" s="17"/>
    </row>
    <row r="17" s="4" customFormat="1" ht="16" customHeight="1" spans="1:10">
      <c r="A17" s="12">
        <v>12</v>
      </c>
      <c r="B17" s="12" t="s">
        <v>89</v>
      </c>
      <c r="C17" s="12"/>
      <c r="D17" s="13" t="s">
        <v>15</v>
      </c>
      <c r="E17" s="13">
        <v>23.7</v>
      </c>
      <c r="F17" s="14">
        <f t="shared" si="0"/>
        <v>2.94117647058824</v>
      </c>
      <c r="G17" s="15">
        <f t="shared" si="1"/>
        <v>0.85</v>
      </c>
      <c r="H17" s="19">
        <v>2.5</v>
      </c>
      <c r="I17" s="16">
        <f t="shared" si="2"/>
        <v>59.25</v>
      </c>
      <c r="J17" s="12"/>
    </row>
    <row r="18" s="4" customFormat="1" ht="16" customHeight="1" spans="1:10">
      <c r="A18" s="12">
        <v>13</v>
      </c>
      <c r="B18" s="17" t="s">
        <v>151</v>
      </c>
      <c r="C18" s="17"/>
      <c r="D18" s="17" t="s">
        <v>15</v>
      </c>
      <c r="E18" s="18">
        <v>8</v>
      </c>
      <c r="F18" s="14">
        <f t="shared" si="0"/>
        <v>3.29411764705882</v>
      </c>
      <c r="G18" s="15">
        <f t="shared" si="1"/>
        <v>0.85</v>
      </c>
      <c r="H18" s="19">
        <v>2.8</v>
      </c>
      <c r="I18" s="16">
        <f t="shared" si="2"/>
        <v>22.4</v>
      </c>
      <c r="J18" s="17"/>
    </row>
    <row r="19" s="4" customFormat="1" ht="16" customHeight="1" spans="1:10">
      <c r="A19" s="12">
        <v>14</v>
      </c>
      <c r="B19" s="12" t="s">
        <v>142</v>
      </c>
      <c r="C19" s="12"/>
      <c r="D19" s="17" t="s">
        <v>15</v>
      </c>
      <c r="E19" s="13">
        <v>5</v>
      </c>
      <c r="F19" s="14">
        <f t="shared" si="0"/>
        <v>5.64705882352941</v>
      </c>
      <c r="G19" s="15">
        <f t="shared" si="1"/>
        <v>0.85</v>
      </c>
      <c r="H19" s="19">
        <v>4.8</v>
      </c>
      <c r="I19" s="16">
        <f t="shared" si="2"/>
        <v>24</v>
      </c>
      <c r="J19" s="12"/>
    </row>
    <row r="20" s="4" customFormat="1" ht="16" customHeight="1" spans="1:10">
      <c r="A20" s="12">
        <v>15</v>
      </c>
      <c r="B20" s="12" t="s">
        <v>52</v>
      </c>
      <c r="C20" s="12"/>
      <c r="D20" s="12" t="s">
        <v>15</v>
      </c>
      <c r="E20" s="13">
        <v>9</v>
      </c>
      <c r="F20" s="14">
        <f t="shared" si="0"/>
        <v>2.35294117647059</v>
      </c>
      <c r="G20" s="15">
        <f t="shared" si="1"/>
        <v>0.85</v>
      </c>
      <c r="H20" s="19">
        <v>2</v>
      </c>
      <c r="I20" s="16">
        <f t="shared" si="2"/>
        <v>18</v>
      </c>
      <c r="J20" s="12"/>
    </row>
    <row r="21" s="4" customFormat="1" ht="16" customHeight="1" spans="1:10">
      <c r="A21" s="12">
        <v>16</v>
      </c>
      <c r="B21" s="12" t="s">
        <v>152</v>
      </c>
      <c r="C21" s="12" t="s">
        <v>153</v>
      </c>
      <c r="D21" s="12" t="s">
        <v>15</v>
      </c>
      <c r="E21" s="13">
        <v>10</v>
      </c>
      <c r="F21" s="14">
        <f t="shared" si="0"/>
        <v>5.29411764705882</v>
      </c>
      <c r="G21" s="15">
        <f t="shared" si="1"/>
        <v>0.85</v>
      </c>
      <c r="H21" s="19">
        <v>4.5</v>
      </c>
      <c r="I21" s="16">
        <f t="shared" si="2"/>
        <v>45</v>
      </c>
      <c r="J21" s="12"/>
    </row>
    <row r="22" s="4" customFormat="1" ht="16" customHeight="1" spans="1:10">
      <c r="A22" s="12">
        <v>17</v>
      </c>
      <c r="B22" s="12" t="s">
        <v>101</v>
      </c>
      <c r="C22" s="12"/>
      <c r="D22" s="12" t="s">
        <v>15</v>
      </c>
      <c r="E22" s="13">
        <v>4</v>
      </c>
      <c r="F22" s="14">
        <f t="shared" si="0"/>
        <v>6.47058823529412</v>
      </c>
      <c r="G22" s="15">
        <f t="shared" si="1"/>
        <v>0.85</v>
      </c>
      <c r="H22" s="19">
        <v>5.5</v>
      </c>
      <c r="I22" s="16">
        <f t="shared" si="2"/>
        <v>22</v>
      </c>
      <c r="J22" s="12"/>
    </row>
    <row r="23" s="4" customFormat="1" customHeight="1" spans="1:10">
      <c r="A23" s="12">
        <v>18</v>
      </c>
      <c r="B23" s="14" t="s">
        <v>154</v>
      </c>
      <c r="C23" s="14"/>
      <c r="D23" s="14" t="s">
        <v>15</v>
      </c>
      <c r="E23" s="13">
        <v>8.8</v>
      </c>
      <c r="F23" s="14">
        <f t="shared" si="0"/>
        <v>11.5294117647059</v>
      </c>
      <c r="G23" s="15">
        <f t="shared" si="1"/>
        <v>0.85</v>
      </c>
      <c r="H23" s="19">
        <v>9.8</v>
      </c>
      <c r="I23" s="16">
        <f t="shared" si="2"/>
        <v>86.24</v>
      </c>
      <c r="J23" s="14"/>
    </row>
    <row r="24" s="4" customFormat="1" customHeight="1" spans="1:10">
      <c r="A24" s="12">
        <v>19</v>
      </c>
      <c r="B24" s="14" t="s">
        <v>33</v>
      </c>
      <c r="C24" s="14"/>
      <c r="D24" s="14" t="s">
        <v>15</v>
      </c>
      <c r="E24" s="13">
        <v>6</v>
      </c>
      <c r="F24" s="14">
        <f t="shared" ref="F24:F36" si="3">H24/0.85</f>
        <v>8</v>
      </c>
      <c r="G24" s="15">
        <f t="shared" ref="G24:G36" si="4">H24/F24</f>
        <v>0.85</v>
      </c>
      <c r="H24" s="19">
        <v>6.8</v>
      </c>
      <c r="I24" s="16">
        <f t="shared" ref="I24:I36" si="5">E24*H24</f>
        <v>40.8</v>
      </c>
      <c r="J24" s="14"/>
    </row>
    <row r="25" s="4" customFormat="1" customHeight="1" spans="1:10">
      <c r="A25" s="12">
        <v>20</v>
      </c>
      <c r="B25" s="14" t="s">
        <v>34</v>
      </c>
      <c r="C25" s="14"/>
      <c r="D25" s="14" t="s">
        <v>15</v>
      </c>
      <c r="E25" s="13">
        <v>8</v>
      </c>
      <c r="F25" s="14">
        <f t="shared" si="3"/>
        <v>4.11764705882353</v>
      </c>
      <c r="G25" s="15">
        <f t="shared" si="4"/>
        <v>0.85</v>
      </c>
      <c r="H25" s="19">
        <v>3.5</v>
      </c>
      <c r="I25" s="16">
        <f t="shared" si="5"/>
        <v>28</v>
      </c>
      <c r="J25" s="14"/>
    </row>
    <row r="26" s="4" customFormat="1" customHeight="1" spans="1:10">
      <c r="A26" s="12">
        <v>21</v>
      </c>
      <c r="B26" s="14" t="s">
        <v>155</v>
      </c>
      <c r="C26" s="14"/>
      <c r="D26" s="14" t="s">
        <v>15</v>
      </c>
      <c r="E26" s="13">
        <v>5</v>
      </c>
      <c r="F26" s="14">
        <f t="shared" si="3"/>
        <v>16.2352941176471</v>
      </c>
      <c r="G26" s="15">
        <f t="shared" si="4"/>
        <v>0.85</v>
      </c>
      <c r="H26" s="19">
        <v>13.8</v>
      </c>
      <c r="I26" s="16">
        <f t="shared" si="5"/>
        <v>69</v>
      </c>
      <c r="J26" s="14"/>
    </row>
    <row r="27" s="4" customFormat="1" customHeight="1" spans="1:10">
      <c r="A27" s="12">
        <v>22</v>
      </c>
      <c r="B27" s="14" t="s">
        <v>35</v>
      </c>
      <c r="C27" s="14"/>
      <c r="D27" s="14" t="s">
        <v>15</v>
      </c>
      <c r="E27" s="13">
        <v>4</v>
      </c>
      <c r="F27" s="14">
        <f t="shared" si="3"/>
        <v>24.4705882352941</v>
      </c>
      <c r="G27" s="15">
        <f t="shared" si="4"/>
        <v>0.85</v>
      </c>
      <c r="H27" s="19">
        <v>20.8</v>
      </c>
      <c r="I27" s="16">
        <f t="shared" si="5"/>
        <v>83.2</v>
      </c>
      <c r="J27" s="14"/>
    </row>
    <row r="28" s="4" customFormat="1" customHeight="1" spans="1:10">
      <c r="A28" s="12">
        <v>23</v>
      </c>
      <c r="B28" s="14" t="s">
        <v>36</v>
      </c>
      <c r="C28" s="14"/>
      <c r="D28" s="14" t="s">
        <v>15</v>
      </c>
      <c r="E28" s="13">
        <v>2</v>
      </c>
      <c r="F28" s="14">
        <f t="shared" si="3"/>
        <v>19.7647058823529</v>
      </c>
      <c r="G28" s="15">
        <f t="shared" si="4"/>
        <v>0.85</v>
      </c>
      <c r="H28" s="19">
        <v>16.8</v>
      </c>
      <c r="I28" s="16">
        <f t="shared" si="5"/>
        <v>33.6</v>
      </c>
      <c r="J28" s="14"/>
    </row>
    <row r="29" s="4" customFormat="1" customHeight="1" spans="1:10">
      <c r="A29" s="12">
        <v>24</v>
      </c>
      <c r="B29" s="14" t="s">
        <v>20</v>
      </c>
      <c r="C29" s="14"/>
      <c r="D29" s="14" t="s">
        <v>15</v>
      </c>
      <c r="E29" s="13">
        <v>5</v>
      </c>
      <c r="F29" s="14">
        <f t="shared" si="3"/>
        <v>25.8823529411765</v>
      </c>
      <c r="G29" s="15">
        <f t="shared" si="4"/>
        <v>0.85</v>
      </c>
      <c r="H29" s="19">
        <v>22</v>
      </c>
      <c r="I29" s="16">
        <f t="shared" si="5"/>
        <v>110</v>
      </c>
      <c r="J29" s="14"/>
    </row>
    <row r="30" s="4" customFormat="1" customHeight="1" spans="1:10">
      <c r="A30" s="12">
        <v>25</v>
      </c>
      <c r="B30" s="14" t="s">
        <v>156</v>
      </c>
      <c r="C30" s="14"/>
      <c r="D30" s="14" t="s">
        <v>15</v>
      </c>
      <c r="E30" s="13">
        <v>5</v>
      </c>
      <c r="F30" s="14">
        <f t="shared" si="3"/>
        <v>23.5294117647059</v>
      </c>
      <c r="G30" s="15">
        <f t="shared" si="4"/>
        <v>0.85</v>
      </c>
      <c r="H30" s="19">
        <v>20</v>
      </c>
      <c r="I30" s="16">
        <f t="shared" si="5"/>
        <v>100</v>
      </c>
      <c r="J30" s="14"/>
    </row>
    <row r="31" s="4" customFormat="1" customHeight="1" spans="1:10">
      <c r="A31" s="12">
        <v>27</v>
      </c>
      <c r="B31" s="14" t="s">
        <v>157</v>
      </c>
      <c r="C31" s="14" t="s">
        <v>158</v>
      </c>
      <c r="D31" s="14" t="s">
        <v>47</v>
      </c>
      <c r="E31" s="13">
        <v>1</v>
      </c>
      <c r="F31" s="14">
        <f>H31/0.85</f>
        <v>30.5882352941176</v>
      </c>
      <c r="G31" s="15">
        <f>H31/F31</f>
        <v>0.85</v>
      </c>
      <c r="H31" s="19">
        <v>26</v>
      </c>
      <c r="I31" s="16">
        <f>E31*H31</f>
        <v>26</v>
      </c>
      <c r="J31" s="14"/>
    </row>
    <row r="32" s="4" customFormat="1" customHeight="1" spans="1:10">
      <c r="A32" s="12">
        <v>28</v>
      </c>
      <c r="B32" s="14" t="s">
        <v>159</v>
      </c>
      <c r="C32" s="14" t="s">
        <v>160</v>
      </c>
      <c r="D32" s="14" t="s">
        <v>161</v>
      </c>
      <c r="E32" s="13">
        <v>3</v>
      </c>
      <c r="F32" s="14">
        <f>H32/0.85</f>
        <v>4.94117647058824</v>
      </c>
      <c r="G32" s="15">
        <f>H32/F32</f>
        <v>0.85</v>
      </c>
      <c r="H32" s="19">
        <v>4.2</v>
      </c>
      <c r="I32" s="16">
        <f>E32*H32</f>
        <v>12.6</v>
      </c>
      <c r="J32" s="14"/>
    </row>
    <row r="33" s="4" customFormat="1" customHeight="1" spans="1:10">
      <c r="A33" s="12">
        <v>29</v>
      </c>
      <c r="B33" s="14" t="s">
        <v>72</v>
      </c>
      <c r="C33" s="14"/>
      <c r="D33" s="14" t="s">
        <v>15</v>
      </c>
      <c r="E33" s="13">
        <v>3</v>
      </c>
      <c r="F33" s="14">
        <f>H33/0.85</f>
        <v>103.529411764706</v>
      </c>
      <c r="G33" s="15">
        <f>H33/F33</f>
        <v>0.85</v>
      </c>
      <c r="H33" s="19">
        <v>88</v>
      </c>
      <c r="I33" s="16">
        <f>E33*H33</f>
        <v>264</v>
      </c>
      <c r="J33" s="14"/>
    </row>
    <row r="34" s="4" customFormat="1" customHeight="1" spans="1:10">
      <c r="A34" s="12">
        <v>30</v>
      </c>
      <c r="B34" s="14" t="s">
        <v>105</v>
      </c>
      <c r="C34" s="14" t="s">
        <v>106</v>
      </c>
      <c r="D34" s="14" t="s">
        <v>47</v>
      </c>
      <c r="E34" s="13">
        <v>2</v>
      </c>
      <c r="F34" s="14">
        <f>H34/0.85</f>
        <v>205.882352941176</v>
      </c>
      <c r="G34" s="15">
        <f>H34/F34</f>
        <v>0.85</v>
      </c>
      <c r="H34" s="19">
        <v>175</v>
      </c>
      <c r="I34" s="16">
        <f>E34*H34</f>
        <v>350</v>
      </c>
      <c r="J34" s="14"/>
    </row>
    <row r="35" s="4" customFormat="1" customHeight="1" spans="1:10">
      <c r="A35" s="12">
        <v>31</v>
      </c>
      <c r="B35" s="14" t="s">
        <v>56</v>
      </c>
      <c r="C35" s="14"/>
      <c r="D35" s="14" t="s">
        <v>39</v>
      </c>
      <c r="E35" s="13">
        <v>70</v>
      </c>
      <c r="F35" s="14">
        <f>H35/0.85</f>
        <v>4.11764705882353</v>
      </c>
      <c r="G35" s="15">
        <f>H35/F35</f>
        <v>0.85</v>
      </c>
      <c r="H35" s="19">
        <v>3.5</v>
      </c>
      <c r="I35" s="16">
        <f>E35*H35</f>
        <v>245</v>
      </c>
      <c r="J35" s="14"/>
    </row>
    <row r="36" s="4" customFormat="1" customHeight="1" spans="1:10">
      <c r="A36" s="12" t="s">
        <v>23</v>
      </c>
      <c r="B36" s="20">
        <f>SUM(I6:I35)</f>
        <v>2024.99</v>
      </c>
      <c r="C36" s="21"/>
      <c r="D36" s="21"/>
      <c r="E36" s="22"/>
      <c r="F36" s="21"/>
      <c r="G36" s="21"/>
      <c r="H36" s="21"/>
      <c r="I36" s="21"/>
      <c r="J36" s="25"/>
    </row>
    <row r="37" s="4" customFormat="1" customHeight="1" spans="1:10">
      <c r="A37" s="12" t="s">
        <v>24</v>
      </c>
      <c r="B37" s="23">
        <f>B36</f>
        <v>2024.99</v>
      </c>
      <c r="C37" s="24"/>
      <c r="D37" s="24"/>
      <c r="E37" s="22"/>
      <c r="F37" s="24"/>
      <c r="G37" s="24"/>
      <c r="H37" s="24"/>
      <c r="I37" s="24"/>
      <c r="J37" s="26"/>
    </row>
    <row r="38" s="4" customFormat="1" customHeight="1" spans="1:5">
      <c r="A38" s="4" t="s">
        <v>25</v>
      </c>
      <c r="E38" s="5"/>
    </row>
  </sheetData>
  <mergeCells count="4">
    <mergeCell ref="A1:J1"/>
    <mergeCell ref="B36:J36"/>
    <mergeCell ref="B37:J37"/>
    <mergeCell ref="A38:J38"/>
  </mergeCells>
  <conditionalFormatting sqref="B6:B35">
    <cfRule type="duplicateValues" dxfId="0" priority="2"/>
  </conditionalFormatting>
  <conditionalFormatting sqref="B1:B35 B38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workbookViewId="0">
      <selection activeCell="F19" sqref="F19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5" width="11.6666666666667" style="4" customWidth="1"/>
    <col min="16326" max="16326" width="11.6666666666667" style="4"/>
    <col min="16327" max="16332" width="11" style="4"/>
    <col min="16333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45216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60</v>
      </c>
      <c r="C6" s="12"/>
      <c r="D6" s="13" t="s">
        <v>15</v>
      </c>
      <c r="E6" s="13">
        <v>1</v>
      </c>
      <c r="F6" s="14">
        <f t="shared" ref="F6:F19" si="0">H6/0.85</f>
        <v>8</v>
      </c>
      <c r="G6" s="15">
        <f t="shared" ref="G6:G19" si="1">H6/F6</f>
        <v>0.85</v>
      </c>
      <c r="H6" s="16">
        <v>6.8</v>
      </c>
      <c r="I6" s="16">
        <f t="shared" ref="I6:I19" si="2">E6*H6</f>
        <v>6.8</v>
      </c>
      <c r="J6" s="12"/>
    </row>
    <row r="7" s="4" customFormat="1" ht="16" customHeight="1" spans="1:10">
      <c r="A7" s="12">
        <v>2</v>
      </c>
      <c r="B7" s="12" t="s">
        <v>162</v>
      </c>
      <c r="C7" s="12"/>
      <c r="D7" s="13" t="s">
        <v>15</v>
      </c>
      <c r="E7" s="13">
        <v>15</v>
      </c>
      <c r="F7" s="14">
        <f t="shared" si="0"/>
        <v>11.5294117647059</v>
      </c>
      <c r="G7" s="15">
        <f t="shared" si="1"/>
        <v>0.85</v>
      </c>
      <c r="H7" s="16">
        <v>9.8</v>
      </c>
      <c r="I7" s="16">
        <f t="shared" si="2"/>
        <v>147</v>
      </c>
      <c r="J7" s="12"/>
    </row>
    <row r="8" s="4" customFormat="1" ht="16" customHeight="1" spans="1:10">
      <c r="A8" s="12">
        <v>3</v>
      </c>
      <c r="B8" s="12" t="s">
        <v>29</v>
      </c>
      <c r="C8" s="12"/>
      <c r="D8" s="13" t="s">
        <v>15</v>
      </c>
      <c r="E8" s="13">
        <v>4</v>
      </c>
      <c r="F8" s="14">
        <f t="shared" si="0"/>
        <v>6.47058823529412</v>
      </c>
      <c r="G8" s="15">
        <f t="shared" si="1"/>
        <v>0.85</v>
      </c>
      <c r="H8" s="16">
        <v>5.5</v>
      </c>
      <c r="I8" s="16">
        <f t="shared" si="2"/>
        <v>22</v>
      </c>
      <c r="J8" s="12"/>
    </row>
    <row r="9" s="4" customFormat="1" ht="16" customHeight="1" spans="1:10">
      <c r="A9" s="12">
        <v>4</v>
      </c>
      <c r="B9" s="17" t="s">
        <v>18</v>
      </c>
      <c r="C9" s="17"/>
      <c r="D9" s="13" t="s">
        <v>15</v>
      </c>
      <c r="E9" s="13">
        <v>8</v>
      </c>
      <c r="F9" s="14">
        <f t="shared" si="0"/>
        <v>4.47058823529412</v>
      </c>
      <c r="G9" s="15">
        <f t="shared" si="1"/>
        <v>0.85</v>
      </c>
      <c r="H9" s="16">
        <v>3.8</v>
      </c>
      <c r="I9" s="16">
        <f t="shared" si="2"/>
        <v>30.4</v>
      </c>
      <c r="J9" s="12"/>
    </row>
    <row r="10" s="4" customFormat="1" ht="16" customHeight="1" spans="1:10">
      <c r="A10" s="12">
        <v>5</v>
      </c>
      <c r="B10" s="12" t="s">
        <v>62</v>
      </c>
      <c r="C10" s="12"/>
      <c r="D10" s="13" t="s">
        <v>15</v>
      </c>
      <c r="E10" s="13">
        <v>8</v>
      </c>
      <c r="F10" s="14">
        <f t="shared" si="0"/>
        <v>6.47058823529412</v>
      </c>
      <c r="G10" s="15">
        <f t="shared" si="1"/>
        <v>0.85</v>
      </c>
      <c r="H10" s="16">
        <v>5.5</v>
      </c>
      <c r="I10" s="16">
        <f t="shared" si="2"/>
        <v>44</v>
      </c>
      <c r="J10" s="12"/>
    </row>
    <row r="11" s="4" customFormat="1" ht="16" customHeight="1" spans="1:10">
      <c r="A11" s="12">
        <v>6</v>
      </c>
      <c r="B11" s="12" t="s">
        <v>30</v>
      </c>
      <c r="C11" s="12"/>
      <c r="D11" s="13" t="s">
        <v>15</v>
      </c>
      <c r="E11" s="13">
        <v>19</v>
      </c>
      <c r="F11" s="14">
        <f t="shared" si="0"/>
        <v>4.47058823529412</v>
      </c>
      <c r="G11" s="15">
        <f t="shared" si="1"/>
        <v>0.85</v>
      </c>
      <c r="H11" s="16">
        <v>3.8</v>
      </c>
      <c r="I11" s="16">
        <f t="shared" si="2"/>
        <v>72.2</v>
      </c>
      <c r="J11" s="12"/>
    </row>
    <row r="12" s="4" customFormat="1" ht="16" customHeight="1" spans="1:10">
      <c r="A12" s="12">
        <v>7</v>
      </c>
      <c r="B12" s="17" t="s">
        <v>19</v>
      </c>
      <c r="C12" s="17"/>
      <c r="D12" s="18" t="s">
        <v>15</v>
      </c>
      <c r="E12" s="18">
        <v>10</v>
      </c>
      <c r="F12" s="14">
        <f t="shared" si="0"/>
        <v>2.11764705882353</v>
      </c>
      <c r="G12" s="15">
        <f t="shared" si="1"/>
        <v>0.85</v>
      </c>
      <c r="H12" s="19">
        <v>1.8</v>
      </c>
      <c r="I12" s="16">
        <f t="shared" si="2"/>
        <v>18</v>
      </c>
      <c r="J12" s="17"/>
    </row>
    <row r="13" s="4" customFormat="1" ht="16" customHeight="1" spans="1:10">
      <c r="A13" s="12">
        <v>8</v>
      </c>
      <c r="B13" s="17" t="s">
        <v>91</v>
      </c>
      <c r="C13" s="17"/>
      <c r="D13" s="18" t="s">
        <v>15</v>
      </c>
      <c r="E13" s="18">
        <v>4</v>
      </c>
      <c r="F13" s="14">
        <f t="shared" si="0"/>
        <v>5.64705882352941</v>
      </c>
      <c r="G13" s="15">
        <f t="shared" si="1"/>
        <v>0.85</v>
      </c>
      <c r="H13" s="19">
        <v>4.8</v>
      </c>
      <c r="I13" s="16">
        <f t="shared" si="2"/>
        <v>19.2</v>
      </c>
      <c r="J13" s="17"/>
    </row>
    <row r="14" s="4" customFormat="1" ht="16" customHeight="1" spans="1:10">
      <c r="A14" s="12">
        <v>9</v>
      </c>
      <c r="B14" s="17" t="s">
        <v>32</v>
      </c>
      <c r="C14" s="17"/>
      <c r="D14" s="18" t="s">
        <v>15</v>
      </c>
      <c r="E14" s="18">
        <v>19</v>
      </c>
      <c r="F14" s="14">
        <f t="shared" si="0"/>
        <v>5.29411764705882</v>
      </c>
      <c r="G14" s="15">
        <f t="shared" si="1"/>
        <v>0.85</v>
      </c>
      <c r="H14" s="19">
        <v>4.5</v>
      </c>
      <c r="I14" s="16">
        <f t="shared" si="2"/>
        <v>85.5</v>
      </c>
      <c r="J14" s="17"/>
    </row>
    <row r="15" s="4" customFormat="1" ht="16" customHeight="1" spans="1:10">
      <c r="A15" s="12">
        <v>10</v>
      </c>
      <c r="B15" s="17" t="s">
        <v>163</v>
      </c>
      <c r="C15" s="17"/>
      <c r="D15" s="18" t="s">
        <v>15</v>
      </c>
      <c r="E15" s="18">
        <v>8</v>
      </c>
      <c r="F15" s="14">
        <f t="shared" si="0"/>
        <v>8</v>
      </c>
      <c r="G15" s="15">
        <f t="shared" si="1"/>
        <v>0.85</v>
      </c>
      <c r="H15" s="19">
        <v>6.8</v>
      </c>
      <c r="I15" s="16">
        <f t="shared" si="2"/>
        <v>54.4</v>
      </c>
      <c r="J15" s="17"/>
    </row>
    <row r="16" s="4" customFormat="1" ht="16" customHeight="1" spans="1:10">
      <c r="A16" s="12">
        <v>11</v>
      </c>
      <c r="B16" s="17" t="s">
        <v>36</v>
      </c>
      <c r="C16" s="17"/>
      <c r="D16" s="18" t="s">
        <v>15</v>
      </c>
      <c r="E16" s="18">
        <v>7</v>
      </c>
      <c r="F16" s="14">
        <f t="shared" si="0"/>
        <v>19.7647058823529</v>
      </c>
      <c r="G16" s="15">
        <f t="shared" si="1"/>
        <v>0.85</v>
      </c>
      <c r="H16" s="19">
        <v>16.8</v>
      </c>
      <c r="I16" s="16">
        <f t="shared" si="2"/>
        <v>117.6</v>
      </c>
      <c r="J16" s="17"/>
    </row>
    <row r="17" s="4" customFormat="1" ht="16" customHeight="1" spans="1:10">
      <c r="A17" s="12">
        <v>12</v>
      </c>
      <c r="B17" s="17" t="s">
        <v>67</v>
      </c>
      <c r="C17" s="17"/>
      <c r="D17" s="17" t="s">
        <v>15</v>
      </c>
      <c r="E17" s="18">
        <v>5</v>
      </c>
      <c r="F17" s="14">
        <f t="shared" si="0"/>
        <v>21.7647058823529</v>
      </c>
      <c r="G17" s="15">
        <f t="shared" si="1"/>
        <v>0.85</v>
      </c>
      <c r="H17" s="19">
        <v>18.5</v>
      </c>
      <c r="I17" s="16">
        <f t="shared" si="2"/>
        <v>92.5</v>
      </c>
      <c r="J17" s="17"/>
    </row>
    <row r="18" s="4" customFormat="1" ht="16" customHeight="1" spans="1:10">
      <c r="A18" s="12">
        <v>13</v>
      </c>
      <c r="B18" s="12" t="s">
        <v>128</v>
      </c>
      <c r="C18" s="12"/>
      <c r="D18" s="17" t="s">
        <v>15</v>
      </c>
      <c r="E18" s="13">
        <v>11</v>
      </c>
      <c r="F18" s="14">
        <f t="shared" si="0"/>
        <v>16.2352941176471</v>
      </c>
      <c r="G18" s="15">
        <f t="shared" si="1"/>
        <v>0.85</v>
      </c>
      <c r="H18" s="19">
        <v>13.8</v>
      </c>
      <c r="I18" s="16">
        <f t="shared" si="2"/>
        <v>151.8</v>
      </c>
      <c r="J18" s="17"/>
    </row>
    <row r="19" s="4" customFormat="1" ht="16" customHeight="1" spans="1:10">
      <c r="A19" s="12">
        <v>14</v>
      </c>
      <c r="B19" s="12" t="s">
        <v>137</v>
      </c>
      <c r="C19" s="12" t="s">
        <v>138</v>
      </c>
      <c r="D19" s="12" t="s">
        <v>39</v>
      </c>
      <c r="E19" s="13">
        <v>70</v>
      </c>
      <c r="F19" s="14">
        <f t="shared" si="0"/>
        <v>4.11764705882353</v>
      </c>
      <c r="G19" s="15">
        <f t="shared" si="1"/>
        <v>0.85</v>
      </c>
      <c r="H19" s="19">
        <v>3.5</v>
      </c>
      <c r="I19" s="16">
        <f t="shared" si="2"/>
        <v>245</v>
      </c>
      <c r="J19" s="12"/>
    </row>
    <row r="20" s="4" customFormat="1" ht="16" customHeight="1" spans="1:10">
      <c r="A20" s="12">
        <v>15</v>
      </c>
      <c r="B20" s="17"/>
      <c r="C20" s="17"/>
      <c r="D20" s="18"/>
      <c r="E20" s="18"/>
      <c r="F20" s="14"/>
      <c r="G20" s="15"/>
      <c r="H20" s="19"/>
      <c r="I20" s="16"/>
      <c r="J20" s="12"/>
    </row>
    <row r="21" s="4" customFormat="1" ht="16" customHeight="1" spans="1:10">
      <c r="A21" s="12">
        <v>16</v>
      </c>
      <c r="B21" s="12"/>
      <c r="C21" s="12"/>
      <c r="D21" s="12"/>
      <c r="E21" s="13"/>
      <c r="F21" s="14"/>
      <c r="G21" s="15"/>
      <c r="H21" s="19"/>
      <c r="I21" s="16"/>
      <c r="J21" s="12"/>
    </row>
    <row r="22" s="4" customFormat="1" ht="16" customHeight="1" spans="1:10">
      <c r="A22" s="12">
        <v>17</v>
      </c>
      <c r="B22" s="12"/>
      <c r="C22" s="12"/>
      <c r="D22" s="12"/>
      <c r="E22" s="13"/>
      <c r="F22" s="14"/>
      <c r="G22" s="15"/>
      <c r="H22" s="19"/>
      <c r="I22" s="16"/>
      <c r="J22" s="12"/>
    </row>
    <row r="23" s="4" customFormat="1" ht="16" customHeight="1" spans="1:10">
      <c r="A23" s="12">
        <v>18</v>
      </c>
      <c r="B23" s="12"/>
      <c r="C23" s="12"/>
      <c r="D23" s="12"/>
      <c r="E23" s="13"/>
      <c r="F23" s="14"/>
      <c r="G23" s="15"/>
      <c r="H23" s="19"/>
      <c r="I23" s="16"/>
      <c r="J23" s="12"/>
    </row>
    <row r="24" s="4" customFormat="1" customHeight="1" spans="1:10">
      <c r="A24" s="12">
        <v>19</v>
      </c>
      <c r="B24" s="14"/>
      <c r="C24" s="14"/>
      <c r="D24" s="14"/>
      <c r="E24" s="13"/>
      <c r="F24" s="14"/>
      <c r="G24" s="15"/>
      <c r="H24" s="19"/>
      <c r="I24" s="16"/>
      <c r="J24" s="14"/>
    </row>
    <row r="25" s="4" customFormat="1" customHeight="1" spans="1:10">
      <c r="A25" s="12">
        <v>20</v>
      </c>
      <c r="B25" s="14"/>
      <c r="C25" s="14"/>
      <c r="D25" s="14"/>
      <c r="E25" s="13"/>
      <c r="F25" s="14"/>
      <c r="G25" s="15"/>
      <c r="H25" s="19"/>
      <c r="I25" s="16"/>
      <c r="J25" s="14"/>
    </row>
    <row r="26" s="4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4" customFormat="1" customHeight="1" spans="1:10">
      <c r="A34" s="12" t="s">
        <v>23</v>
      </c>
      <c r="B34" s="20">
        <f>SUM(I6:I33)</f>
        <v>1106.4</v>
      </c>
      <c r="C34" s="21"/>
      <c r="D34" s="21"/>
      <c r="E34" s="22"/>
      <c r="F34" s="21"/>
      <c r="G34" s="21"/>
      <c r="H34" s="21"/>
      <c r="I34" s="21"/>
      <c r="J34" s="25"/>
    </row>
    <row r="35" s="4" customFormat="1" customHeight="1" spans="1:10">
      <c r="A35" s="12" t="s">
        <v>24</v>
      </c>
      <c r="B35" s="23">
        <f>B34</f>
        <v>1106.4</v>
      </c>
      <c r="C35" s="24"/>
      <c r="D35" s="24"/>
      <c r="E35" s="22"/>
      <c r="F35" s="24"/>
      <c r="G35" s="24"/>
      <c r="H35" s="24"/>
      <c r="I35" s="24"/>
      <c r="J35" s="26"/>
    </row>
    <row r="36" s="4" customFormat="1" customHeight="1" spans="1:5">
      <c r="A36" s="4" t="s">
        <v>25</v>
      </c>
      <c r="E36" s="5"/>
    </row>
  </sheetData>
  <sortState ref="A17:I20">
    <sortCondition ref="A17"/>
  </sortState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4"/>
  <sheetViews>
    <sheetView topLeftCell="A24" workbookViewId="0">
      <selection activeCell="E40" sqref="E40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5" width="11.6666666666667" style="4" customWidth="1"/>
    <col min="16326" max="16326" width="11.6666666666667" style="4"/>
    <col min="16327" max="16332" width="11" style="4"/>
    <col min="16333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45217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 t="shared" ref="F6:F29" si="0">H6/0.85</f>
        <v>3.52941176470588</v>
      </c>
      <c r="G6" s="15">
        <f t="shared" ref="G6:G29" si="1">H6/F6</f>
        <v>0.85</v>
      </c>
      <c r="H6" s="16">
        <v>3</v>
      </c>
      <c r="I6" s="16">
        <f t="shared" ref="I6:I29" si="2">E6*H6</f>
        <v>21</v>
      </c>
      <c r="J6" s="12"/>
    </row>
    <row r="7" s="4" customFormat="1" ht="16" customHeight="1" spans="1:10">
      <c r="A7" s="12">
        <v>2</v>
      </c>
      <c r="B7" s="12" t="s">
        <v>58</v>
      </c>
      <c r="C7" s="12"/>
      <c r="D7" s="13" t="s">
        <v>15</v>
      </c>
      <c r="E7" s="13">
        <v>3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10.5</v>
      </c>
      <c r="J7" s="12"/>
    </row>
    <row r="8" s="4" customFormat="1" ht="16" customHeight="1" spans="1:10">
      <c r="A8" s="12">
        <v>3</v>
      </c>
      <c r="B8" s="12" t="s">
        <v>16</v>
      </c>
      <c r="C8" s="12"/>
      <c r="D8" s="13" t="s">
        <v>15</v>
      </c>
      <c r="E8" s="13">
        <v>3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10.5</v>
      </c>
      <c r="J8" s="12"/>
    </row>
    <row r="9" s="4" customFormat="1" ht="16" customHeight="1" spans="1:10">
      <c r="A9" s="12">
        <v>4</v>
      </c>
      <c r="B9" s="17" t="s">
        <v>164</v>
      </c>
      <c r="C9" s="17"/>
      <c r="D9" s="13" t="s">
        <v>15</v>
      </c>
      <c r="E9" s="13">
        <v>4</v>
      </c>
      <c r="F9" s="14">
        <f t="shared" si="0"/>
        <v>7.05882352941176</v>
      </c>
      <c r="G9" s="15">
        <f t="shared" si="1"/>
        <v>0.85</v>
      </c>
      <c r="H9" s="16">
        <v>6</v>
      </c>
      <c r="I9" s="16">
        <f t="shared" si="2"/>
        <v>24</v>
      </c>
      <c r="J9" s="12"/>
    </row>
    <row r="10" s="4" customFormat="1" ht="16" customHeight="1" spans="1:10">
      <c r="A10" s="12">
        <v>5</v>
      </c>
      <c r="B10" s="12" t="s">
        <v>165</v>
      </c>
      <c r="C10" s="12"/>
      <c r="D10" s="13" t="s">
        <v>15</v>
      </c>
      <c r="E10" s="13">
        <v>5</v>
      </c>
      <c r="F10" s="14">
        <f t="shared" si="0"/>
        <v>9.17647058823529</v>
      </c>
      <c r="G10" s="15">
        <f t="shared" si="1"/>
        <v>0.85</v>
      </c>
      <c r="H10" s="16">
        <v>7.8</v>
      </c>
      <c r="I10" s="16">
        <f t="shared" si="2"/>
        <v>39</v>
      </c>
      <c r="J10" s="12"/>
    </row>
    <row r="11" s="4" customFormat="1" ht="16" customHeight="1" spans="1:10">
      <c r="A11" s="12">
        <v>6</v>
      </c>
      <c r="B11" s="12" t="s">
        <v>124</v>
      </c>
      <c r="C11" s="12"/>
      <c r="D11" s="13" t="s">
        <v>15</v>
      </c>
      <c r="E11" s="13">
        <v>5</v>
      </c>
      <c r="F11" s="14">
        <f t="shared" si="0"/>
        <v>15.0588235294118</v>
      </c>
      <c r="G11" s="15">
        <f t="shared" si="1"/>
        <v>0.85</v>
      </c>
      <c r="H11" s="16">
        <v>12.8</v>
      </c>
      <c r="I11" s="16">
        <f t="shared" si="2"/>
        <v>64</v>
      </c>
      <c r="J11" s="12"/>
    </row>
    <row r="12" s="4" customFormat="1" ht="16" customHeight="1" spans="1:10">
      <c r="A12" s="12">
        <v>7</v>
      </c>
      <c r="B12" s="17" t="s">
        <v>166</v>
      </c>
      <c r="C12" s="17"/>
      <c r="D12" s="18" t="s">
        <v>15</v>
      </c>
      <c r="E12" s="18">
        <v>1</v>
      </c>
      <c r="F12" s="14">
        <f t="shared" si="0"/>
        <v>23.5294117647059</v>
      </c>
      <c r="G12" s="15">
        <f t="shared" si="1"/>
        <v>0.85</v>
      </c>
      <c r="H12" s="19">
        <v>20</v>
      </c>
      <c r="I12" s="16">
        <f t="shared" si="2"/>
        <v>20</v>
      </c>
      <c r="J12" s="17"/>
    </row>
    <row r="13" s="4" customFormat="1" ht="16" customHeight="1" spans="1:10">
      <c r="A13" s="12">
        <v>8</v>
      </c>
      <c r="B13" s="17" t="s">
        <v>41</v>
      </c>
      <c r="C13" s="17"/>
      <c r="D13" s="18" t="s">
        <v>15</v>
      </c>
      <c r="E13" s="18">
        <v>6</v>
      </c>
      <c r="F13" s="14">
        <f t="shared" si="0"/>
        <v>2.35294117647059</v>
      </c>
      <c r="G13" s="15">
        <f t="shared" si="1"/>
        <v>0.85</v>
      </c>
      <c r="H13" s="19">
        <v>2</v>
      </c>
      <c r="I13" s="16">
        <f t="shared" si="2"/>
        <v>12</v>
      </c>
      <c r="J13" s="17"/>
    </row>
    <row r="14" s="4" customFormat="1" ht="16" customHeight="1" spans="1:10">
      <c r="A14" s="12">
        <v>9</v>
      </c>
      <c r="B14" s="17" t="s">
        <v>50</v>
      </c>
      <c r="C14" s="17"/>
      <c r="D14" s="18" t="s">
        <v>15</v>
      </c>
      <c r="E14" s="18">
        <v>15.5</v>
      </c>
      <c r="F14" s="14">
        <f t="shared" si="0"/>
        <v>5.29411764705882</v>
      </c>
      <c r="G14" s="15">
        <f t="shared" si="1"/>
        <v>0.85</v>
      </c>
      <c r="H14" s="19">
        <v>4.5</v>
      </c>
      <c r="I14" s="16">
        <f t="shared" si="2"/>
        <v>69.75</v>
      </c>
      <c r="J14" s="17"/>
    </row>
    <row r="15" s="4" customFormat="1" ht="16" customHeight="1" spans="1:10">
      <c r="A15" s="12">
        <v>10</v>
      </c>
      <c r="B15" s="17" t="s">
        <v>51</v>
      </c>
      <c r="C15" s="17"/>
      <c r="D15" s="18" t="s">
        <v>15</v>
      </c>
      <c r="E15" s="18">
        <v>5</v>
      </c>
      <c r="F15" s="14">
        <f t="shared" si="0"/>
        <v>4.11764705882353</v>
      </c>
      <c r="G15" s="15">
        <f t="shared" si="1"/>
        <v>0.85</v>
      </c>
      <c r="H15" s="19">
        <v>3.5</v>
      </c>
      <c r="I15" s="16">
        <f t="shared" si="2"/>
        <v>17.5</v>
      </c>
      <c r="J15" s="17"/>
    </row>
    <row r="16" s="4" customFormat="1" ht="16" customHeight="1" spans="1:10">
      <c r="A16" s="12">
        <v>11</v>
      </c>
      <c r="B16" s="17" t="s">
        <v>26</v>
      </c>
      <c r="C16" s="17"/>
      <c r="D16" s="18" t="s">
        <v>15</v>
      </c>
      <c r="E16" s="18">
        <v>4</v>
      </c>
      <c r="F16" s="14">
        <f t="shared" si="0"/>
        <v>9.17647058823529</v>
      </c>
      <c r="G16" s="15">
        <f t="shared" si="1"/>
        <v>0.85</v>
      </c>
      <c r="H16" s="19">
        <v>7.8</v>
      </c>
      <c r="I16" s="16">
        <f t="shared" si="2"/>
        <v>31.2</v>
      </c>
      <c r="J16" s="17"/>
    </row>
    <row r="17" s="4" customFormat="1" ht="16" customHeight="1" spans="1:10">
      <c r="A17" s="12">
        <v>12</v>
      </c>
      <c r="B17" s="17" t="s">
        <v>61</v>
      </c>
      <c r="C17" s="17"/>
      <c r="D17" s="18" t="s">
        <v>15</v>
      </c>
      <c r="E17" s="18">
        <v>9</v>
      </c>
      <c r="F17" s="14">
        <f t="shared" si="0"/>
        <v>11.5294117647059</v>
      </c>
      <c r="G17" s="15">
        <f t="shared" si="1"/>
        <v>0.85</v>
      </c>
      <c r="H17" s="19">
        <v>9.8</v>
      </c>
      <c r="I17" s="16">
        <f t="shared" si="2"/>
        <v>88.2</v>
      </c>
      <c r="J17" s="17"/>
    </row>
    <row r="18" s="4" customFormat="1" ht="16" customHeight="1" spans="1:10">
      <c r="A18" s="12">
        <v>13</v>
      </c>
      <c r="B18" s="17" t="s">
        <v>27</v>
      </c>
      <c r="C18" s="17"/>
      <c r="D18" s="17" t="s">
        <v>28</v>
      </c>
      <c r="E18" s="18">
        <v>8</v>
      </c>
      <c r="F18" s="14">
        <f t="shared" si="0"/>
        <v>3.52941176470588</v>
      </c>
      <c r="G18" s="15">
        <f t="shared" si="1"/>
        <v>0.85</v>
      </c>
      <c r="H18" s="19">
        <v>3</v>
      </c>
      <c r="I18" s="16">
        <f t="shared" si="2"/>
        <v>24</v>
      </c>
      <c r="J18" s="17"/>
    </row>
    <row r="19" s="4" customFormat="1" ht="16" customHeight="1" spans="1:10">
      <c r="A19" s="12">
        <v>14</v>
      </c>
      <c r="B19" s="12" t="s">
        <v>162</v>
      </c>
      <c r="C19" s="12"/>
      <c r="D19" s="17" t="s">
        <v>15</v>
      </c>
      <c r="E19" s="13">
        <v>3</v>
      </c>
      <c r="F19" s="14">
        <f t="shared" si="0"/>
        <v>11.5294117647059</v>
      </c>
      <c r="G19" s="15">
        <f t="shared" si="1"/>
        <v>0.85</v>
      </c>
      <c r="H19" s="19">
        <v>9.8</v>
      </c>
      <c r="I19" s="16">
        <f t="shared" si="2"/>
        <v>29.4</v>
      </c>
      <c r="J19" s="12"/>
    </row>
    <row r="20" s="4" customFormat="1" ht="16" customHeight="1" spans="1:10">
      <c r="A20" s="12">
        <v>15</v>
      </c>
      <c r="B20" s="12" t="s">
        <v>29</v>
      </c>
      <c r="C20" s="12"/>
      <c r="D20" s="12" t="s">
        <v>15</v>
      </c>
      <c r="E20" s="13">
        <v>4</v>
      </c>
      <c r="F20" s="14">
        <f t="shared" si="0"/>
        <v>6.47058823529412</v>
      </c>
      <c r="G20" s="15">
        <f t="shared" si="1"/>
        <v>0.85</v>
      </c>
      <c r="H20" s="19">
        <v>5.5</v>
      </c>
      <c r="I20" s="16">
        <f t="shared" si="2"/>
        <v>22</v>
      </c>
      <c r="J20" s="12"/>
    </row>
    <row r="21" s="4" customFormat="1" ht="16" customHeight="1" spans="1:10">
      <c r="A21" s="12">
        <v>16</v>
      </c>
      <c r="B21" s="12" t="s">
        <v>18</v>
      </c>
      <c r="C21" s="12"/>
      <c r="D21" s="12" t="s">
        <v>15</v>
      </c>
      <c r="E21" s="13">
        <v>5</v>
      </c>
      <c r="F21" s="14">
        <f t="shared" si="0"/>
        <v>4.47058823529412</v>
      </c>
      <c r="G21" s="15">
        <f t="shared" si="1"/>
        <v>0.85</v>
      </c>
      <c r="H21" s="19">
        <v>3.8</v>
      </c>
      <c r="I21" s="16">
        <f t="shared" si="2"/>
        <v>19</v>
      </c>
      <c r="J21" s="12"/>
    </row>
    <row r="22" s="4" customFormat="1" ht="16" customHeight="1" spans="1:10">
      <c r="A22" s="12">
        <v>17</v>
      </c>
      <c r="B22" s="12" t="s">
        <v>167</v>
      </c>
      <c r="C22" s="12"/>
      <c r="D22" s="12" t="s">
        <v>15</v>
      </c>
      <c r="E22" s="13">
        <v>3.5</v>
      </c>
      <c r="F22" s="14">
        <f t="shared" si="0"/>
        <v>6.82352941176471</v>
      </c>
      <c r="G22" s="15">
        <f t="shared" si="1"/>
        <v>0.85</v>
      </c>
      <c r="H22" s="19">
        <v>5.8</v>
      </c>
      <c r="I22" s="16">
        <f t="shared" si="2"/>
        <v>20.3</v>
      </c>
      <c r="J22" s="12"/>
    </row>
    <row r="23" s="4" customFormat="1" ht="16" customHeight="1" spans="1:10">
      <c r="A23" s="12">
        <v>18</v>
      </c>
      <c r="B23" s="12" t="s">
        <v>63</v>
      </c>
      <c r="C23" s="12"/>
      <c r="D23" s="12" t="s">
        <v>15</v>
      </c>
      <c r="E23" s="13">
        <v>19</v>
      </c>
      <c r="F23" s="14">
        <f t="shared" si="0"/>
        <v>6.82352941176471</v>
      </c>
      <c r="G23" s="15">
        <f t="shared" si="1"/>
        <v>0.85</v>
      </c>
      <c r="H23" s="19">
        <v>5.8</v>
      </c>
      <c r="I23" s="16">
        <f t="shared" si="2"/>
        <v>110.2</v>
      </c>
      <c r="J23" s="12"/>
    </row>
    <row r="24" s="4" customFormat="1" customHeight="1" spans="1:10">
      <c r="A24" s="12">
        <v>19</v>
      </c>
      <c r="B24" s="14" t="s">
        <v>52</v>
      </c>
      <c r="C24" s="14"/>
      <c r="D24" s="14" t="s">
        <v>15</v>
      </c>
      <c r="E24" s="13">
        <v>10</v>
      </c>
      <c r="F24" s="14">
        <f t="shared" si="0"/>
        <v>2.35294117647059</v>
      </c>
      <c r="G24" s="15">
        <f t="shared" si="1"/>
        <v>0.85</v>
      </c>
      <c r="H24" s="19">
        <v>2</v>
      </c>
      <c r="I24" s="16">
        <f t="shared" si="2"/>
        <v>20</v>
      </c>
      <c r="J24" s="14"/>
    </row>
    <row r="25" s="4" customFormat="1" customHeight="1" spans="1:10">
      <c r="A25" s="12">
        <v>20</v>
      </c>
      <c r="B25" s="14" t="s">
        <v>31</v>
      </c>
      <c r="C25" s="14"/>
      <c r="D25" s="14" t="s">
        <v>15</v>
      </c>
      <c r="E25" s="13">
        <v>22</v>
      </c>
      <c r="F25" s="14">
        <f t="shared" si="0"/>
        <v>5.64705882352941</v>
      </c>
      <c r="G25" s="15">
        <f t="shared" si="1"/>
        <v>0.85</v>
      </c>
      <c r="H25" s="19">
        <v>4.8</v>
      </c>
      <c r="I25" s="16">
        <f t="shared" si="2"/>
        <v>105.6</v>
      </c>
      <c r="J25" s="14"/>
    </row>
    <row r="26" s="4" customFormat="1" customHeight="1" spans="1:10">
      <c r="A26" s="12">
        <v>21</v>
      </c>
      <c r="B26" s="14" t="s">
        <v>154</v>
      </c>
      <c r="C26" s="14"/>
      <c r="D26" s="14" t="s">
        <v>15</v>
      </c>
      <c r="E26" s="13">
        <v>14</v>
      </c>
      <c r="F26" s="14">
        <f t="shared" ref="F26:F32" si="3">H26/0.85</f>
        <v>11.5294117647059</v>
      </c>
      <c r="G26" s="15">
        <f t="shared" ref="G26:G32" si="4">H26/F26</f>
        <v>0.85</v>
      </c>
      <c r="H26" s="19">
        <v>9.8</v>
      </c>
      <c r="I26" s="16">
        <f t="shared" ref="I26:I32" si="5">E26*H26</f>
        <v>137.2</v>
      </c>
      <c r="J26" s="14"/>
    </row>
    <row r="27" s="4" customFormat="1" customHeight="1" spans="1:10">
      <c r="A27" s="12">
        <v>22</v>
      </c>
      <c r="B27" s="14" t="s">
        <v>168</v>
      </c>
      <c r="C27" s="14"/>
      <c r="D27" s="14" t="s">
        <v>15</v>
      </c>
      <c r="E27" s="13">
        <v>1</v>
      </c>
      <c r="F27" s="14">
        <f t="shared" si="3"/>
        <v>13.8823529411765</v>
      </c>
      <c r="G27" s="15">
        <f t="shared" si="4"/>
        <v>0.85</v>
      </c>
      <c r="H27" s="19">
        <v>11.8</v>
      </c>
      <c r="I27" s="16">
        <f t="shared" si="5"/>
        <v>11.8</v>
      </c>
      <c r="J27" s="14"/>
    </row>
    <row r="28" s="4" customFormat="1" customHeight="1" spans="1:10">
      <c r="A28" s="12">
        <v>23</v>
      </c>
      <c r="B28" s="14" t="s">
        <v>113</v>
      </c>
      <c r="C28" s="14"/>
      <c r="D28" s="14" t="s">
        <v>15</v>
      </c>
      <c r="E28" s="13">
        <v>15.2</v>
      </c>
      <c r="F28" s="14">
        <f t="shared" si="3"/>
        <v>6.47058823529412</v>
      </c>
      <c r="G28" s="15">
        <f t="shared" si="4"/>
        <v>0.85</v>
      </c>
      <c r="H28" s="19">
        <v>5.5</v>
      </c>
      <c r="I28" s="16">
        <f t="shared" si="5"/>
        <v>83.6</v>
      </c>
      <c r="J28" s="14"/>
    </row>
    <row r="29" s="4" customFormat="1" customHeight="1" spans="1:10">
      <c r="A29" s="12">
        <v>24</v>
      </c>
      <c r="B29" s="14" t="s">
        <v>169</v>
      </c>
      <c r="C29" s="14"/>
      <c r="D29" s="14" t="s">
        <v>15</v>
      </c>
      <c r="E29" s="13">
        <v>11</v>
      </c>
      <c r="F29" s="14">
        <f t="shared" si="3"/>
        <v>8</v>
      </c>
      <c r="G29" s="15">
        <f t="shared" si="4"/>
        <v>0.85</v>
      </c>
      <c r="H29" s="19">
        <v>6.8</v>
      </c>
      <c r="I29" s="16">
        <f t="shared" si="5"/>
        <v>74.8</v>
      </c>
      <c r="J29" s="14"/>
    </row>
    <row r="30" s="4" customFormat="1" customHeight="1" spans="1:10">
      <c r="A30" s="12">
        <v>25</v>
      </c>
      <c r="B30" s="14" t="s">
        <v>64</v>
      </c>
      <c r="C30" s="14" t="s">
        <v>65</v>
      </c>
      <c r="D30" s="14" t="s">
        <v>66</v>
      </c>
      <c r="E30" s="13">
        <v>1</v>
      </c>
      <c r="F30" s="14">
        <f t="shared" si="3"/>
        <v>352.941176470588</v>
      </c>
      <c r="G30" s="15">
        <f t="shared" si="4"/>
        <v>0.85</v>
      </c>
      <c r="H30" s="19">
        <v>300</v>
      </c>
      <c r="I30" s="16">
        <f t="shared" si="5"/>
        <v>300</v>
      </c>
      <c r="J30" s="14"/>
    </row>
    <row r="31" s="4" customFormat="1" customHeight="1" spans="1:10">
      <c r="A31" s="12">
        <v>26</v>
      </c>
      <c r="B31" s="14" t="s">
        <v>43</v>
      </c>
      <c r="C31" s="14"/>
      <c r="D31" s="14" t="s">
        <v>15</v>
      </c>
      <c r="E31" s="13">
        <v>5.5</v>
      </c>
      <c r="F31" s="14">
        <f t="shared" si="3"/>
        <v>17.4117647058824</v>
      </c>
      <c r="G31" s="15">
        <f t="shared" si="4"/>
        <v>0.85</v>
      </c>
      <c r="H31" s="19">
        <v>14.8</v>
      </c>
      <c r="I31" s="16">
        <f t="shared" si="5"/>
        <v>81.4</v>
      </c>
      <c r="J31" s="14"/>
    </row>
    <row r="32" s="4" customFormat="1" customHeight="1" spans="1:10">
      <c r="A32" s="12">
        <v>27</v>
      </c>
      <c r="B32" s="14" t="s">
        <v>36</v>
      </c>
      <c r="C32" s="14"/>
      <c r="D32" s="14" t="s">
        <v>15</v>
      </c>
      <c r="E32" s="13">
        <v>6</v>
      </c>
      <c r="F32" s="14">
        <f t="shared" si="3"/>
        <v>19.7647058823529</v>
      </c>
      <c r="G32" s="15">
        <f t="shared" si="4"/>
        <v>0.85</v>
      </c>
      <c r="H32" s="19">
        <v>16.8</v>
      </c>
      <c r="I32" s="16">
        <f t="shared" si="5"/>
        <v>100.8</v>
      </c>
      <c r="J32" s="14"/>
    </row>
    <row r="33" s="4" customFormat="1" customHeight="1" spans="1:10">
      <c r="A33" s="12">
        <v>28</v>
      </c>
      <c r="B33" s="14" t="s">
        <v>170</v>
      </c>
      <c r="C33" s="14" t="s">
        <v>171</v>
      </c>
      <c r="D33" s="14" t="s">
        <v>15</v>
      </c>
      <c r="E33" s="13">
        <v>5</v>
      </c>
      <c r="F33" s="14">
        <f t="shared" ref="F33:F43" si="6">H33/0.85</f>
        <v>17.4117647058824</v>
      </c>
      <c r="G33" s="15">
        <f t="shared" ref="G33:G43" si="7">H33/F33</f>
        <v>0.85</v>
      </c>
      <c r="H33" s="19">
        <v>14.8</v>
      </c>
      <c r="I33" s="16">
        <f t="shared" ref="I33:I43" si="8">E33*H33</f>
        <v>74</v>
      </c>
      <c r="J33" s="14"/>
    </row>
    <row r="34" s="4" customFormat="1" customHeight="1" spans="1:10">
      <c r="A34" s="12">
        <v>29</v>
      </c>
      <c r="B34" s="14" t="s">
        <v>68</v>
      </c>
      <c r="C34" s="14"/>
      <c r="D34" s="14" t="s">
        <v>15</v>
      </c>
      <c r="E34" s="13">
        <v>2.5</v>
      </c>
      <c r="F34" s="14">
        <f t="shared" si="6"/>
        <v>76.4705882352941</v>
      </c>
      <c r="G34" s="15">
        <f t="shared" si="7"/>
        <v>0.85</v>
      </c>
      <c r="H34" s="19">
        <v>65</v>
      </c>
      <c r="I34" s="16">
        <f t="shared" si="8"/>
        <v>162.5</v>
      </c>
      <c r="J34" s="14"/>
    </row>
    <row r="35" s="4" customFormat="1" customHeight="1" spans="1:10">
      <c r="A35" s="12">
        <v>30</v>
      </c>
      <c r="B35" s="14" t="s">
        <v>172</v>
      </c>
      <c r="C35" s="14" t="s">
        <v>173</v>
      </c>
      <c r="D35" s="14" t="s">
        <v>66</v>
      </c>
      <c r="E35" s="13">
        <v>1</v>
      </c>
      <c r="F35" s="14">
        <f t="shared" si="6"/>
        <v>235.294117647059</v>
      </c>
      <c r="G35" s="15">
        <f t="shared" si="7"/>
        <v>0.85</v>
      </c>
      <c r="H35" s="19">
        <v>200</v>
      </c>
      <c r="I35" s="16">
        <f t="shared" si="8"/>
        <v>200</v>
      </c>
      <c r="J35" s="14"/>
    </row>
    <row r="36" s="4" customFormat="1" customHeight="1" spans="1:10">
      <c r="A36" s="12">
        <v>31</v>
      </c>
      <c r="B36" s="14" t="s">
        <v>174</v>
      </c>
      <c r="C36" s="14" t="s">
        <v>175</v>
      </c>
      <c r="D36" s="14" t="s">
        <v>47</v>
      </c>
      <c r="E36" s="13">
        <v>4</v>
      </c>
      <c r="F36" s="14">
        <f t="shared" si="6"/>
        <v>8</v>
      </c>
      <c r="G36" s="15">
        <f t="shared" si="7"/>
        <v>0.85</v>
      </c>
      <c r="H36" s="19">
        <v>6.8</v>
      </c>
      <c r="I36" s="16">
        <f t="shared" si="8"/>
        <v>27.2</v>
      </c>
      <c r="J36" s="14"/>
    </row>
    <row r="37" s="4" customFormat="1" customHeight="1" spans="1:10">
      <c r="A37" s="12">
        <v>32</v>
      </c>
      <c r="B37" s="14" t="s">
        <v>176</v>
      </c>
      <c r="C37" s="14" t="s">
        <v>177</v>
      </c>
      <c r="D37" s="14" t="s">
        <v>117</v>
      </c>
      <c r="E37" s="13">
        <v>2</v>
      </c>
      <c r="F37" s="14">
        <f t="shared" si="6"/>
        <v>19.4117647058824</v>
      </c>
      <c r="G37" s="15">
        <f t="shared" si="7"/>
        <v>0.85</v>
      </c>
      <c r="H37" s="19">
        <v>16.5</v>
      </c>
      <c r="I37" s="16">
        <f t="shared" si="8"/>
        <v>33</v>
      </c>
      <c r="J37" s="14"/>
    </row>
    <row r="38" s="4" customFormat="1" customHeight="1" spans="1:10">
      <c r="A38" s="12">
        <v>33</v>
      </c>
      <c r="B38" s="14" t="s">
        <v>178</v>
      </c>
      <c r="C38" s="14" t="s">
        <v>179</v>
      </c>
      <c r="D38" s="14" t="s">
        <v>95</v>
      </c>
      <c r="E38" s="13">
        <v>6</v>
      </c>
      <c r="F38" s="14">
        <f t="shared" si="6"/>
        <v>8</v>
      </c>
      <c r="G38" s="15">
        <f t="shared" si="7"/>
        <v>0.85</v>
      </c>
      <c r="H38" s="19">
        <v>6.8</v>
      </c>
      <c r="I38" s="16">
        <f t="shared" si="8"/>
        <v>40.8</v>
      </c>
      <c r="J38" s="14"/>
    </row>
    <row r="39" s="4" customFormat="1" customHeight="1" spans="1:10">
      <c r="A39" s="12">
        <v>34</v>
      </c>
      <c r="B39" s="14" t="s">
        <v>180</v>
      </c>
      <c r="C39" s="14" t="s">
        <v>181</v>
      </c>
      <c r="D39" s="14" t="s">
        <v>66</v>
      </c>
      <c r="E39" s="13">
        <v>1</v>
      </c>
      <c r="F39" s="14">
        <f t="shared" si="6"/>
        <v>411.764705882353</v>
      </c>
      <c r="G39" s="15">
        <f t="shared" si="7"/>
        <v>0.85</v>
      </c>
      <c r="H39" s="19">
        <v>350</v>
      </c>
      <c r="I39" s="16">
        <f t="shared" si="8"/>
        <v>350</v>
      </c>
      <c r="J39" s="14"/>
    </row>
    <row r="40" s="4" customFormat="1" customHeight="1" spans="1:10">
      <c r="A40" s="12">
        <v>35</v>
      </c>
      <c r="B40" s="14" t="s">
        <v>122</v>
      </c>
      <c r="C40" s="14" t="s">
        <v>123</v>
      </c>
      <c r="D40" s="14" t="s">
        <v>15</v>
      </c>
      <c r="E40" s="13">
        <v>6</v>
      </c>
      <c r="F40" s="14">
        <f t="shared" si="6"/>
        <v>5.76470588235294</v>
      </c>
      <c r="G40" s="15">
        <f t="shared" si="7"/>
        <v>0.85</v>
      </c>
      <c r="H40" s="19">
        <v>4.9</v>
      </c>
      <c r="I40" s="16">
        <f t="shared" si="8"/>
        <v>29.4</v>
      </c>
      <c r="J40" s="14"/>
    </row>
    <row r="41" s="4" customFormat="1" customHeight="1" spans="1:10">
      <c r="A41" s="12">
        <v>36</v>
      </c>
      <c r="B41" s="14" t="s">
        <v>137</v>
      </c>
      <c r="C41" s="14" t="s">
        <v>138</v>
      </c>
      <c r="D41" s="14" t="s">
        <v>39</v>
      </c>
      <c r="E41" s="13">
        <v>60</v>
      </c>
      <c r="F41" s="14">
        <f t="shared" si="6"/>
        <v>4.11764705882353</v>
      </c>
      <c r="G41" s="15">
        <f t="shared" si="7"/>
        <v>0.85</v>
      </c>
      <c r="H41" s="19">
        <v>3.5</v>
      </c>
      <c r="I41" s="16">
        <f t="shared" si="8"/>
        <v>210</v>
      </c>
      <c r="J41" s="14"/>
    </row>
    <row r="42" s="4" customFormat="1" customHeight="1" spans="1:10">
      <c r="A42" s="12" t="s">
        <v>23</v>
      </c>
      <c r="B42" s="20">
        <f>SUM(I6:I41)</f>
        <v>2674.65</v>
      </c>
      <c r="C42" s="21"/>
      <c r="D42" s="21"/>
      <c r="E42" s="22"/>
      <c r="F42" s="21"/>
      <c r="G42" s="21"/>
      <c r="H42" s="21"/>
      <c r="I42" s="21"/>
      <c r="J42" s="25"/>
    </row>
    <row r="43" s="4" customFormat="1" customHeight="1" spans="1:10">
      <c r="A43" s="12" t="s">
        <v>24</v>
      </c>
      <c r="B43" s="23">
        <f>B42</f>
        <v>2674.65</v>
      </c>
      <c r="C43" s="24"/>
      <c r="D43" s="24"/>
      <c r="E43" s="22"/>
      <c r="F43" s="24"/>
      <c r="G43" s="24"/>
      <c r="H43" s="24"/>
      <c r="I43" s="24"/>
      <c r="J43" s="26"/>
    </row>
    <row r="44" s="4" customFormat="1" customHeight="1" spans="1:5">
      <c r="A44" s="4" t="s">
        <v>25</v>
      </c>
      <c r="E44" s="5"/>
    </row>
  </sheetData>
  <mergeCells count="4">
    <mergeCell ref="A1:J1"/>
    <mergeCell ref="B42:J42"/>
    <mergeCell ref="B43:J43"/>
    <mergeCell ref="A44:J44"/>
  </mergeCells>
  <conditionalFormatting sqref="B6:B41">
    <cfRule type="duplicateValues" dxfId="0" priority="2"/>
  </conditionalFormatting>
  <conditionalFormatting sqref="B1:B41 B44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5" workbookViewId="0">
      <selection activeCell="B31" sqref="B31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5" width="11.6666666666667" style="4" customWidth="1"/>
    <col min="16326" max="16326" width="11.6666666666667" style="4"/>
    <col min="16327" max="16332" width="11" style="4"/>
    <col min="16333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45218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3</v>
      </c>
      <c r="F6" s="14">
        <f t="shared" ref="F6:F26" si="0">H6/0.85</f>
        <v>3.52941176470588</v>
      </c>
      <c r="G6" s="15">
        <f t="shared" ref="G6:G26" si="1">H6/F6</f>
        <v>0.85</v>
      </c>
      <c r="H6" s="16">
        <v>3</v>
      </c>
      <c r="I6" s="16">
        <f t="shared" ref="I6:I26" si="2">E6*H6</f>
        <v>9</v>
      </c>
      <c r="J6" s="12"/>
    </row>
    <row r="7" s="4" customFormat="1" ht="16" customHeight="1" spans="1:10">
      <c r="A7" s="12">
        <v>2</v>
      </c>
      <c r="B7" s="12" t="s">
        <v>58</v>
      </c>
      <c r="C7" s="12"/>
      <c r="D7" s="13" t="s">
        <v>15</v>
      </c>
      <c r="E7" s="13">
        <v>6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21</v>
      </c>
      <c r="J7" s="12"/>
    </row>
    <row r="8" s="4" customFormat="1" ht="16" customHeight="1" spans="1:10">
      <c r="A8" s="12">
        <v>3</v>
      </c>
      <c r="B8" s="12" t="s">
        <v>16</v>
      </c>
      <c r="C8" s="12"/>
      <c r="D8" s="13" t="s">
        <v>15</v>
      </c>
      <c r="E8" s="13">
        <v>3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10.5</v>
      </c>
      <c r="J8" s="12"/>
    </row>
    <row r="9" s="4" customFormat="1" ht="16" customHeight="1" spans="1:10">
      <c r="A9" s="12">
        <v>4</v>
      </c>
      <c r="B9" s="17" t="s">
        <v>125</v>
      </c>
      <c r="C9" s="17"/>
      <c r="D9" s="13" t="s">
        <v>15</v>
      </c>
      <c r="E9" s="13">
        <v>8</v>
      </c>
      <c r="F9" s="14">
        <f t="shared" si="0"/>
        <v>10</v>
      </c>
      <c r="G9" s="15">
        <f t="shared" si="1"/>
        <v>0.85</v>
      </c>
      <c r="H9" s="16">
        <v>8.5</v>
      </c>
      <c r="I9" s="16">
        <f t="shared" si="2"/>
        <v>68</v>
      </c>
      <c r="J9" s="12"/>
    </row>
    <row r="10" s="4" customFormat="1" ht="16" customHeight="1" spans="1:10">
      <c r="A10" s="12">
        <v>5</v>
      </c>
      <c r="B10" s="12" t="s">
        <v>41</v>
      </c>
      <c r="C10" s="12"/>
      <c r="D10" s="13" t="s">
        <v>15</v>
      </c>
      <c r="E10" s="13">
        <v>9</v>
      </c>
      <c r="F10" s="14">
        <f t="shared" si="0"/>
        <v>2.35294117647059</v>
      </c>
      <c r="G10" s="15">
        <f t="shared" si="1"/>
        <v>0.85</v>
      </c>
      <c r="H10" s="16">
        <v>2</v>
      </c>
      <c r="I10" s="16">
        <f t="shared" si="2"/>
        <v>18</v>
      </c>
      <c r="J10" s="12"/>
    </row>
    <row r="11" s="4" customFormat="1" ht="16" customHeight="1" spans="1:10">
      <c r="A11" s="12">
        <v>6</v>
      </c>
      <c r="B11" s="12" t="s">
        <v>61</v>
      </c>
      <c r="C11" s="12"/>
      <c r="D11" s="13" t="s">
        <v>15</v>
      </c>
      <c r="E11" s="13">
        <v>4</v>
      </c>
      <c r="F11" s="14">
        <f t="shared" si="0"/>
        <v>11.5294117647059</v>
      </c>
      <c r="G11" s="15">
        <f t="shared" si="1"/>
        <v>0.85</v>
      </c>
      <c r="H11" s="16">
        <v>9.8</v>
      </c>
      <c r="I11" s="16">
        <f t="shared" si="2"/>
        <v>39.2</v>
      </c>
      <c r="J11" s="12"/>
    </row>
    <row r="12" s="4" customFormat="1" ht="16" customHeight="1" spans="1:10">
      <c r="A12" s="12">
        <v>7</v>
      </c>
      <c r="B12" s="17" t="s">
        <v>29</v>
      </c>
      <c r="C12" s="17"/>
      <c r="D12" s="18" t="s">
        <v>15</v>
      </c>
      <c r="E12" s="18">
        <v>8</v>
      </c>
      <c r="F12" s="14">
        <f t="shared" si="0"/>
        <v>6.47058823529412</v>
      </c>
      <c r="G12" s="15">
        <f t="shared" si="1"/>
        <v>0.85</v>
      </c>
      <c r="H12" s="19">
        <v>5.5</v>
      </c>
      <c r="I12" s="16">
        <f t="shared" si="2"/>
        <v>44</v>
      </c>
      <c r="J12" s="17"/>
    </row>
    <row r="13" s="4" customFormat="1" ht="16" customHeight="1" spans="1:10">
      <c r="A13" s="12">
        <v>8</v>
      </c>
      <c r="B13" s="17" t="s">
        <v>62</v>
      </c>
      <c r="C13" s="17"/>
      <c r="D13" s="18" t="s">
        <v>15</v>
      </c>
      <c r="E13" s="18">
        <v>8</v>
      </c>
      <c r="F13" s="14">
        <f t="shared" si="0"/>
        <v>6.47058823529412</v>
      </c>
      <c r="G13" s="15">
        <f t="shared" si="1"/>
        <v>0.85</v>
      </c>
      <c r="H13" s="19">
        <v>5.5</v>
      </c>
      <c r="I13" s="16">
        <f t="shared" si="2"/>
        <v>44</v>
      </c>
      <c r="J13" s="17"/>
    </row>
    <row r="14" s="4" customFormat="1" ht="16" customHeight="1" spans="1:10">
      <c r="A14" s="12">
        <v>9</v>
      </c>
      <c r="B14" s="17" t="s">
        <v>80</v>
      </c>
      <c r="C14" s="17"/>
      <c r="D14" s="18" t="s">
        <v>15</v>
      </c>
      <c r="E14" s="18">
        <v>3</v>
      </c>
      <c r="F14" s="14">
        <f t="shared" si="0"/>
        <v>10.3529411764706</v>
      </c>
      <c r="G14" s="15">
        <f t="shared" si="1"/>
        <v>0.85</v>
      </c>
      <c r="H14" s="19">
        <v>8.8</v>
      </c>
      <c r="I14" s="16">
        <f t="shared" si="2"/>
        <v>26.4</v>
      </c>
      <c r="J14" s="17"/>
    </row>
    <row r="15" s="4" customFormat="1" ht="16" customHeight="1" spans="1:10">
      <c r="A15" s="12">
        <v>10</v>
      </c>
      <c r="B15" s="17" t="s">
        <v>90</v>
      </c>
      <c r="C15" s="17"/>
      <c r="D15" s="18" t="s">
        <v>15</v>
      </c>
      <c r="E15" s="18">
        <v>8</v>
      </c>
      <c r="F15" s="14">
        <f t="shared" si="0"/>
        <v>11.5294117647059</v>
      </c>
      <c r="G15" s="15">
        <f t="shared" si="1"/>
        <v>0.85</v>
      </c>
      <c r="H15" s="19">
        <v>9.8</v>
      </c>
      <c r="I15" s="16">
        <f t="shared" si="2"/>
        <v>78.4</v>
      </c>
      <c r="J15" s="17"/>
    </row>
    <row r="16" s="4" customFormat="1" ht="16" customHeight="1" spans="1:10">
      <c r="A16" s="12">
        <v>11</v>
      </c>
      <c r="B16" s="17" t="s">
        <v>19</v>
      </c>
      <c r="C16" s="17"/>
      <c r="D16" s="18" t="s">
        <v>15</v>
      </c>
      <c r="E16" s="18">
        <v>19</v>
      </c>
      <c r="F16" s="14">
        <f t="shared" si="0"/>
        <v>2.11764705882353</v>
      </c>
      <c r="G16" s="15">
        <f t="shared" si="1"/>
        <v>0.85</v>
      </c>
      <c r="H16" s="19">
        <v>1.8</v>
      </c>
      <c r="I16" s="16">
        <f t="shared" si="2"/>
        <v>34.2</v>
      </c>
      <c r="J16" s="17"/>
    </row>
    <row r="17" s="4" customFormat="1" ht="16" customHeight="1" spans="1:10">
      <c r="A17" s="12">
        <v>12</v>
      </c>
      <c r="B17" s="17" t="s">
        <v>182</v>
      </c>
      <c r="C17" s="17"/>
      <c r="D17" s="18" t="s">
        <v>15</v>
      </c>
      <c r="E17" s="18">
        <v>10</v>
      </c>
      <c r="F17" s="14">
        <f t="shared" si="0"/>
        <v>4.11764705882353</v>
      </c>
      <c r="G17" s="15">
        <f t="shared" si="1"/>
        <v>0.85</v>
      </c>
      <c r="H17" s="19">
        <v>3.5</v>
      </c>
      <c r="I17" s="16">
        <f t="shared" si="2"/>
        <v>35</v>
      </c>
      <c r="J17" s="17"/>
    </row>
    <row r="18" s="4" customFormat="1" ht="16" customHeight="1" spans="1:10">
      <c r="A18" s="12">
        <v>13</v>
      </c>
      <c r="B18" s="17" t="s">
        <v>183</v>
      </c>
      <c r="C18" s="17"/>
      <c r="D18" s="17" t="s">
        <v>15</v>
      </c>
      <c r="E18" s="18">
        <v>14</v>
      </c>
      <c r="F18" s="14">
        <f t="shared" si="0"/>
        <v>11.5294117647059</v>
      </c>
      <c r="G18" s="15">
        <f t="shared" si="1"/>
        <v>0.85</v>
      </c>
      <c r="H18" s="19">
        <v>9.8</v>
      </c>
      <c r="I18" s="16">
        <f t="shared" si="2"/>
        <v>137.2</v>
      </c>
      <c r="J18" s="17"/>
    </row>
    <row r="19" s="4" customFormat="1" ht="16" customHeight="1" spans="1:10">
      <c r="A19" s="12">
        <v>14</v>
      </c>
      <c r="B19" s="12" t="s">
        <v>81</v>
      </c>
      <c r="C19" s="12"/>
      <c r="D19" s="17" t="s">
        <v>15</v>
      </c>
      <c r="E19" s="13">
        <v>6</v>
      </c>
      <c r="F19" s="14">
        <f t="shared" si="0"/>
        <v>8</v>
      </c>
      <c r="G19" s="15">
        <f t="shared" si="1"/>
        <v>0.85</v>
      </c>
      <c r="H19" s="19">
        <v>6.8</v>
      </c>
      <c r="I19" s="16">
        <f t="shared" si="2"/>
        <v>40.8</v>
      </c>
      <c r="J19" s="12"/>
    </row>
    <row r="20" s="4" customFormat="1" ht="16" customHeight="1" spans="1:10">
      <c r="A20" s="12">
        <v>15</v>
      </c>
      <c r="B20" s="12" t="s">
        <v>34</v>
      </c>
      <c r="C20" s="12"/>
      <c r="D20" s="12" t="s">
        <v>15</v>
      </c>
      <c r="E20" s="13">
        <v>8</v>
      </c>
      <c r="F20" s="14">
        <f t="shared" si="0"/>
        <v>4.11764705882353</v>
      </c>
      <c r="G20" s="15">
        <f t="shared" si="1"/>
        <v>0.85</v>
      </c>
      <c r="H20" s="19">
        <v>3.5</v>
      </c>
      <c r="I20" s="16">
        <f t="shared" si="2"/>
        <v>28</v>
      </c>
      <c r="J20" s="12"/>
    </row>
    <row r="21" s="4" customFormat="1" ht="16" customHeight="1" spans="1:10">
      <c r="A21" s="12">
        <v>16</v>
      </c>
      <c r="B21" s="12" t="s">
        <v>43</v>
      </c>
      <c r="C21" s="12"/>
      <c r="D21" s="12" t="s">
        <v>15</v>
      </c>
      <c r="E21" s="13">
        <v>12</v>
      </c>
      <c r="F21" s="14">
        <f t="shared" si="0"/>
        <v>17.4117647058824</v>
      </c>
      <c r="G21" s="15">
        <f t="shared" si="1"/>
        <v>0.85</v>
      </c>
      <c r="H21" s="19">
        <v>14.8</v>
      </c>
      <c r="I21" s="16">
        <f t="shared" si="2"/>
        <v>177.6</v>
      </c>
      <c r="J21" s="12"/>
    </row>
    <row r="22" s="4" customFormat="1" ht="16" customHeight="1" spans="1:10">
      <c r="A22" s="12">
        <v>17</v>
      </c>
      <c r="B22" s="12" t="s">
        <v>35</v>
      </c>
      <c r="C22" s="12"/>
      <c r="D22" s="12" t="s">
        <v>15</v>
      </c>
      <c r="E22" s="13">
        <v>5</v>
      </c>
      <c r="F22" s="14">
        <f t="shared" si="0"/>
        <v>24.4705882352941</v>
      </c>
      <c r="G22" s="15">
        <f t="shared" si="1"/>
        <v>0.85</v>
      </c>
      <c r="H22" s="19">
        <v>20.8</v>
      </c>
      <c r="I22" s="16">
        <f t="shared" si="2"/>
        <v>104</v>
      </c>
      <c r="J22" s="12"/>
    </row>
    <row r="23" s="4" customFormat="1" ht="16" customHeight="1" spans="1:10">
      <c r="A23" s="12">
        <v>18</v>
      </c>
      <c r="B23" s="12" t="s">
        <v>36</v>
      </c>
      <c r="C23" s="12"/>
      <c r="D23" s="12" t="s">
        <v>15</v>
      </c>
      <c r="E23" s="13">
        <v>5</v>
      </c>
      <c r="F23" s="14">
        <f t="shared" si="0"/>
        <v>19.7647058823529</v>
      </c>
      <c r="G23" s="15">
        <f t="shared" si="1"/>
        <v>0.85</v>
      </c>
      <c r="H23" s="19">
        <v>16.8</v>
      </c>
      <c r="I23" s="16">
        <f t="shared" si="2"/>
        <v>84</v>
      </c>
      <c r="J23" s="12"/>
    </row>
    <row r="24" s="4" customFormat="1" customHeight="1" spans="1:10">
      <c r="A24" s="12">
        <v>19</v>
      </c>
      <c r="B24" s="14" t="s">
        <v>44</v>
      </c>
      <c r="C24" s="14"/>
      <c r="D24" s="14" t="s">
        <v>15</v>
      </c>
      <c r="E24" s="13">
        <v>4</v>
      </c>
      <c r="F24" s="14">
        <f t="shared" si="0"/>
        <v>17.4117647058824</v>
      </c>
      <c r="G24" s="15">
        <f t="shared" si="1"/>
        <v>0.85</v>
      </c>
      <c r="H24" s="19">
        <v>14.8</v>
      </c>
      <c r="I24" s="16">
        <f t="shared" si="2"/>
        <v>59.2</v>
      </c>
      <c r="J24" s="14"/>
    </row>
    <row r="25" s="4" customFormat="1" customHeight="1" spans="1:10">
      <c r="A25" s="12">
        <v>20</v>
      </c>
      <c r="B25" s="14" t="s">
        <v>184</v>
      </c>
      <c r="C25" s="14"/>
      <c r="D25" s="14" t="s">
        <v>15</v>
      </c>
      <c r="E25" s="13">
        <v>5</v>
      </c>
      <c r="F25" s="14">
        <f t="shared" si="0"/>
        <v>25.8823529411765</v>
      </c>
      <c r="G25" s="15">
        <f t="shared" si="1"/>
        <v>0.85</v>
      </c>
      <c r="H25" s="19">
        <v>22</v>
      </c>
      <c r="I25" s="16">
        <f t="shared" si="2"/>
        <v>110</v>
      </c>
      <c r="J25" s="14"/>
    </row>
    <row r="26" s="4" customFormat="1" customHeight="1" spans="1:10">
      <c r="A26" s="12">
        <v>21</v>
      </c>
      <c r="B26" s="14" t="s">
        <v>20</v>
      </c>
      <c r="C26" s="14"/>
      <c r="D26" s="14" t="s">
        <v>15</v>
      </c>
      <c r="E26" s="13">
        <v>5</v>
      </c>
      <c r="F26" s="14">
        <f t="shared" si="0"/>
        <v>25.8823529411765</v>
      </c>
      <c r="G26" s="15">
        <f t="shared" si="1"/>
        <v>0.85</v>
      </c>
      <c r="H26" s="19">
        <v>22</v>
      </c>
      <c r="I26" s="16">
        <f t="shared" si="2"/>
        <v>110</v>
      </c>
      <c r="J26" s="27"/>
    </row>
    <row r="27" s="4" customFormat="1" customHeight="1" spans="1:10">
      <c r="A27" s="12">
        <v>22</v>
      </c>
      <c r="B27" s="14" t="s">
        <v>67</v>
      </c>
      <c r="C27" s="14"/>
      <c r="D27" s="14" t="s">
        <v>15</v>
      </c>
      <c r="E27" s="13">
        <v>6</v>
      </c>
      <c r="F27" s="14">
        <f t="shared" ref="F27:F33" si="3">H27/0.85</f>
        <v>21.7647058823529</v>
      </c>
      <c r="G27" s="15">
        <f t="shared" ref="G27:G33" si="4">H27/F27</f>
        <v>0.85</v>
      </c>
      <c r="H27" s="19">
        <v>18.5</v>
      </c>
      <c r="I27" s="16">
        <f t="shared" ref="I27:I33" si="5">E27*H27</f>
        <v>111</v>
      </c>
      <c r="J27" s="14"/>
    </row>
    <row r="28" s="4" customFormat="1" customHeight="1" spans="1:10">
      <c r="A28" s="12">
        <v>23</v>
      </c>
      <c r="B28" s="14" t="s">
        <v>185</v>
      </c>
      <c r="C28" s="14" t="s">
        <v>186</v>
      </c>
      <c r="D28" s="14" t="s">
        <v>187</v>
      </c>
      <c r="E28" s="13">
        <v>1</v>
      </c>
      <c r="F28" s="14">
        <f t="shared" si="3"/>
        <v>49.4117647058824</v>
      </c>
      <c r="G28" s="15">
        <f t="shared" si="4"/>
        <v>0.85</v>
      </c>
      <c r="H28" s="19">
        <v>42</v>
      </c>
      <c r="I28" s="16">
        <f t="shared" si="5"/>
        <v>42</v>
      </c>
      <c r="J28" s="14"/>
    </row>
    <row r="29" s="4" customFormat="1" customHeight="1" spans="1:10">
      <c r="A29" s="12">
        <v>24</v>
      </c>
      <c r="B29" s="14" t="s">
        <v>188</v>
      </c>
      <c r="C29" s="14" t="s">
        <v>189</v>
      </c>
      <c r="D29" s="14" t="s">
        <v>117</v>
      </c>
      <c r="E29" s="13">
        <v>5</v>
      </c>
      <c r="F29" s="14">
        <f t="shared" si="3"/>
        <v>13.8823529411765</v>
      </c>
      <c r="G29" s="15">
        <f t="shared" si="4"/>
        <v>0.85</v>
      </c>
      <c r="H29" s="19">
        <v>11.8</v>
      </c>
      <c r="I29" s="16">
        <f t="shared" si="5"/>
        <v>59</v>
      </c>
      <c r="J29" s="14"/>
    </row>
    <row r="30" s="4" customFormat="1" customHeight="1" spans="1:10">
      <c r="A30" s="12">
        <v>25</v>
      </c>
      <c r="B30" s="14" t="s">
        <v>86</v>
      </c>
      <c r="C30" s="14" t="s">
        <v>87</v>
      </c>
      <c r="D30" s="14" t="s">
        <v>47</v>
      </c>
      <c r="E30" s="13">
        <v>10</v>
      </c>
      <c r="F30" s="14">
        <f t="shared" si="3"/>
        <v>2.35294117647059</v>
      </c>
      <c r="G30" s="15">
        <f t="shared" si="4"/>
        <v>0.85</v>
      </c>
      <c r="H30" s="19">
        <v>2</v>
      </c>
      <c r="I30" s="16">
        <f t="shared" si="5"/>
        <v>20</v>
      </c>
      <c r="J30" s="14"/>
    </row>
    <row r="31" s="4" customFormat="1" customHeight="1" spans="1:10">
      <c r="A31" s="12">
        <v>26</v>
      </c>
      <c r="B31" s="14" t="s">
        <v>78</v>
      </c>
      <c r="C31" s="14" t="s">
        <v>22</v>
      </c>
      <c r="D31" s="14" t="s">
        <v>15</v>
      </c>
      <c r="E31" s="13">
        <v>5</v>
      </c>
      <c r="F31" s="14">
        <f t="shared" si="3"/>
        <v>8</v>
      </c>
      <c r="G31" s="15">
        <f t="shared" si="4"/>
        <v>0.85</v>
      </c>
      <c r="H31" s="19">
        <v>6.8</v>
      </c>
      <c r="I31" s="16">
        <f t="shared" si="5"/>
        <v>34</v>
      </c>
      <c r="J31" s="14"/>
    </row>
    <row r="32" s="4" customFormat="1" customHeight="1" spans="1:10">
      <c r="A32" s="12">
        <v>27</v>
      </c>
      <c r="B32" s="14" t="s">
        <v>137</v>
      </c>
      <c r="C32" s="14" t="s">
        <v>138</v>
      </c>
      <c r="D32" s="14" t="s">
        <v>39</v>
      </c>
      <c r="E32" s="13">
        <v>65</v>
      </c>
      <c r="F32" s="14">
        <f t="shared" si="3"/>
        <v>4.11764705882353</v>
      </c>
      <c r="G32" s="15">
        <f t="shared" si="4"/>
        <v>0.85</v>
      </c>
      <c r="H32" s="19">
        <v>3.5</v>
      </c>
      <c r="I32" s="16">
        <f t="shared" si="5"/>
        <v>227.5</v>
      </c>
      <c r="J32" s="14"/>
    </row>
    <row r="33" s="4" customFormat="1" customHeight="1" spans="1:10">
      <c r="A33" s="12" t="s">
        <v>23</v>
      </c>
      <c r="B33" s="20">
        <f>SUM(I6:I32)</f>
        <v>1772</v>
      </c>
      <c r="C33" s="21"/>
      <c r="D33" s="21"/>
      <c r="E33" s="22"/>
      <c r="F33" s="21"/>
      <c r="G33" s="21"/>
      <c r="H33" s="21"/>
      <c r="I33" s="21"/>
      <c r="J33" s="25"/>
    </row>
    <row r="34" s="4" customFormat="1" customHeight="1" spans="1:10">
      <c r="A34" s="12" t="s">
        <v>24</v>
      </c>
      <c r="B34" s="23">
        <f>B33</f>
        <v>1772</v>
      </c>
      <c r="C34" s="24"/>
      <c r="D34" s="24"/>
      <c r="E34" s="22"/>
      <c r="F34" s="24"/>
      <c r="G34" s="24"/>
      <c r="H34" s="24"/>
      <c r="I34" s="24"/>
      <c r="J34" s="26"/>
    </row>
    <row r="35" s="4" customFormat="1" customHeight="1" spans="1:5">
      <c r="A35" s="4" t="s">
        <v>25</v>
      </c>
      <c r="E35" s="5"/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9" workbookViewId="0">
      <selection activeCell="E25" sqref="E25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5" width="11.6666666666667" style="4" customWidth="1"/>
    <col min="16326" max="16326" width="11.6666666666667" style="4"/>
    <col min="16327" max="16332" width="11" style="4"/>
    <col min="16333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45219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 t="shared" ref="F6:F27" si="0">H6/0.85</f>
        <v>3.52941176470588</v>
      </c>
      <c r="G6" s="15">
        <f t="shared" ref="G6:G27" si="1">H6/F6</f>
        <v>0.85</v>
      </c>
      <c r="H6" s="16">
        <v>3</v>
      </c>
      <c r="I6" s="16">
        <f t="shared" ref="I6:I27" si="2">E6*H6</f>
        <v>21</v>
      </c>
      <c r="J6" s="12"/>
    </row>
    <row r="7" s="4" customFormat="1" ht="16" customHeight="1" spans="1:10">
      <c r="A7" s="12">
        <v>2</v>
      </c>
      <c r="B7" s="12" t="s">
        <v>110</v>
      </c>
      <c r="C7" s="12"/>
      <c r="D7" s="13" t="s">
        <v>15</v>
      </c>
      <c r="E7" s="13">
        <v>1</v>
      </c>
      <c r="F7" s="14">
        <f t="shared" si="0"/>
        <v>4.70588235294118</v>
      </c>
      <c r="G7" s="15">
        <f t="shared" si="1"/>
        <v>0.85</v>
      </c>
      <c r="H7" s="16">
        <v>4</v>
      </c>
      <c r="I7" s="16">
        <f t="shared" si="2"/>
        <v>4</v>
      </c>
      <c r="J7" s="12"/>
    </row>
    <row r="8" s="4" customFormat="1" ht="16" customHeight="1" spans="1:10">
      <c r="A8" s="12">
        <v>3</v>
      </c>
      <c r="B8" s="12" t="s">
        <v>57</v>
      </c>
      <c r="C8" s="12"/>
      <c r="D8" s="13" t="s">
        <v>15</v>
      </c>
      <c r="E8" s="13">
        <v>1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3.5</v>
      </c>
      <c r="J8" s="12"/>
    </row>
    <row r="9" s="4" customFormat="1" ht="16" customHeight="1" spans="1:10">
      <c r="A9" s="12">
        <v>4</v>
      </c>
      <c r="B9" s="17" t="s">
        <v>16</v>
      </c>
      <c r="C9" s="17"/>
      <c r="D9" s="13" t="s">
        <v>15</v>
      </c>
      <c r="E9" s="13">
        <v>4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14</v>
      </c>
      <c r="J9" s="12"/>
    </row>
    <row r="10" s="4" customFormat="1" ht="16" customHeight="1" spans="1:10">
      <c r="A10" s="12">
        <v>5</v>
      </c>
      <c r="B10" s="12" t="s">
        <v>190</v>
      </c>
      <c r="C10" s="12"/>
      <c r="D10" s="13" t="s">
        <v>15</v>
      </c>
      <c r="E10" s="13">
        <v>4</v>
      </c>
      <c r="F10" s="14">
        <f t="shared" si="0"/>
        <v>5.29411764705882</v>
      </c>
      <c r="G10" s="15">
        <f t="shared" si="1"/>
        <v>0.85</v>
      </c>
      <c r="H10" s="16">
        <v>4.5</v>
      </c>
      <c r="I10" s="16">
        <f t="shared" si="2"/>
        <v>18</v>
      </c>
      <c r="J10" s="12"/>
    </row>
    <row r="11" s="4" customFormat="1" ht="16" customHeight="1" spans="1:10">
      <c r="A11" s="12">
        <v>6</v>
      </c>
      <c r="B11" s="12" t="s">
        <v>126</v>
      </c>
      <c r="C11" s="12"/>
      <c r="D11" s="13" t="s">
        <v>15</v>
      </c>
      <c r="E11" s="13">
        <v>17</v>
      </c>
      <c r="F11" s="14">
        <f t="shared" si="0"/>
        <v>17.0588235294118</v>
      </c>
      <c r="G11" s="15">
        <f t="shared" si="1"/>
        <v>0.85</v>
      </c>
      <c r="H11" s="16">
        <v>14.5</v>
      </c>
      <c r="I11" s="16">
        <f t="shared" si="2"/>
        <v>246.5</v>
      </c>
      <c r="J11" s="12"/>
    </row>
    <row r="12" s="4" customFormat="1" ht="16" customHeight="1" spans="1:10">
      <c r="A12" s="12">
        <v>7</v>
      </c>
      <c r="B12" s="17" t="s">
        <v>50</v>
      </c>
      <c r="C12" s="17"/>
      <c r="D12" s="18" t="s">
        <v>15</v>
      </c>
      <c r="E12" s="18">
        <v>12</v>
      </c>
      <c r="F12" s="14">
        <f t="shared" si="0"/>
        <v>5.29411764705882</v>
      </c>
      <c r="G12" s="15">
        <f t="shared" si="1"/>
        <v>0.85</v>
      </c>
      <c r="H12" s="19">
        <v>4.5</v>
      </c>
      <c r="I12" s="16">
        <f t="shared" si="2"/>
        <v>54</v>
      </c>
      <c r="J12" s="17"/>
    </row>
    <row r="13" s="4" customFormat="1" ht="16" customHeight="1" spans="1:10">
      <c r="A13" s="12">
        <v>8</v>
      </c>
      <c r="B13" s="17" t="s">
        <v>26</v>
      </c>
      <c r="C13" s="17"/>
      <c r="D13" s="18" t="s">
        <v>15</v>
      </c>
      <c r="E13" s="18">
        <v>4</v>
      </c>
      <c r="F13" s="14">
        <f t="shared" si="0"/>
        <v>9.17647058823529</v>
      </c>
      <c r="G13" s="15">
        <f t="shared" si="1"/>
        <v>0.85</v>
      </c>
      <c r="H13" s="19">
        <v>7.8</v>
      </c>
      <c r="I13" s="16">
        <f t="shared" si="2"/>
        <v>31.2</v>
      </c>
      <c r="J13" s="17"/>
    </row>
    <row r="14" s="4" customFormat="1" ht="16" customHeight="1" spans="1:10">
      <c r="A14" s="12">
        <v>9</v>
      </c>
      <c r="B14" s="17" t="s">
        <v>27</v>
      </c>
      <c r="C14" s="17"/>
      <c r="D14" s="18" t="s">
        <v>28</v>
      </c>
      <c r="E14" s="18">
        <v>8</v>
      </c>
      <c r="F14" s="14">
        <f t="shared" si="0"/>
        <v>3.52941176470588</v>
      </c>
      <c r="G14" s="15">
        <f t="shared" si="1"/>
        <v>0.85</v>
      </c>
      <c r="H14" s="19">
        <v>3</v>
      </c>
      <c r="I14" s="16">
        <f t="shared" si="2"/>
        <v>24</v>
      </c>
      <c r="J14" s="17"/>
    </row>
    <row r="15" s="4" customFormat="1" ht="16" customHeight="1" spans="1:10">
      <c r="A15" s="12">
        <v>10</v>
      </c>
      <c r="B15" s="17" t="s">
        <v>29</v>
      </c>
      <c r="C15" s="17"/>
      <c r="D15" s="18" t="s">
        <v>15</v>
      </c>
      <c r="E15" s="18">
        <v>4</v>
      </c>
      <c r="F15" s="14">
        <f t="shared" si="0"/>
        <v>6.47058823529412</v>
      </c>
      <c r="G15" s="15">
        <f t="shared" si="1"/>
        <v>0.85</v>
      </c>
      <c r="H15" s="19">
        <v>5.5</v>
      </c>
      <c r="I15" s="16">
        <f t="shared" si="2"/>
        <v>22</v>
      </c>
      <c r="J15" s="17"/>
    </row>
    <row r="16" s="4" customFormat="1" ht="16" customHeight="1" spans="1:10">
      <c r="A16" s="12">
        <v>11</v>
      </c>
      <c r="B16" s="12" t="s">
        <v>18</v>
      </c>
      <c r="C16" s="12"/>
      <c r="D16" s="17" t="s">
        <v>15</v>
      </c>
      <c r="E16" s="13">
        <v>11</v>
      </c>
      <c r="F16" s="14">
        <f t="shared" si="0"/>
        <v>4.47058823529412</v>
      </c>
      <c r="G16" s="15">
        <f t="shared" si="1"/>
        <v>0.85</v>
      </c>
      <c r="H16" s="19">
        <v>3.8</v>
      </c>
      <c r="I16" s="16">
        <f t="shared" si="2"/>
        <v>41.8</v>
      </c>
      <c r="J16" s="17"/>
    </row>
    <row r="17" s="4" customFormat="1" ht="16" customHeight="1" spans="1:10">
      <c r="A17" s="12">
        <v>12</v>
      </c>
      <c r="B17" s="12" t="s">
        <v>191</v>
      </c>
      <c r="C17" s="12"/>
      <c r="D17" s="12" t="s">
        <v>15</v>
      </c>
      <c r="E17" s="13">
        <v>15</v>
      </c>
      <c r="F17" s="14">
        <f t="shared" si="0"/>
        <v>6.82352941176471</v>
      </c>
      <c r="G17" s="15">
        <f t="shared" si="1"/>
        <v>0.85</v>
      </c>
      <c r="H17" s="19">
        <v>5.8</v>
      </c>
      <c r="I17" s="16">
        <f t="shared" si="2"/>
        <v>87</v>
      </c>
      <c r="J17" s="17"/>
    </row>
    <row r="18" s="4" customFormat="1" ht="16" customHeight="1" spans="1:10">
      <c r="A18" s="12">
        <v>13</v>
      </c>
      <c r="B18" s="12" t="s">
        <v>30</v>
      </c>
      <c r="C18" s="12"/>
      <c r="D18" s="12" t="s">
        <v>15</v>
      </c>
      <c r="E18" s="13">
        <v>4</v>
      </c>
      <c r="F18" s="14">
        <f t="shared" si="0"/>
        <v>4.47058823529412</v>
      </c>
      <c r="G18" s="15">
        <f t="shared" si="1"/>
        <v>0.85</v>
      </c>
      <c r="H18" s="19">
        <v>3.8</v>
      </c>
      <c r="I18" s="16">
        <f t="shared" si="2"/>
        <v>15.2</v>
      </c>
      <c r="J18" s="12"/>
    </row>
    <row r="19" s="4" customFormat="1" ht="16" customHeight="1" spans="1:10">
      <c r="A19" s="12">
        <v>14</v>
      </c>
      <c r="B19" s="12" t="s">
        <v>80</v>
      </c>
      <c r="C19" s="12"/>
      <c r="D19" s="12" t="s">
        <v>15</v>
      </c>
      <c r="E19" s="13">
        <v>5</v>
      </c>
      <c r="F19" s="14">
        <f t="shared" si="0"/>
        <v>10.3529411764706</v>
      </c>
      <c r="G19" s="15">
        <f t="shared" si="1"/>
        <v>0.85</v>
      </c>
      <c r="H19" s="19">
        <v>8.8</v>
      </c>
      <c r="I19" s="16">
        <f t="shared" si="2"/>
        <v>44</v>
      </c>
      <c r="J19" s="12"/>
    </row>
    <row r="20" s="4" customFormat="1" ht="16" customHeight="1" spans="1:10">
      <c r="A20" s="12">
        <v>15</v>
      </c>
      <c r="B20" s="14" t="s">
        <v>112</v>
      </c>
      <c r="C20" s="14"/>
      <c r="D20" s="14" t="s">
        <v>15</v>
      </c>
      <c r="E20" s="13">
        <v>21.5</v>
      </c>
      <c r="F20" s="14">
        <f t="shared" si="0"/>
        <v>5.64705882352941</v>
      </c>
      <c r="G20" s="15">
        <f t="shared" si="1"/>
        <v>0.85</v>
      </c>
      <c r="H20" s="19">
        <v>4.8</v>
      </c>
      <c r="I20" s="16">
        <f t="shared" si="2"/>
        <v>103.2</v>
      </c>
      <c r="J20" s="12"/>
    </row>
    <row r="21" s="4" customFormat="1" ht="16" customHeight="1" spans="1:10">
      <c r="A21" s="12">
        <v>16</v>
      </c>
      <c r="B21" s="14" t="s">
        <v>32</v>
      </c>
      <c r="C21" s="14"/>
      <c r="D21" s="14" t="s">
        <v>15</v>
      </c>
      <c r="E21" s="13">
        <v>10.4</v>
      </c>
      <c r="F21" s="14">
        <f t="shared" si="0"/>
        <v>5.29411764705882</v>
      </c>
      <c r="G21" s="15">
        <f t="shared" si="1"/>
        <v>0.85</v>
      </c>
      <c r="H21" s="19">
        <v>4.5</v>
      </c>
      <c r="I21" s="16">
        <f t="shared" si="2"/>
        <v>46.8</v>
      </c>
      <c r="J21" s="12"/>
    </row>
    <row r="22" s="4" customFormat="1" ht="16" customHeight="1" spans="1:10">
      <c r="A22" s="12">
        <v>17</v>
      </c>
      <c r="B22" s="14" t="s">
        <v>67</v>
      </c>
      <c r="C22" s="14"/>
      <c r="D22" s="14" t="s">
        <v>15</v>
      </c>
      <c r="E22" s="13">
        <v>7</v>
      </c>
      <c r="F22" s="14">
        <f t="shared" si="0"/>
        <v>21.7647058823529</v>
      </c>
      <c r="G22" s="15">
        <f t="shared" si="1"/>
        <v>0.85</v>
      </c>
      <c r="H22" s="19">
        <v>18.5</v>
      </c>
      <c r="I22" s="16">
        <f t="shared" si="2"/>
        <v>129.5</v>
      </c>
      <c r="J22" s="12"/>
    </row>
    <row r="23" s="4" customFormat="1" customHeight="1" spans="1:10">
      <c r="A23" s="12">
        <v>18</v>
      </c>
      <c r="B23" s="14" t="s">
        <v>54</v>
      </c>
      <c r="C23" s="14"/>
      <c r="D23" s="14" t="s">
        <v>55</v>
      </c>
      <c r="E23" s="13">
        <v>3</v>
      </c>
      <c r="F23" s="14">
        <f t="shared" si="0"/>
        <v>34.1176470588235</v>
      </c>
      <c r="G23" s="15">
        <f t="shared" si="1"/>
        <v>0.85</v>
      </c>
      <c r="H23" s="19">
        <v>29</v>
      </c>
      <c r="I23" s="16">
        <f t="shared" si="2"/>
        <v>87</v>
      </c>
      <c r="J23" s="14"/>
    </row>
    <row r="24" s="4" customFormat="1" customHeight="1" spans="1:10">
      <c r="A24" s="12">
        <v>19</v>
      </c>
      <c r="B24" s="14" t="s">
        <v>105</v>
      </c>
      <c r="C24" s="14" t="s">
        <v>106</v>
      </c>
      <c r="D24" s="14" t="s">
        <v>47</v>
      </c>
      <c r="E24" s="13">
        <v>2</v>
      </c>
      <c r="F24" s="14">
        <f t="shared" si="0"/>
        <v>205.882352941176</v>
      </c>
      <c r="G24" s="15">
        <f t="shared" si="1"/>
        <v>0.85</v>
      </c>
      <c r="H24" s="19">
        <v>175</v>
      </c>
      <c r="I24" s="16">
        <f t="shared" si="2"/>
        <v>350</v>
      </c>
      <c r="J24" s="14"/>
    </row>
    <row r="25" s="4" customFormat="1" customHeight="1" spans="1:10">
      <c r="A25" s="12">
        <v>20</v>
      </c>
      <c r="B25" s="14" t="s">
        <v>77</v>
      </c>
      <c r="C25" s="14" t="s">
        <v>22</v>
      </c>
      <c r="D25" s="14" t="s">
        <v>15</v>
      </c>
      <c r="E25" s="13">
        <v>2</v>
      </c>
      <c r="F25" s="14">
        <f t="shared" si="0"/>
        <v>8</v>
      </c>
      <c r="G25" s="15">
        <f t="shared" si="1"/>
        <v>0.85</v>
      </c>
      <c r="H25" s="19">
        <v>6.8</v>
      </c>
      <c r="I25" s="16">
        <f t="shared" si="2"/>
        <v>13.6</v>
      </c>
      <c r="J25" s="14"/>
    </row>
    <row r="26" s="4" customFormat="1" customHeight="1" spans="1:10">
      <c r="A26" s="12">
        <v>21</v>
      </c>
      <c r="B26" s="14" t="s">
        <v>137</v>
      </c>
      <c r="C26" s="14" t="s">
        <v>138</v>
      </c>
      <c r="D26" s="14" t="s">
        <v>39</v>
      </c>
      <c r="E26" s="13">
        <v>65</v>
      </c>
      <c r="F26" s="14">
        <f t="shared" si="0"/>
        <v>4.11764705882353</v>
      </c>
      <c r="G26" s="15">
        <f t="shared" si="1"/>
        <v>0.85</v>
      </c>
      <c r="H26" s="19">
        <v>3.5</v>
      </c>
      <c r="I26" s="16">
        <f t="shared" si="2"/>
        <v>227.5</v>
      </c>
      <c r="J26" s="14"/>
    </row>
    <row r="27" s="4" customFormat="1" customHeight="1" spans="1:10">
      <c r="A27" s="12">
        <v>23</v>
      </c>
      <c r="B27" s="12"/>
      <c r="C27" s="12"/>
      <c r="D27" s="12"/>
      <c r="E27" s="13"/>
      <c r="F27" s="14"/>
      <c r="G27" s="15"/>
      <c r="H27" s="19"/>
      <c r="I27" s="16"/>
      <c r="J27" s="14"/>
    </row>
    <row r="28" s="4" customFormat="1" customHeight="1" spans="1:10">
      <c r="A28" s="12">
        <v>24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25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26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27</v>
      </c>
      <c r="B31" s="17"/>
      <c r="C31" s="17"/>
      <c r="D31" s="18"/>
      <c r="E31" s="18"/>
      <c r="F31" s="14"/>
      <c r="G31" s="15"/>
      <c r="H31" s="19"/>
      <c r="I31" s="16"/>
      <c r="J31" s="14"/>
    </row>
    <row r="32" s="4" customFormat="1" customHeight="1" spans="1:10">
      <c r="A32" s="12">
        <v>28</v>
      </c>
      <c r="B32" s="17"/>
      <c r="C32" s="17"/>
      <c r="D32" s="18"/>
      <c r="E32" s="18"/>
      <c r="F32" s="14"/>
      <c r="G32" s="15"/>
      <c r="H32" s="19"/>
      <c r="I32" s="16"/>
      <c r="J32" s="14"/>
    </row>
    <row r="33" s="4" customFormat="1" customHeight="1" spans="1:10">
      <c r="A33" s="12" t="s">
        <v>23</v>
      </c>
      <c r="B33" s="20">
        <f>SUM(I6:I32)</f>
        <v>1583.8</v>
      </c>
      <c r="C33" s="21"/>
      <c r="D33" s="21"/>
      <c r="E33" s="22"/>
      <c r="F33" s="21"/>
      <c r="G33" s="21"/>
      <c r="H33" s="21"/>
      <c r="I33" s="21"/>
      <c r="J33" s="25"/>
    </row>
    <row r="34" s="4" customFormat="1" customHeight="1" spans="1:10">
      <c r="A34" s="12" t="s">
        <v>24</v>
      </c>
      <c r="B34" s="23">
        <f>B33</f>
        <v>1583.8</v>
      </c>
      <c r="C34" s="24"/>
      <c r="D34" s="24"/>
      <c r="E34" s="22"/>
      <c r="F34" s="24"/>
      <c r="G34" s="24"/>
      <c r="H34" s="24"/>
      <c r="I34" s="24"/>
      <c r="J34" s="26"/>
    </row>
    <row r="35" s="4" customFormat="1" customHeight="1" spans="1:5">
      <c r="A35" s="4" t="s">
        <v>25</v>
      </c>
      <c r="E35" s="5"/>
    </row>
  </sheetData>
  <sortState ref="A17:I28">
    <sortCondition ref="A17"/>
  </sortState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workbookViewId="0">
      <selection activeCell="B14" sqref="B14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5" width="11.6666666666667" style="4" customWidth="1"/>
    <col min="16326" max="16326" width="11.6666666666667" style="4"/>
    <col min="16327" max="16332" width="11" style="4"/>
    <col min="16333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45220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41</v>
      </c>
      <c r="C6" s="12"/>
      <c r="D6" s="13" t="s">
        <v>15</v>
      </c>
      <c r="E6" s="13">
        <v>6</v>
      </c>
      <c r="F6" s="14">
        <f t="shared" ref="F6:F29" si="0">H6/0.85</f>
        <v>2.35294117647059</v>
      </c>
      <c r="G6" s="15">
        <f t="shared" ref="G6:G29" si="1">H6/F6</f>
        <v>0.85</v>
      </c>
      <c r="H6" s="16">
        <v>2</v>
      </c>
      <c r="I6" s="16">
        <f t="shared" ref="I6:I29" si="2">E6*H6</f>
        <v>12</v>
      </c>
      <c r="J6" s="12"/>
    </row>
    <row r="7" s="4" customFormat="1" ht="16" customHeight="1" spans="1:10">
      <c r="A7" s="12">
        <v>2</v>
      </c>
      <c r="B7" s="12" t="s">
        <v>51</v>
      </c>
      <c r="C7" s="12"/>
      <c r="D7" s="13" t="s">
        <v>15</v>
      </c>
      <c r="E7" s="13">
        <v>8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28</v>
      </c>
      <c r="J7" s="12"/>
    </row>
    <row r="8" s="4" customFormat="1" ht="16" customHeight="1" spans="1:10">
      <c r="A8" s="12">
        <v>3</v>
      </c>
      <c r="B8" s="12" t="s">
        <v>26</v>
      </c>
      <c r="C8" s="12"/>
      <c r="D8" s="13" t="s">
        <v>15</v>
      </c>
      <c r="E8" s="13">
        <v>3</v>
      </c>
      <c r="F8" s="14">
        <f t="shared" si="0"/>
        <v>9.17647058823529</v>
      </c>
      <c r="G8" s="15">
        <f t="shared" si="1"/>
        <v>0.85</v>
      </c>
      <c r="H8" s="16">
        <v>7.8</v>
      </c>
      <c r="I8" s="16">
        <f t="shared" si="2"/>
        <v>23.4</v>
      </c>
      <c r="J8" s="12"/>
    </row>
    <row r="9" s="4" customFormat="1" ht="16" customHeight="1" spans="1:10">
      <c r="A9" s="12">
        <v>4</v>
      </c>
      <c r="B9" s="17" t="s">
        <v>29</v>
      </c>
      <c r="C9" s="17"/>
      <c r="D9" s="13" t="s">
        <v>15</v>
      </c>
      <c r="E9" s="13">
        <v>3</v>
      </c>
      <c r="F9" s="14">
        <f t="shared" si="0"/>
        <v>6.47058823529412</v>
      </c>
      <c r="G9" s="15">
        <f t="shared" si="1"/>
        <v>0.85</v>
      </c>
      <c r="H9" s="16">
        <v>5.5</v>
      </c>
      <c r="I9" s="16">
        <f t="shared" si="2"/>
        <v>16.5</v>
      </c>
      <c r="J9" s="12"/>
    </row>
    <row r="10" s="4" customFormat="1" ht="16" customHeight="1" spans="1:10">
      <c r="A10" s="12">
        <v>5</v>
      </c>
      <c r="B10" s="12" t="s">
        <v>62</v>
      </c>
      <c r="C10" s="12"/>
      <c r="D10" s="13" t="s">
        <v>15</v>
      </c>
      <c r="E10" s="13">
        <v>8.8</v>
      </c>
      <c r="F10" s="14">
        <f t="shared" si="0"/>
        <v>6.47058823529412</v>
      </c>
      <c r="G10" s="15">
        <f t="shared" si="1"/>
        <v>0.85</v>
      </c>
      <c r="H10" s="16">
        <v>5.5</v>
      </c>
      <c r="I10" s="16">
        <f t="shared" si="2"/>
        <v>48.4</v>
      </c>
      <c r="J10" s="12"/>
    </row>
    <row r="11" s="4" customFormat="1" ht="16" customHeight="1" spans="1:10">
      <c r="A11" s="12">
        <v>6</v>
      </c>
      <c r="B11" s="12" t="s">
        <v>100</v>
      </c>
      <c r="C11" s="12"/>
      <c r="D11" s="13" t="s">
        <v>15</v>
      </c>
      <c r="E11" s="13">
        <v>13</v>
      </c>
      <c r="F11" s="14">
        <f t="shared" si="0"/>
        <v>6.82352941176471</v>
      </c>
      <c r="G11" s="15">
        <f t="shared" si="1"/>
        <v>0.85</v>
      </c>
      <c r="H11" s="16">
        <v>5.8</v>
      </c>
      <c r="I11" s="16">
        <f t="shared" si="2"/>
        <v>75.4</v>
      </c>
      <c r="J11" s="12"/>
    </row>
    <row r="12" s="4" customFormat="1" ht="16" customHeight="1" spans="1:10">
      <c r="A12" s="12">
        <v>7</v>
      </c>
      <c r="B12" s="17" t="s">
        <v>52</v>
      </c>
      <c r="C12" s="17"/>
      <c r="D12" s="18" t="s">
        <v>15</v>
      </c>
      <c r="E12" s="18">
        <v>10.9</v>
      </c>
      <c r="F12" s="14">
        <f t="shared" si="0"/>
        <v>2.35294117647059</v>
      </c>
      <c r="G12" s="15">
        <f t="shared" si="1"/>
        <v>0.85</v>
      </c>
      <c r="H12" s="19">
        <v>2</v>
      </c>
      <c r="I12" s="16">
        <f t="shared" si="2"/>
        <v>21.8</v>
      </c>
      <c r="J12" s="17"/>
    </row>
    <row r="13" s="4" customFormat="1" ht="16" customHeight="1" spans="1:10">
      <c r="A13" s="12">
        <v>8</v>
      </c>
      <c r="B13" s="17" t="s">
        <v>101</v>
      </c>
      <c r="C13" s="17"/>
      <c r="D13" s="18" t="s">
        <v>15</v>
      </c>
      <c r="E13" s="18">
        <v>5</v>
      </c>
      <c r="F13" s="14">
        <f t="shared" si="0"/>
        <v>6.47058823529412</v>
      </c>
      <c r="G13" s="15">
        <f t="shared" si="1"/>
        <v>0.85</v>
      </c>
      <c r="H13" s="19">
        <v>5.5</v>
      </c>
      <c r="I13" s="16">
        <f t="shared" si="2"/>
        <v>27.5</v>
      </c>
      <c r="J13" s="17"/>
    </row>
    <row r="14" s="4" customFormat="1" ht="16" customHeight="1" spans="1:10">
      <c r="A14" s="12">
        <v>9</v>
      </c>
      <c r="B14" s="17" t="s">
        <v>113</v>
      </c>
      <c r="C14" s="17"/>
      <c r="D14" s="18" t="s">
        <v>15</v>
      </c>
      <c r="E14" s="18">
        <v>10.6</v>
      </c>
      <c r="F14" s="14">
        <f t="shared" si="0"/>
        <v>6.47058823529412</v>
      </c>
      <c r="G14" s="15">
        <f t="shared" si="1"/>
        <v>0.85</v>
      </c>
      <c r="H14" s="19">
        <v>5.5</v>
      </c>
      <c r="I14" s="16">
        <f t="shared" si="2"/>
        <v>58.3</v>
      </c>
      <c r="J14" s="17"/>
    </row>
    <row r="15" s="4" customFormat="1" ht="16" customHeight="1" spans="1:10">
      <c r="A15" s="12">
        <v>10</v>
      </c>
      <c r="B15" s="17" t="s">
        <v>184</v>
      </c>
      <c r="C15" s="17"/>
      <c r="D15" s="18" t="s">
        <v>15</v>
      </c>
      <c r="E15" s="18">
        <v>5</v>
      </c>
      <c r="F15" s="14">
        <f t="shared" si="0"/>
        <v>25.8823529411765</v>
      </c>
      <c r="G15" s="15">
        <f t="shared" si="1"/>
        <v>0.85</v>
      </c>
      <c r="H15" s="19">
        <v>22</v>
      </c>
      <c r="I15" s="16">
        <f t="shared" si="2"/>
        <v>110</v>
      </c>
      <c r="J15" s="17"/>
    </row>
    <row r="16" s="4" customFormat="1" ht="16" customHeight="1" spans="1:10">
      <c r="A16" s="12">
        <v>11</v>
      </c>
      <c r="B16" s="17" t="s">
        <v>20</v>
      </c>
      <c r="C16" s="17"/>
      <c r="D16" s="18" t="s">
        <v>15</v>
      </c>
      <c r="E16" s="18">
        <v>5</v>
      </c>
      <c r="F16" s="14">
        <f t="shared" si="0"/>
        <v>25.8823529411765</v>
      </c>
      <c r="G16" s="15">
        <f t="shared" si="1"/>
        <v>0.85</v>
      </c>
      <c r="H16" s="19">
        <v>22</v>
      </c>
      <c r="I16" s="16">
        <f t="shared" si="2"/>
        <v>110</v>
      </c>
      <c r="J16" s="17"/>
    </row>
    <row r="17" s="4" customFormat="1" ht="16" customHeight="1" spans="1:10">
      <c r="A17" s="12">
        <v>12</v>
      </c>
      <c r="B17" s="17" t="s">
        <v>67</v>
      </c>
      <c r="C17" s="17"/>
      <c r="D17" s="18" t="s">
        <v>15</v>
      </c>
      <c r="E17" s="18">
        <v>3</v>
      </c>
      <c r="F17" s="14">
        <f t="shared" si="0"/>
        <v>21.7647058823529</v>
      </c>
      <c r="G17" s="15">
        <f t="shared" si="1"/>
        <v>0.85</v>
      </c>
      <c r="H17" s="19">
        <v>18.5</v>
      </c>
      <c r="I17" s="16">
        <f t="shared" si="2"/>
        <v>55.5</v>
      </c>
      <c r="J17" s="17"/>
    </row>
    <row r="18" s="4" customFormat="1" ht="16" customHeight="1" spans="1:10">
      <c r="A18" s="12">
        <v>14</v>
      </c>
      <c r="B18" s="17" t="s">
        <v>56</v>
      </c>
      <c r="C18" s="17"/>
      <c r="D18" s="17" t="s">
        <v>39</v>
      </c>
      <c r="E18" s="18">
        <v>50</v>
      </c>
      <c r="F18" s="14">
        <f>H18/0.85</f>
        <v>4.11764705882353</v>
      </c>
      <c r="G18" s="15">
        <f>H18/F18</f>
        <v>0.85</v>
      </c>
      <c r="H18" s="19">
        <v>3.5</v>
      </c>
      <c r="I18" s="16">
        <f>E18*H18</f>
        <v>175</v>
      </c>
      <c r="J18" s="17"/>
    </row>
    <row r="19" s="4" customFormat="1" ht="16" customHeight="1" spans="1:10">
      <c r="A19" s="12">
        <v>15</v>
      </c>
      <c r="B19" s="12"/>
      <c r="C19" s="12"/>
      <c r="D19" s="12"/>
      <c r="E19" s="13"/>
      <c r="F19" s="14"/>
      <c r="G19" s="15"/>
      <c r="H19" s="19"/>
      <c r="I19" s="16"/>
      <c r="J19" s="12"/>
    </row>
    <row r="20" s="4" customFormat="1" ht="16" customHeight="1" spans="1:10">
      <c r="A20" s="12">
        <v>16</v>
      </c>
      <c r="B20" s="12"/>
      <c r="C20" s="12"/>
      <c r="D20" s="12"/>
      <c r="E20" s="13"/>
      <c r="F20" s="14"/>
      <c r="G20" s="15"/>
      <c r="H20" s="19"/>
      <c r="I20" s="16"/>
      <c r="J20" s="12"/>
    </row>
    <row r="21" s="4" customFormat="1" ht="16" customHeight="1" spans="1:10">
      <c r="A21" s="12">
        <v>17</v>
      </c>
      <c r="B21" s="12"/>
      <c r="C21" s="12"/>
      <c r="D21" s="12"/>
      <c r="E21" s="13"/>
      <c r="F21" s="14"/>
      <c r="G21" s="15"/>
      <c r="H21" s="19"/>
      <c r="I21" s="16"/>
      <c r="J21" s="12"/>
    </row>
    <row r="22" s="4" customFormat="1" ht="16" customHeight="1" spans="1:10">
      <c r="A22" s="12">
        <v>18</v>
      </c>
      <c r="B22" s="12"/>
      <c r="C22" s="12"/>
      <c r="D22" s="12"/>
      <c r="E22" s="13"/>
      <c r="F22" s="14"/>
      <c r="G22" s="15"/>
      <c r="H22" s="19"/>
      <c r="I22" s="16"/>
      <c r="J22" s="12"/>
    </row>
    <row r="23" s="4" customFormat="1" customHeight="1" spans="1:10">
      <c r="A23" s="12">
        <v>19</v>
      </c>
      <c r="B23" s="14"/>
      <c r="C23" s="14"/>
      <c r="D23" s="14"/>
      <c r="E23" s="13"/>
      <c r="F23" s="14"/>
      <c r="G23" s="15"/>
      <c r="H23" s="19"/>
      <c r="I23" s="16"/>
      <c r="J23" s="14"/>
    </row>
    <row r="24" s="4" customFormat="1" customHeight="1" spans="1:10">
      <c r="A24" s="12">
        <v>20</v>
      </c>
      <c r="B24" s="14"/>
      <c r="C24" s="14"/>
      <c r="D24" s="14"/>
      <c r="E24" s="13"/>
      <c r="F24" s="14"/>
      <c r="G24" s="15"/>
      <c r="H24" s="19"/>
      <c r="I24" s="16"/>
      <c r="J24" s="14"/>
    </row>
    <row r="25" s="4" customFormat="1" customHeight="1" spans="1:10">
      <c r="A25" s="12">
        <v>21</v>
      </c>
      <c r="B25" s="14"/>
      <c r="C25" s="14"/>
      <c r="D25" s="14"/>
      <c r="E25" s="13"/>
      <c r="F25" s="14"/>
      <c r="G25" s="15"/>
      <c r="H25" s="19"/>
      <c r="I25" s="16"/>
      <c r="J25" s="14"/>
    </row>
    <row r="26" s="4" customFormat="1" customHeight="1" spans="1:10">
      <c r="A26" s="12">
        <v>22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23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24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25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26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27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28</v>
      </c>
      <c r="B32" s="14"/>
      <c r="C32" s="14"/>
      <c r="D32" s="14"/>
      <c r="E32" s="13"/>
      <c r="F32" s="14"/>
      <c r="G32" s="14"/>
      <c r="H32" s="14"/>
      <c r="I32" s="14"/>
      <c r="J32" s="14"/>
    </row>
    <row r="33" s="4" customFormat="1" customHeight="1" spans="1:10">
      <c r="A33" s="12" t="s">
        <v>23</v>
      </c>
      <c r="B33" s="20">
        <f>SUM(I6:I32)</f>
        <v>761.8</v>
      </c>
      <c r="C33" s="21"/>
      <c r="D33" s="21"/>
      <c r="E33" s="22"/>
      <c r="F33" s="21"/>
      <c r="G33" s="21"/>
      <c r="H33" s="21"/>
      <c r="I33" s="21"/>
      <c r="J33" s="25"/>
    </row>
    <row r="34" s="4" customFormat="1" customHeight="1" spans="1:10">
      <c r="A34" s="12" t="s">
        <v>24</v>
      </c>
      <c r="B34" s="23">
        <f>B33</f>
        <v>761.8</v>
      </c>
      <c r="C34" s="24"/>
      <c r="D34" s="24"/>
      <c r="E34" s="22"/>
      <c r="F34" s="24"/>
      <c r="G34" s="24"/>
      <c r="H34" s="24"/>
      <c r="I34" s="24"/>
      <c r="J34" s="26"/>
    </row>
    <row r="35" s="4" customFormat="1" customHeight="1" spans="1:5">
      <c r="A35" s="4" t="s">
        <v>25</v>
      </c>
      <c r="E35" s="5"/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3"/>
  <sheetViews>
    <sheetView workbookViewId="0">
      <selection activeCell="B8" sqref="B8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13" width="11.6666666666667" style="4" customWidth="1"/>
    <col min="16314" max="16314" width="11.6666666666667" style="4"/>
    <col min="16315" max="16320" width="11" style="4"/>
    <col min="16321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45221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19</v>
      </c>
      <c r="C6" s="12"/>
      <c r="D6" s="13" t="s">
        <v>15</v>
      </c>
      <c r="E6" s="13">
        <v>10.9</v>
      </c>
      <c r="F6" s="14">
        <f>H6/0.85</f>
        <v>2.11764705882353</v>
      </c>
      <c r="G6" s="15">
        <f>H6/F6</f>
        <v>0.85</v>
      </c>
      <c r="H6" s="16">
        <v>1.8</v>
      </c>
      <c r="I6" s="16">
        <f>E6*H6</f>
        <v>19.62</v>
      </c>
      <c r="J6" s="12"/>
    </row>
    <row r="7" s="4" customFormat="1" ht="16" customHeight="1" spans="1:10">
      <c r="A7" s="12">
        <v>2</v>
      </c>
      <c r="B7" s="12" t="s">
        <v>36</v>
      </c>
      <c r="C7" s="12"/>
      <c r="D7" s="13" t="s">
        <v>15</v>
      </c>
      <c r="E7" s="13">
        <v>2</v>
      </c>
      <c r="F7" s="14">
        <f>H7/0.85</f>
        <v>19.7647058823529</v>
      </c>
      <c r="G7" s="15">
        <f>H7/F7</f>
        <v>0.85</v>
      </c>
      <c r="H7" s="16">
        <v>16.8</v>
      </c>
      <c r="I7" s="16">
        <f>E7*H7</f>
        <v>33.6</v>
      </c>
      <c r="J7" s="12"/>
    </row>
    <row r="8" s="4" customFormat="1" ht="16" customHeight="1" spans="1:10">
      <c r="A8" s="12">
        <v>3</v>
      </c>
      <c r="B8" s="12" t="s">
        <v>136</v>
      </c>
      <c r="C8" s="12"/>
      <c r="D8" s="13" t="s">
        <v>55</v>
      </c>
      <c r="E8" s="13">
        <v>5</v>
      </c>
      <c r="F8" s="14">
        <f>H8/0.85</f>
        <v>30.5882352941176</v>
      </c>
      <c r="G8" s="15">
        <f>H8/F8</f>
        <v>0.85</v>
      </c>
      <c r="H8" s="16">
        <v>26</v>
      </c>
      <c r="I8" s="16">
        <f>E8*H8</f>
        <v>130</v>
      </c>
      <c r="J8" s="12"/>
    </row>
    <row r="9" s="4" customFormat="1" ht="16" customHeight="1" spans="1:10">
      <c r="A9" s="12">
        <v>4</v>
      </c>
      <c r="B9" s="17"/>
      <c r="C9" s="17"/>
      <c r="D9" s="13"/>
      <c r="E9" s="13"/>
      <c r="F9" s="14"/>
      <c r="G9" s="15"/>
      <c r="H9" s="16"/>
      <c r="I9" s="16"/>
      <c r="J9" s="12"/>
    </row>
    <row r="10" s="4" customFormat="1" ht="16" customHeight="1" spans="1:10">
      <c r="A10" s="12">
        <v>5</v>
      </c>
      <c r="B10" s="12"/>
      <c r="C10" s="12"/>
      <c r="D10" s="13"/>
      <c r="E10" s="13"/>
      <c r="F10" s="14"/>
      <c r="G10" s="15"/>
      <c r="H10" s="16"/>
      <c r="I10" s="16"/>
      <c r="J10" s="12"/>
    </row>
    <row r="11" s="4" customFormat="1" ht="16" customHeight="1" spans="1:10">
      <c r="A11" s="12">
        <v>6</v>
      </c>
      <c r="B11" s="12"/>
      <c r="C11" s="12"/>
      <c r="D11" s="13"/>
      <c r="E11" s="13"/>
      <c r="F11" s="14"/>
      <c r="G11" s="15"/>
      <c r="H11" s="16"/>
      <c r="I11" s="16"/>
      <c r="J11" s="12"/>
    </row>
    <row r="12" s="4" customFormat="1" ht="16" customHeight="1" spans="1:10">
      <c r="A12" s="12">
        <v>7</v>
      </c>
      <c r="B12" s="17"/>
      <c r="C12" s="17"/>
      <c r="D12" s="18"/>
      <c r="E12" s="18"/>
      <c r="F12" s="14"/>
      <c r="G12" s="15"/>
      <c r="H12" s="19"/>
      <c r="I12" s="16"/>
      <c r="J12" s="17"/>
    </row>
    <row r="13" s="4" customFormat="1" ht="16" customHeight="1" spans="1:10">
      <c r="A13" s="12">
        <v>8</v>
      </c>
      <c r="B13" s="17"/>
      <c r="C13" s="17"/>
      <c r="D13" s="18"/>
      <c r="E13" s="18"/>
      <c r="F13" s="14"/>
      <c r="G13" s="15"/>
      <c r="H13" s="19"/>
      <c r="I13" s="16"/>
      <c r="J13" s="17"/>
    </row>
    <row r="14" s="4" customFormat="1" ht="16" customHeight="1" spans="1:10">
      <c r="A14" s="12">
        <v>9</v>
      </c>
      <c r="B14" s="17"/>
      <c r="C14" s="17"/>
      <c r="D14" s="18"/>
      <c r="E14" s="18"/>
      <c r="F14" s="14"/>
      <c r="G14" s="15"/>
      <c r="H14" s="19"/>
      <c r="I14" s="16"/>
      <c r="J14" s="17"/>
    </row>
    <row r="15" s="4" customFormat="1" ht="16" customHeight="1" spans="1:10">
      <c r="A15" s="12">
        <v>10</v>
      </c>
      <c r="B15" s="17"/>
      <c r="C15" s="17"/>
      <c r="D15" s="18"/>
      <c r="E15" s="18"/>
      <c r="F15" s="14"/>
      <c r="G15" s="15"/>
      <c r="H15" s="19"/>
      <c r="I15" s="16"/>
      <c r="J15" s="17"/>
    </row>
    <row r="16" s="4" customFormat="1" ht="16" customHeight="1" spans="1:10">
      <c r="A16" s="12">
        <v>11</v>
      </c>
      <c r="B16" s="17"/>
      <c r="C16" s="17"/>
      <c r="D16" s="18"/>
      <c r="E16" s="18"/>
      <c r="F16" s="14"/>
      <c r="G16" s="15"/>
      <c r="H16" s="19"/>
      <c r="I16" s="16"/>
      <c r="J16" s="17"/>
    </row>
    <row r="17" s="4" customFormat="1" ht="16" customHeight="1" spans="1:10">
      <c r="A17" s="12">
        <v>12</v>
      </c>
      <c r="B17" s="17"/>
      <c r="C17" s="17"/>
      <c r="D17" s="18"/>
      <c r="E17" s="18"/>
      <c r="F17" s="14"/>
      <c r="G17" s="15"/>
      <c r="H17" s="19"/>
      <c r="I17" s="16"/>
      <c r="J17" s="17"/>
    </row>
    <row r="18" s="4" customFormat="1" ht="16" customHeight="1" spans="1:10">
      <c r="A18" s="12">
        <v>15</v>
      </c>
      <c r="B18" s="12"/>
      <c r="C18" s="12"/>
      <c r="D18" s="17"/>
      <c r="E18" s="13"/>
      <c r="F18" s="14"/>
      <c r="G18" s="15"/>
      <c r="H18" s="19"/>
      <c r="I18" s="16"/>
      <c r="J18" s="12"/>
    </row>
    <row r="19" s="4" customFormat="1" ht="16" customHeight="1" spans="1:10">
      <c r="A19" s="12">
        <v>17</v>
      </c>
      <c r="B19" s="12"/>
      <c r="C19" s="12"/>
      <c r="D19" s="12"/>
      <c r="E19" s="13"/>
      <c r="F19" s="14"/>
      <c r="G19" s="15"/>
      <c r="H19" s="19"/>
      <c r="I19" s="16"/>
      <c r="J19" s="12"/>
    </row>
    <row r="20" s="4" customFormat="1" ht="16" customHeight="1" spans="1:10">
      <c r="A20" s="12">
        <v>18</v>
      </c>
      <c r="B20" s="12"/>
      <c r="C20" s="12"/>
      <c r="D20" s="12"/>
      <c r="E20" s="13"/>
      <c r="F20" s="14"/>
      <c r="G20" s="15"/>
      <c r="H20" s="19"/>
      <c r="I20" s="16"/>
      <c r="J20" s="12"/>
    </row>
    <row r="21" s="4" customFormat="1" ht="16" customHeight="1" spans="1:10">
      <c r="A21" s="12">
        <v>19</v>
      </c>
      <c r="B21" s="12"/>
      <c r="C21" s="12"/>
      <c r="D21" s="12"/>
      <c r="E21" s="13"/>
      <c r="F21" s="14"/>
      <c r="G21" s="15"/>
      <c r="H21" s="19"/>
      <c r="I21" s="16"/>
      <c r="J21" s="12"/>
    </row>
    <row r="22" s="4" customFormat="1" customHeight="1" spans="1:10">
      <c r="A22" s="12">
        <v>20</v>
      </c>
      <c r="B22" s="14"/>
      <c r="C22" s="14"/>
      <c r="D22" s="14"/>
      <c r="E22" s="13"/>
      <c r="F22" s="14"/>
      <c r="G22" s="15"/>
      <c r="H22" s="19"/>
      <c r="I22" s="16"/>
      <c r="J22" s="14"/>
    </row>
    <row r="23" s="4" customFormat="1" customHeight="1" spans="1:10">
      <c r="A23" s="12">
        <v>21</v>
      </c>
      <c r="B23" s="14"/>
      <c r="C23" s="14"/>
      <c r="D23" s="14"/>
      <c r="E23" s="13"/>
      <c r="F23" s="14"/>
      <c r="G23" s="15"/>
      <c r="H23" s="19"/>
      <c r="I23" s="16"/>
      <c r="J23" s="14"/>
    </row>
    <row r="24" s="4" customFormat="1" customHeight="1" spans="1:10">
      <c r="A24" s="12">
        <v>22</v>
      </c>
      <c r="B24" s="14"/>
      <c r="C24" s="14"/>
      <c r="D24" s="14"/>
      <c r="E24" s="13"/>
      <c r="F24" s="14"/>
      <c r="G24" s="15"/>
      <c r="H24" s="19"/>
      <c r="I24" s="16"/>
      <c r="J24" s="14"/>
    </row>
    <row r="25" s="4" customFormat="1" customHeight="1" spans="1:10">
      <c r="A25" s="12">
        <v>23</v>
      </c>
      <c r="B25" s="14"/>
      <c r="C25" s="14"/>
      <c r="D25" s="14"/>
      <c r="E25" s="13"/>
      <c r="F25" s="14"/>
      <c r="G25" s="15"/>
      <c r="H25" s="19"/>
      <c r="I25" s="16"/>
      <c r="J25" s="14"/>
    </row>
    <row r="26" s="4" customFormat="1" customHeight="1" spans="1:10">
      <c r="A26" s="12">
        <v>24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25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26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27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28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 t="s">
        <v>23</v>
      </c>
      <c r="B31" s="20">
        <f>SUM(I6:I30)</f>
        <v>183.22</v>
      </c>
      <c r="C31" s="21"/>
      <c r="D31" s="21"/>
      <c r="E31" s="22"/>
      <c r="F31" s="21"/>
      <c r="G31" s="21"/>
      <c r="H31" s="21"/>
      <c r="I31" s="21"/>
      <c r="J31" s="25"/>
    </row>
    <row r="32" s="4" customFormat="1" customHeight="1" spans="1:10">
      <c r="A32" s="12" t="s">
        <v>24</v>
      </c>
      <c r="B32" s="23">
        <f>B31</f>
        <v>183.22</v>
      </c>
      <c r="C32" s="24"/>
      <c r="D32" s="24"/>
      <c r="E32" s="22"/>
      <c r="F32" s="24"/>
      <c r="G32" s="24"/>
      <c r="H32" s="24"/>
      <c r="I32" s="24"/>
      <c r="J32" s="26"/>
    </row>
    <row r="33" s="4" customFormat="1" customHeight="1" spans="1:5">
      <c r="A33" s="4" t="s">
        <v>25</v>
      </c>
      <c r="E33" s="5"/>
    </row>
  </sheetData>
  <mergeCells count="4">
    <mergeCell ref="A1:J1"/>
    <mergeCell ref="B31:J31"/>
    <mergeCell ref="B32:J32"/>
    <mergeCell ref="A33:J33"/>
  </mergeCells>
  <conditionalFormatting sqref="B6:B30">
    <cfRule type="duplicateValues" dxfId="0" priority="2"/>
  </conditionalFormatting>
  <conditionalFormatting sqref="B1:B30 B33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7"/>
  <sheetViews>
    <sheetView topLeftCell="A21" workbookViewId="0">
      <selection activeCell="B32" sqref="B32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5" width="11.6666666666667" style="4" customWidth="1"/>
    <col min="16326" max="16326" width="11.6666666666667" style="4"/>
    <col min="16327" max="16332" width="11" style="4"/>
    <col min="16333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45222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 t="shared" ref="F6:F18" si="0">H6/0.85</f>
        <v>3.52941176470588</v>
      </c>
      <c r="G6" s="15">
        <f t="shared" ref="G6:G18" si="1">H6/F6</f>
        <v>0.85</v>
      </c>
      <c r="H6" s="16">
        <v>3</v>
      </c>
      <c r="I6" s="16">
        <f t="shared" ref="I6:I18" si="2">E6*H6</f>
        <v>21</v>
      </c>
      <c r="J6" s="12"/>
    </row>
    <row r="7" s="4" customFormat="1" ht="16" customHeight="1" spans="1:10">
      <c r="A7" s="12">
        <v>2</v>
      </c>
      <c r="B7" s="12" t="s">
        <v>57</v>
      </c>
      <c r="C7" s="12"/>
      <c r="D7" s="13" t="s">
        <v>15</v>
      </c>
      <c r="E7" s="13">
        <v>2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7</v>
      </c>
      <c r="J7" s="12"/>
    </row>
    <row r="8" s="4" customFormat="1" ht="16" customHeight="1" spans="1:10">
      <c r="A8" s="12">
        <v>3</v>
      </c>
      <c r="B8" s="12" t="s">
        <v>16</v>
      </c>
      <c r="C8" s="12"/>
      <c r="D8" s="13" t="s">
        <v>15</v>
      </c>
      <c r="E8" s="13">
        <v>5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17.5</v>
      </c>
      <c r="J8" s="12"/>
    </row>
    <row r="9" s="4" customFormat="1" ht="16" customHeight="1" spans="1:10">
      <c r="A9" s="12">
        <v>4</v>
      </c>
      <c r="B9" s="17" t="s">
        <v>49</v>
      </c>
      <c r="C9" s="17"/>
      <c r="D9" s="13" t="s">
        <v>15</v>
      </c>
      <c r="E9" s="13">
        <v>4</v>
      </c>
      <c r="F9" s="14">
        <f t="shared" si="0"/>
        <v>9.17647058823529</v>
      </c>
      <c r="G9" s="15">
        <f t="shared" si="1"/>
        <v>0.85</v>
      </c>
      <c r="H9" s="16">
        <v>7.8</v>
      </c>
      <c r="I9" s="16">
        <f t="shared" si="2"/>
        <v>31.2</v>
      </c>
      <c r="J9" s="12"/>
    </row>
    <row r="10" s="4" customFormat="1" ht="16" customHeight="1" spans="1:10">
      <c r="A10" s="12">
        <v>5</v>
      </c>
      <c r="B10" s="12" t="s">
        <v>125</v>
      </c>
      <c r="C10" s="12"/>
      <c r="D10" s="13" t="s">
        <v>15</v>
      </c>
      <c r="E10" s="13">
        <v>8</v>
      </c>
      <c r="F10" s="14">
        <f t="shared" si="0"/>
        <v>10</v>
      </c>
      <c r="G10" s="15">
        <f t="shared" si="1"/>
        <v>0.85</v>
      </c>
      <c r="H10" s="16">
        <v>8.5</v>
      </c>
      <c r="I10" s="16">
        <f t="shared" si="2"/>
        <v>68</v>
      </c>
      <c r="J10" s="12"/>
    </row>
    <row r="11" s="4" customFormat="1" ht="16" customHeight="1" spans="1:10">
      <c r="A11" s="12">
        <v>6</v>
      </c>
      <c r="B11" s="17" t="s">
        <v>51</v>
      </c>
      <c r="C11" s="17"/>
      <c r="D11" s="18" t="s">
        <v>15</v>
      </c>
      <c r="E11" s="18">
        <v>8</v>
      </c>
      <c r="F11" s="14">
        <f t="shared" si="0"/>
        <v>4.11764705882353</v>
      </c>
      <c r="G11" s="15">
        <f t="shared" si="1"/>
        <v>0.85</v>
      </c>
      <c r="H11" s="19">
        <v>3.5</v>
      </c>
      <c r="I11" s="16">
        <f t="shared" si="2"/>
        <v>28</v>
      </c>
      <c r="J11" s="17"/>
    </row>
    <row r="12" s="4" customFormat="1" ht="16" customHeight="1" spans="1:10">
      <c r="A12" s="12">
        <v>7</v>
      </c>
      <c r="B12" s="17" t="s">
        <v>26</v>
      </c>
      <c r="C12" s="17"/>
      <c r="D12" s="18" t="s">
        <v>15</v>
      </c>
      <c r="E12" s="18">
        <v>4</v>
      </c>
      <c r="F12" s="14">
        <f t="shared" si="0"/>
        <v>9.17647058823529</v>
      </c>
      <c r="G12" s="15">
        <f t="shared" si="1"/>
        <v>0.85</v>
      </c>
      <c r="H12" s="19">
        <v>7.8</v>
      </c>
      <c r="I12" s="16">
        <f t="shared" si="2"/>
        <v>31.2</v>
      </c>
      <c r="J12" s="17"/>
    </row>
    <row r="13" s="4" customFormat="1" ht="16" customHeight="1" spans="1:10">
      <c r="A13" s="12">
        <v>8</v>
      </c>
      <c r="B13" s="17" t="s">
        <v>27</v>
      </c>
      <c r="C13" s="17"/>
      <c r="D13" s="18" t="s">
        <v>28</v>
      </c>
      <c r="E13" s="18">
        <v>8</v>
      </c>
      <c r="F13" s="14">
        <f t="shared" si="0"/>
        <v>3.52941176470588</v>
      </c>
      <c r="G13" s="15">
        <f t="shared" si="1"/>
        <v>0.85</v>
      </c>
      <c r="H13" s="19">
        <v>3</v>
      </c>
      <c r="I13" s="16">
        <f t="shared" si="2"/>
        <v>24</v>
      </c>
      <c r="J13" s="17"/>
    </row>
    <row r="14" s="4" customFormat="1" ht="16" customHeight="1" spans="1:10">
      <c r="A14" s="12">
        <v>9</v>
      </c>
      <c r="B14" s="17" t="s">
        <v>29</v>
      </c>
      <c r="C14" s="17"/>
      <c r="D14" s="18" t="s">
        <v>15</v>
      </c>
      <c r="E14" s="18">
        <v>4</v>
      </c>
      <c r="F14" s="14">
        <f t="shared" si="0"/>
        <v>6.47058823529412</v>
      </c>
      <c r="G14" s="15">
        <f t="shared" si="1"/>
        <v>0.85</v>
      </c>
      <c r="H14" s="19">
        <v>5.5</v>
      </c>
      <c r="I14" s="16">
        <f t="shared" si="2"/>
        <v>22</v>
      </c>
      <c r="J14" s="17"/>
    </row>
    <row r="15" s="4" customFormat="1" ht="16" customHeight="1" spans="1:10">
      <c r="A15" s="12">
        <v>10</v>
      </c>
      <c r="B15" s="17" t="s">
        <v>18</v>
      </c>
      <c r="C15" s="17"/>
      <c r="D15" s="18" t="s">
        <v>15</v>
      </c>
      <c r="E15" s="18">
        <v>5</v>
      </c>
      <c r="F15" s="14">
        <f t="shared" si="0"/>
        <v>4.47058823529412</v>
      </c>
      <c r="G15" s="15">
        <f t="shared" si="1"/>
        <v>0.85</v>
      </c>
      <c r="H15" s="19">
        <v>3.8</v>
      </c>
      <c r="I15" s="16">
        <f t="shared" si="2"/>
        <v>19</v>
      </c>
      <c r="J15" s="17"/>
    </row>
    <row r="16" s="4" customFormat="1" ht="16" customHeight="1" spans="1:10">
      <c r="A16" s="12">
        <v>11</v>
      </c>
      <c r="B16" s="12" t="s">
        <v>192</v>
      </c>
      <c r="C16" s="12"/>
      <c r="D16" s="17" t="s">
        <v>15</v>
      </c>
      <c r="E16" s="13">
        <v>19</v>
      </c>
      <c r="F16" s="14">
        <f t="shared" si="0"/>
        <v>9.17647058823529</v>
      </c>
      <c r="G16" s="15">
        <f t="shared" si="1"/>
        <v>0.85</v>
      </c>
      <c r="H16" s="19">
        <v>7.8</v>
      </c>
      <c r="I16" s="16">
        <f t="shared" si="2"/>
        <v>148.2</v>
      </c>
      <c r="J16" s="12"/>
    </row>
    <row r="17" s="4" customFormat="1" ht="16" customHeight="1" spans="1:10">
      <c r="A17" s="12">
        <v>12</v>
      </c>
      <c r="B17" s="12" t="s">
        <v>42</v>
      </c>
      <c r="C17" s="12"/>
      <c r="D17" s="12" t="s">
        <v>15</v>
      </c>
      <c r="E17" s="13">
        <v>5</v>
      </c>
      <c r="F17" s="14">
        <f t="shared" si="0"/>
        <v>8</v>
      </c>
      <c r="G17" s="15">
        <f t="shared" si="1"/>
        <v>0.85</v>
      </c>
      <c r="H17" s="19">
        <v>6.8</v>
      </c>
      <c r="I17" s="16">
        <f t="shared" si="2"/>
        <v>34</v>
      </c>
      <c r="J17" s="12"/>
    </row>
    <row r="18" s="4" customFormat="1" ht="16" customHeight="1" spans="1:10">
      <c r="A18" s="12">
        <v>13</v>
      </c>
      <c r="B18" s="12" t="s">
        <v>182</v>
      </c>
      <c r="C18" s="12"/>
      <c r="D18" s="12" t="s">
        <v>15</v>
      </c>
      <c r="E18" s="13">
        <v>18</v>
      </c>
      <c r="F18" s="14">
        <f t="shared" si="0"/>
        <v>4.11764705882353</v>
      </c>
      <c r="G18" s="15">
        <f t="shared" si="1"/>
        <v>0.85</v>
      </c>
      <c r="H18" s="19">
        <v>3.5</v>
      </c>
      <c r="I18" s="16">
        <f t="shared" si="2"/>
        <v>63</v>
      </c>
      <c r="J18" s="12"/>
    </row>
    <row r="19" s="4" customFormat="1" ht="16" customHeight="1" spans="1:10">
      <c r="A19" s="12">
        <v>14</v>
      </c>
      <c r="B19" s="12" t="s">
        <v>32</v>
      </c>
      <c r="C19" s="12"/>
      <c r="D19" s="12" t="s">
        <v>15</v>
      </c>
      <c r="E19" s="13">
        <v>11</v>
      </c>
      <c r="F19" s="14">
        <f t="shared" ref="F19:F36" si="3">H19/0.85</f>
        <v>5.29411764705882</v>
      </c>
      <c r="G19" s="15">
        <f t="shared" ref="G19:G36" si="4">H19/F19</f>
        <v>0.85</v>
      </c>
      <c r="H19" s="19">
        <v>4.5</v>
      </c>
      <c r="I19" s="16">
        <f t="shared" ref="I19:I36" si="5">E19*H19</f>
        <v>49.5</v>
      </c>
      <c r="J19" s="12"/>
    </row>
    <row r="20" s="4" customFormat="1" customHeight="1" spans="1:10">
      <c r="A20" s="12">
        <v>15</v>
      </c>
      <c r="B20" s="14" t="s">
        <v>193</v>
      </c>
      <c r="C20" s="14"/>
      <c r="D20" s="14" t="s">
        <v>15</v>
      </c>
      <c r="E20" s="13">
        <v>12</v>
      </c>
      <c r="F20" s="14">
        <f t="shared" si="3"/>
        <v>8</v>
      </c>
      <c r="G20" s="15">
        <f t="shared" si="4"/>
        <v>0.85</v>
      </c>
      <c r="H20" s="19">
        <v>6.8</v>
      </c>
      <c r="I20" s="16">
        <f t="shared" si="5"/>
        <v>81.6</v>
      </c>
      <c r="J20" s="14"/>
    </row>
    <row r="21" s="4" customFormat="1" customHeight="1" spans="1:10">
      <c r="A21" s="12">
        <v>16</v>
      </c>
      <c r="B21" s="14" t="s">
        <v>34</v>
      </c>
      <c r="C21" s="14"/>
      <c r="D21" s="14" t="s">
        <v>15</v>
      </c>
      <c r="E21" s="13">
        <v>8</v>
      </c>
      <c r="F21" s="14">
        <f t="shared" si="3"/>
        <v>4.11764705882353</v>
      </c>
      <c r="G21" s="15">
        <f t="shared" si="4"/>
        <v>0.85</v>
      </c>
      <c r="H21" s="19">
        <v>3.5</v>
      </c>
      <c r="I21" s="16">
        <f t="shared" si="5"/>
        <v>28</v>
      </c>
      <c r="J21" s="14"/>
    </row>
    <row r="22" s="4" customFormat="1" customHeight="1" spans="1:10">
      <c r="A22" s="12">
        <v>17</v>
      </c>
      <c r="B22" s="14" t="s">
        <v>64</v>
      </c>
      <c r="C22" s="14" t="s">
        <v>65</v>
      </c>
      <c r="D22" s="14" t="s">
        <v>66</v>
      </c>
      <c r="E22" s="13">
        <v>1</v>
      </c>
      <c r="F22" s="14">
        <f t="shared" si="3"/>
        <v>352.941176470588</v>
      </c>
      <c r="G22" s="15">
        <f t="shared" si="4"/>
        <v>0.85</v>
      </c>
      <c r="H22" s="19">
        <v>300</v>
      </c>
      <c r="I22" s="16">
        <f t="shared" si="5"/>
        <v>300</v>
      </c>
      <c r="J22" s="14"/>
    </row>
    <row r="23" s="4" customFormat="1" customHeight="1" spans="1:10">
      <c r="A23" s="12">
        <v>18</v>
      </c>
      <c r="B23" s="14" t="s">
        <v>36</v>
      </c>
      <c r="C23" s="14"/>
      <c r="D23" s="14" t="s">
        <v>15</v>
      </c>
      <c r="E23" s="13">
        <v>3</v>
      </c>
      <c r="F23" s="14">
        <f t="shared" si="3"/>
        <v>19.7647058823529</v>
      </c>
      <c r="G23" s="15">
        <f t="shared" si="4"/>
        <v>0.85</v>
      </c>
      <c r="H23" s="19">
        <v>16.8</v>
      </c>
      <c r="I23" s="16">
        <f t="shared" si="5"/>
        <v>50.4</v>
      </c>
      <c r="J23" s="14"/>
    </row>
    <row r="24" s="4" customFormat="1" customHeight="1" spans="1:10">
      <c r="A24" s="12">
        <v>19</v>
      </c>
      <c r="B24" s="14" t="s">
        <v>20</v>
      </c>
      <c r="C24" s="14"/>
      <c r="D24" s="14" t="s">
        <v>15</v>
      </c>
      <c r="E24" s="13">
        <v>5</v>
      </c>
      <c r="F24" s="14">
        <f t="shared" si="3"/>
        <v>25.8823529411765</v>
      </c>
      <c r="G24" s="15">
        <f t="shared" si="4"/>
        <v>0.85</v>
      </c>
      <c r="H24" s="19">
        <v>22</v>
      </c>
      <c r="I24" s="16">
        <f t="shared" si="5"/>
        <v>110</v>
      </c>
      <c r="J24" s="14"/>
    </row>
    <row r="25" s="4" customFormat="1" customHeight="1" spans="1:10">
      <c r="A25" s="12">
        <v>20</v>
      </c>
      <c r="B25" s="14" t="s">
        <v>67</v>
      </c>
      <c r="C25" s="14"/>
      <c r="D25" s="14" t="s">
        <v>15</v>
      </c>
      <c r="E25" s="13">
        <v>5</v>
      </c>
      <c r="F25" s="14">
        <f t="shared" si="3"/>
        <v>21.7647058823529</v>
      </c>
      <c r="G25" s="15">
        <f t="shared" si="4"/>
        <v>0.85</v>
      </c>
      <c r="H25" s="19">
        <v>18.5</v>
      </c>
      <c r="I25" s="16">
        <f t="shared" si="5"/>
        <v>92.5</v>
      </c>
      <c r="J25" s="14"/>
    </row>
    <row r="26" s="4" customFormat="1" customHeight="1" spans="1:10">
      <c r="A26" s="12">
        <v>21</v>
      </c>
      <c r="B26" s="14" t="s">
        <v>194</v>
      </c>
      <c r="C26" s="14"/>
      <c r="D26" s="14" t="s">
        <v>15</v>
      </c>
      <c r="E26" s="13">
        <v>6</v>
      </c>
      <c r="F26" s="14">
        <f t="shared" si="3"/>
        <v>5.88235294117647</v>
      </c>
      <c r="G26" s="15">
        <f t="shared" si="4"/>
        <v>0.85</v>
      </c>
      <c r="H26" s="19">
        <v>5</v>
      </c>
      <c r="I26" s="16">
        <f t="shared" si="5"/>
        <v>30</v>
      </c>
      <c r="J26" s="14"/>
    </row>
    <row r="27" s="4" customFormat="1" customHeight="1" spans="1:10">
      <c r="A27" s="12">
        <v>22</v>
      </c>
      <c r="B27" s="14" t="s">
        <v>128</v>
      </c>
      <c r="C27" s="14"/>
      <c r="D27" s="14" t="s">
        <v>15</v>
      </c>
      <c r="E27" s="13">
        <v>4</v>
      </c>
      <c r="F27" s="14">
        <f t="shared" si="3"/>
        <v>16.2352941176471</v>
      </c>
      <c r="G27" s="15">
        <f t="shared" si="4"/>
        <v>0.85</v>
      </c>
      <c r="H27" s="19">
        <v>13.8</v>
      </c>
      <c r="I27" s="16">
        <f t="shared" si="5"/>
        <v>55.2</v>
      </c>
      <c r="J27" s="14"/>
    </row>
    <row r="28" s="4" customFormat="1" customHeight="1" spans="1:10">
      <c r="A28" s="12">
        <v>23</v>
      </c>
      <c r="B28" s="14" t="s">
        <v>195</v>
      </c>
      <c r="C28" s="14"/>
      <c r="D28" s="14" t="s">
        <v>15</v>
      </c>
      <c r="E28" s="13">
        <v>6</v>
      </c>
      <c r="F28" s="14">
        <f t="shared" si="3"/>
        <v>45.8823529411765</v>
      </c>
      <c r="G28" s="15">
        <f t="shared" si="4"/>
        <v>0.85</v>
      </c>
      <c r="H28" s="19">
        <v>39</v>
      </c>
      <c r="I28" s="16">
        <f t="shared" si="5"/>
        <v>234</v>
      </c>
      <c r="J28" s="14"/>
    </row>
    <row r="29" s="4" customFormat="1" customHeight="1" spans="1:10">
      <c r="A29" s="12">
        <v>24</v>
      </c>
      <c r="B29" s="14" t="s">
        <v>129</v>
      </c>
      <c r="C29" s="14" t="s">
        <v>94</v>
      </c>
      <c r="D29" s="14" t="s">
        <v>47</v>
      </c>
      <c r="E29" s="13">
        <v>6</v>
      </c>
      <c r="F29" s="14">
        <f t="shared" si="3"/>
        <v>10.5882352941176</v>
      </c>
      <c r="G29" s="15">
        <f t="shared" si="4"/>
        <v>0.85</v>
      </c>
      <c r="H29" s="19">
        <v>9</v>
      </c>
      <c r="I29" s="16">
        <f t="shared" si="5"/>
        <v>54</v>
      </c>
      <c r="J29" s="14"/>
    </row>
    <row r="30" s="4" customFormat="1" customHeight="1" spans="1:10">
      <c r="A30" s="12">
        <v>25</v>
      </c>
      <c r="B30" s="14" t="s">
        <v>133</v>
      </c>
      <c r="C30" s="14" t="s">
        <v>134</v>
      </c>
      <c r="D30" s="14" t="s">
        <v>117</v>
      </c>
      <c r="E30" s="13">
        <v>6</v>
      </c>
      <c r="F30" s="14">
        <f t="shared" si="3"/>
        <v>10</v>
      </c>
      <c r="G30" s="15">
        <f t="shared" si="4"/>
        <v>0.85</v>
      </c>
      <c r="H30" s="19">
        <v>8.5</v>
      </c>
      <c r="I30" s="16">
        <f t="shared" si="5"/>
        <v>51</v>
      </c>
      <c r="J30" s="14"/>
    </row>
    <row r="31" s="4" customFormat="1" customHeight="1" spans="1:10">
      <c r="A31" s="12">
        <v>26</v>
      </c>
      <c r="B31" s="14" t="s">
        <v>196</v>
      </c>
      <c r="C31" s="14" t="s">
        <v>22</v>
      </c>
      <c r="D31" s="14" t="s">
        <v>15</v>
      </c>
      <c r="E31" s="13">
        <v>8</v>
      </c>
      <c r="F31" s="14">
        <f t="shared" si="3"/>
        <v>5.29411764705882</v>
      </c>
      <c r="G31" s="15">
        <f t="shared" si="4"/>
        <v>0.85</v>
      </c>
      <c r="H31" s="19">
        <v>4.5</v>
      </c>
      <c r="I31" s="16">
        <f t="shared" si="5"/>
        <v>36</v>
      </c>
      <c r="J31" s="14"/>
    </row>
    <row r="32" s="4" customFormat="1" customHeight="1" spans="1:10">
      <c r="A32" s="12">
        <v>28</v>
      </c>
      <c r="B32" s="14" t="s">
        <v>197</v>
      </c>
      <c r="C32" s="14" t="s">
        <v>198</v>
      </c>
      <c r="D32" s="14" t="s">
        <v>66</v>
      </c>
      <c r="E32" s="13">
        <v>1</v>
      </c>
      <c r="F32" s="14">
        <f>H32/0.85</f>
        <v>117.647058823529</v>
      </c>
      <c r="G32" s="15">
        <f>H32/F32</f>
        <v>0.85</v>
      </c>
      <c r="H32" s="19">
        <v>100</v>
      </c>
      <c r="I32" s="16">
        <f>E32*H32</f>
        <v>100</v>
      </c>
      <c r="J32" s="14"/>
    </row>
    <row r="33" s="4" customFormat="1" customHeight="1" spans="1:10">
      <c r="A33" s="12">
        <v>29</v>
      </c>
      <c r="B33" s="14" t="s">
        <v>199</v>
      </c>
      <c r="C33" s="14" t="s">
        <v>200</v>
      </c>
      <c r="D33" s="14" t="s">
        <v>66</v>
      </c>
      <c r="E33" s="13">
        <v>1</v>
      </c>
      <c r="F33" s="14">
        <f>H33/0.85</f>
        <v>64.7058823529412</v>
      </c>
      <c r="G33" s="15">
        <f>H33/F33</f>
        <v>0.85</v>
      </c>
      <c r="H33" s="19">
        <v>55</v>
      </c>
      <c r="I33" s="16">
        <f>E33*H33</f>
        <v>55</v>
      </c>
      <c r="J33" s="14"/>
    </row>
    <row r="34" s="4" customFormat="1" customHeight="1" spans="1:10">
      <c r="A34" s="12">
        <v>30</v>
      </c>
      <c r="B34" s="14" t="s">
        <v>137</v>
      </c>
      <c r="C34" s="14" t="s">
        <v>138</v>
      </c>
      <c r="D34" s="14" t="s">
        <v>39</v>
      </c>
      <c r="E34" s="13">
        <v>70</v>
      </c>
      <c r="F34" s="14">
        <f>H34/0.85</f>
        <v>4.11764705882353</v>
      </c>
      <c r="G34" s="15">
        <f>H34/F34</f>
        <v>0.85</v>
      </c>
      <c r="H34" s="19">
        <v>3.5</v>
      </c>
      <c r="I34" s="16">
        <f>E34*H34</f>
        <v>245</v>
      </c>
      <c r="J34" s="14"/>
    </row>
    <row r="35" s="4" customFormat="1" customHeight="1" spans="1:10">
      <c r="A35" s="12" t="s">
        <v>23</v>
      </c>
      <c r="B35" s="20">
        <f>SUM(I6:I34)</f>
        <v>2086.3</v>
      </c>
      <c r="C35" s="21"/>
      <c r="D35" s="21"/>
      <c r="E35" s="22"/>
      <c r="F35" s="21"/>
      <c r="G35" s="21"/>
      <c r="H35" s="21"/>
      <c r="I35" s="21"/>
      <c r="J35" s="25"/>
    </row>
    <row r="36" s="4" customFormat="1" customHeight="1" spans="1:10">
      <c r="A36" s="12" t="s">
        <v>24</v>
      </c>
      <c r="B36" s="23">
        <f>B35</f>
        <v>2086.3</v>
      </c>
      <c r="C36" s="24"/>
      <c r="D36" s="24"/>
      <c r="E36" s="22"/>
      <c r="F36" s="24"/>
      <c r="G36" s="24"/>
      <c r="H36" s="24"/>
      <c r="I36" s="24"/>
      <c r="J36" s="26"/>
    </row>
    <row r="37" s="4" customFormat="1" customHeight="1" spans="1:5">
      <c r="A37" s="4" t="s">
        <v>25</v>
      </c>
      <c r="E37" s="5"/>
    </row>
  </sheetData>
  <mergeCells count="4">
    <mergeCell ref="A1:J1"/>
    <mergeCell ref="B35:J35"/>
    <mergeCell ref="B36:J36"/>
    <mergeCell ref="A37:J37"/>
  </mergeCells>
  <conditionalFormatting sqref="B6:B34">
    <cfRule type="duplicateValues" dxfId="0" priority="2"/>
  </conditionalFormatting>
  <conditionalFormatting sqref="B1:B34 B37:B1048576">
    <cfRule type="duplicateValues" dxfId="0" priority="1"/>
  </conditionalFormatting>
  <conditionalFormatting sqref="B6:C15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8" workbookViewId="0">
      <selection activeCell="E31" sqref="E31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6.1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5" width="11.6666666666667" style="4" customWidth="1"/>
    <col min="16326" max="16326" width="11.6666666666667" style="4"/>
    <col min="16327" max="16332" width="11" style="4"/>
    <col min="16333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45223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 t="shared" ref="F6:F31" si="0">H6/0.85</f>
        <v>3.52941176470588</v>
      </c>
      <c r="G6" s="15">
        <f t="shared" ref="G6:G31" si="1">H6/F6</f>
        <v>0.85</v>
      </c>
      <c r="H6" s="16">
        <v>3</v>
      </c>
      <c r="I6" s="16">
        <f t="shared" ref="I6:I31" si="2">E6*H6</f>
        <v>21</v>
      </c>
      <c r="J6" s="12"/>
    </row>
    <row r="7" s="4" customFormat="1" ht="16" customHeight="1" spans="1:10">
      <c r="A7" s="12">
        <v>2</v>
      </c>
      <c r="B7" s="12" t="s">
        <v>40</v>
      </c>
      <c r="C7" s="12" t="s">
        <v>22</v>
      </c>
      <c r="D7" s="13" t="s">
        <v>15</v>
      </c>
      <c r="E7" s="13">
        <v>10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35</v>
      </c>
      <c r="J7" s="12"/>
    </row>
    <row r="8" s="4" customFormat="1" ht="16" customHeight="1" spans="1:10">
      <c r="A8" s="12">
        <v>3</v>
      </c>
      <c r="B8" s="12" t="s">
        <v>16</v>
      </c>
      <c r="C8" s="12"/>
      <c r="D8" s="13" t="s">
        <v>15</v>
      </c>
      <c r="E8" s="13">
        <v>5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17.5</v>
      </c>
      <c r="J8" s="12"/>
    </row>
    <row r="9" s="4" customFormat="1" ht="16" customHeight="1" spans="1:10">
      <c r="A9" s="12">
        <v>4</v>
      </c>
      <c r="B9" s="17" t="s">
        <v>60</v>
      </c>
      <c r="C9" s="17"/>
      <c r="D9" s="13" t="s">
        <v>15</v>
      </c>
      <c r="E9" s="13">
        <v>1</v>
      </c>
      <c r="F9" s="14">
        <f t="shared" si="0"/>
        <v>8</v>
      </c>
      <c r="G9" s="15">
        <f t="shared" si="1"/>
        <v>0.85</v>
      </c>
      <c r="H9" s="16">
        <v>6.8</v>
      </c>
      <c r="I9" s="16">
        <f t="shared" si="2"/>
        <v>6.8</v>
      </c>
      <c r="J9" s="12"/>
    </row>
    <row r="10" s="4" customFormat="1" ht="16" customHeight="1" spans="1:10">
      <c r="A10" s="12">
        <v>5</v>
      </c>
      <c r="B10" s="12" t="s">
        <v>190</v>
      </c>
      <c r="C10" s="12"/>
      <c r="D10" s="13" t="s">
        <v>15</v>
      </c>
      <c r="E10" s="13">
        <v>15</v>
      </c>
      <c r="F10" s="14">
        <f t="shared" si="0"/>
        <v>5.29411764705882</v>
      </c>
      <c r="G10" s="15">
        <f t="shared" si="1"/>
        <v>0.85</v>
      </c>
      <c r="H10" s="16">
        <v>4.5</v>
      </c>
      <c r="I10" s="16">
        <f t="shared" si="2"/>
        <v>67.5</v>
      </c>
      <c r="J10" s="12"/>
    </row>
    <row r="11" s="4" customFormat="1" ht="16" customHeight="1" spans="1:10">
      <c r="A11" s="12">
        <v>6</v>
      </c>
      <c r="B11" s="12" t="s">
        <v>17</v>
      </c>
      <c r="C11" s="12"/>
      <c r="D11" s="13" t="s">
        <v>15</v>
      </c>
      <c r="E11" s="13">
        <v>10</v>
      </c>
      <c r="F11" s="14">
        <f t="shared" si="0"/>
        <v>4.11764705882353</v>
      </c>
      <c r="G11" s="15">
        <f t="shared" si="1"/>
        <v>0.85</v>
      </c>
      <c r="H11" s="16">
        <v>3.5</v>
      </c>
      <c r="I11" s="16">
        <f t="shared" si="2"/>
        <v>35</v>
      </c>
      <c r="J11" s="12"/>
    </row>
    <row r="12" s="4" customFormat="1" ht="16" customHeight="1" spans="1:10">
      <c r="A12" s="12">
        <v>7</v>
      </c>
      <c r="B12" s="17" t="s">
        <v>26</v>
      </c>
      <c r="C12" s="17"/>
      <c r="D12" s="18" t="s">
        <v>15</v>
      </c>
      <c r="E12" s="18">
        <v>3</v>
      </c>
      <c r="F12" s="14">
        <f t="shared" si="0"/>
        <v>9.17647058823529</v>
      </c>
      <c r="G12" s="15">
        <f t="shared" si="1"/>
        <v>0.85</v>
      </c>
      <c r="H12" s="19">
        <v>7.8</v>
      </c>
      <c r="I12" s="16">
        <f t="shared" si="2"/>
        <v>23.4</v>
      </c>
      <c r="J12" s="17"/>
    </row>
    <row r="13" s="4" customFormat="1" ht="16" customHeight="1" spans="1:10">
      <c r="A13" s="12">
        <v>8</v>
      </c>
      <c r="B13" s="17" t="s">
        <v>141</v>
      </c>
      <c r="C13" s="17"/>
      <c r="D13" s="18" t="s">
        <v>15</v>
      </c>
      <c r="E13" s="18">
        <v>15</v>
      </c>
      <c r="F13" s="14">
        <f t="shared" si="0"/>
        <v>2.94117647058824</v>
      </c>
      <c r="G13" s="15">
        <f t="shared" si="1"/>
        <v>0.85</v>
      </c>
      <c r="H13" s="19">
        <v>2.5</v>
      </c>
      <c r="I13" s="16">
        <f t="shared" si="2"/>
        <v>37.5</v>
      </c>
      <c r="J13" s="17"/>
    </row>
    <row r="14" s="4" customFormat="1" ht="16" customHeight="1" spans="1:10">
      <c r="A14" s="12">
        <v>9</v>
      </c>
      <c r="B14" s="17" t="s">
        <v>29</v>
      </c>
      <c r="C14" s="17"/>
      <c r="D14" s="18" t="s">
        <v>15</v>
      </c>
      <c r="E14" s="18">
        <v>10</v>
      </c>
      <c r="F14" s="14">
        <f t="shared" si="0"/>
        <v>6.47058823529412</v>
      </c>
      <c r="G14" s="15">
        <f t="shared" si="1"/>
        <v>0.85</v>
      </c>
      <c r="H14" s="19">
        <v>5.5</v>
      </c>
      <c r="I14" s="16">
        <f t="shared" si="2"/>
        <v>55</v>
      </c>
      <c r="J14" s="17"/>
    </row>
    <row r="15" s="4" customFormat="1" ht="16" customHeight="1" spans="1:10">
      <c r="A15" s="12">
        <v>10</v>
      </c>
      <c r="B15" s="17" t="s">
        <v>89</v>
      </c>
      <c r="C15" s="17"/>
      <c r="D15" s="18" t="s">
        <v>15</v>
      </c>
      <c r="E15" s="18">
        <v>9.4</v>
      </c>
      <c r="F15" s="14">
        <f t="shared" si="0"/>
        <v>2.94117647058824</v>
      </c>
      <c r="G15" s="15">
        <f t="shared" si="1"/>
        <v>0.85</v>
      </c>
      <c r="H15" s="19">
        <v>2.5</v>
      </c>
      <c r="I15" s="16">
        <f t="shared" si="2"/>
        <v>23.5</v>
      </c>
      <c r="J15" s="17"/>
    </row>
    <row r="16" s="4" customFormat="1" ht="16" customHeight="1" spans="1:10">
      <c r="A16" s="12">
        <v>11</v>
      </c>
      <c r="B16" s="17" t="s">
        <v>142</v>
      </c>
      <c r="C16" s="17"/>
      <c r="D16" s="18" t="s">
        <v>15</v>
      </c>
      <c r="E16" s="18">
        <v>10</v>
      </c>
      <c r="F16" s="14">
        <f t="shared" si="0"/>
        <v>5.64705882352941</v>
      </c>
      <c r="G16" s="15">
        <f t="shared" si="1"/>
        <v>0.85</v>
      </c>
      <c r="H16" s="19">
        <v>4.8</v>
      </c>
      <c r="I16" s="16">
        <f t="shared" si="2"/>
        <v>48</v>
      </c>
      <c r="J16" s="17"/>
    </row>
    <row r="17" s="4" customFormat="1" ht="16" customHeight="1" spans="1:10">
      <c r="A17" s="12">
        <v>12</v>
      </c>
      <c r="B17" s="12" t="s">
        <v>80</v>
      </c>
      <c r="C17" s="12"/>
      <c r="D17" s="12" t="s">
        <v>15</v>
      </c>
      <c r="E17" s="13">
        <v>2</v>
      </c>
      <c r="F17" s="14">
        <f t="shared" si="0"/>
        <v>10.3529411764706</v>
      </c>
      <c r="G17" s="15">
        <f t="shared" si="1"/>
        <v>0.85</v>
      </c>
      <c r="H17" s="19">
        <v>8.8</v>
      </c>
      <c r="I17" s="16">
        <f t="shared" si="2"/>
        <v>17.6</v>
      </c>
      <c r="J17" s="17"/>
    </row>
    <row r="18" s="4" customFormat="1" ht="16" customHeight="1" spans="1:10">
      <c r="A18" s="12">
        <v>13</v>
      </c>
      <c r="B18" s="12" t="s">
        <v>91</v>
      </c>
      <c r="C18" s="12"/>
      <c r="D18" s="12" t="s">
        <v>15</v>
      </c>
      <c r="E18" s="13">
        <v>3</v>
      </c>
      <c r="F18" s="14">
        <f t="shared" si="0"/>
        <v>5.64705882352941</v>
      </c>
      <c r="G18" s="15">
        <f t="shared" si="1"/>
        <v>0.85</v>
      </c>
      <c r="H18" s="19">
        <v>4.8</v>
      </c>
      <c r="I18" s="16">
        <f t="shared" si="2"/>
        <v>14.4</v>
      </c>
      <c r="J18" s="12"/>
    </row>
    <row r="19" s="4" customFormat="1" ht="16" customHeight="1" spans="1:10">
      <c r="A19" s="12">
        <v>14</v>
      </c>
      <c r="B19" s="14" t="s">
        <v>31</v>
      </c>
      <c r="C19" s="14"/>
      <c r="D19" s="14" t="s">
        <v>15</v>
      </c>
      <c r="E19" s="13">
        <v>22.5</v>
      </c>
      <c r="F19" s="14">
        <f t="shared" si="0"/>
        <v>5.64705882352941</v>
      </c>
      <c r="G19" s="15">
        <f t="shared" si="1"/>
        <v>0.85</v>
      </c>
      <c r="H19" s="19">
        <v>4.8</v>
      </c>
      <c r="I19" s="16">
        <f t="shared" si="2"/>
        <v>108</v>
      </c>
      <c r="J19" s="12"/>
    </row>
    <row r="20" s="4" customFormat="1" customHeight="1" spans="1:10">
      <c r="A20" s="12">
        <v>15</v>
      </c>
      <c r="B20" s="14" t="s">
        <v>32</v>
      </c>
      <c r="C20" s="14"/>
      <c r="D20" s="14" t="s">
        <v>15</v>
      </c>
      <c r="E20" s="13">
        <v>8</v>
      </c>
      <c r="F20" s="14">
        <f t="shared" si="0"/>
        <v>5.29411764705882</v>
      </c>
      <c r="G20" s="15">
        <f t="shared" si="1"/>
        <v>0.85</v>
      </c>
      <c r="H20" s="19">
        <v>4.5</v>
      </c>
      <c r="I20" s="16">
        <f t="shared" si="2"/>
        <v>36</v>
      </c>
      <c r="J20" s="14"/>
    </row>
    <row r="21" s="4" customFormat="1" customHeight="1" spans="1:10">
      <c r="A21" s="12">
        <v>16</v>
      </c>
      <c r="B21" s="14" t="s">
        <v>183</v>
      </c>
      <c r="C21" s="14"/>
      <c r="D21" s="14" t="s">
        <v>15</v>
      </c>
      <c r="E21" s="13">
        <v>13.7</v>
      </c>
      <c r="F21" s="14">
        <f t="shared" si="0"/>
        <v>11.5294117647059</v>
      </c>
      <c r="G21" s="15">
        <f t="shared" si="1"/>
        <v>0.85</v>
      </c>
      <c r="H21" s="19">
        <v>9.8</v>
      </c>
      <c r="I21" s="16">
        <f t="shared" si="2"/>
        <v>134.26</v>
      </c>
      <c r="J21" s="14"/>
    </row>
    <row r="22" s="4" customFormat="1" customHeight="1" spans="1:10">
      <c r="A22" s="12">
        <v>17</v>
      </c>
      <c r="B22" s="14" t="s">
        <v>81</v>
      </c>
      <c r="C22" s="14"/>
      <c r="D22" s="14" t="s">
        <v>15</v>
      </c>
      <c r="E22" s="13">
        <v>14</v>
      </c>
      <c r="F22" s="14">
        <f t="shared" si="0"/>
        <v>8</v>
      </c>
      <c r="G22" s="15">
        <f t="shared" si="1"/>
        <v>0.85</v>
      </c>
      <c r="H22" s="19">
        <v>6.8</v>
      </c>
      <c r="I22" s="16">
        <f t="shared" si="2"/>
        <v>95.2</v>
      </c>
      <c r="J22" s="14"/>
    </row>
    <row r="23" s="4" customFormat="1" customHeight="1" spans="1:10">
      <c r="A23" s="12">
        <v>18</v>
      </c>
      <c r="B23" s="17" t="s">
        <v>145</v>
      </c>
      <c r="C23" s="17"/>
      <c r="D23" s="18" t="s">
        <v>15</v>
      </c>
      <c r="E23" s="18">
        <v>9.8</v>
      </c>
      <c r="F23" s="14">
        <f t="shared" si="0"/>
        <v>25.8823529411765</v>
      </c>
      <c r="G23" s="15">
        <f t="shared" si="1"/>
        <v>0.85</v>
      </c>
      <c r="H23" s="19">
        <v>22</v>
      </c>
      <c r="I23" s="16">
        <f t="shared" si="2"/>
        <v>215.6</v>
      </c>
      <c r="J23" s="14"/>
    </row>
    <row r="24" s="4" customFormat="1" customHeight="1" spans="1:10">
      <c r="A24" s="12">
        <v>19</v>
      </c>
      <c r="B24" s="14" t="s">
        <v>35</v>
      </c>
      <c r="C24" s="14"/>
      <c r="D24" s="14" t="s">
        <v>15</v>
      </c>
      <c r="E24" s="13">
        <v>5</v>
      </c>
      <c r="F24" s="14">
        <f t="shared" si="0"/>
        <v>24.4705882352941</v>
      </c>
      <c r="G24" s="15">
        <f t="shared" si="1"/>
        <v>0.85</v>
      </c>
      <c r="H24" s="19">
        <v>20.8</v>
      </c>
      <c r="I24" s="16">
        <f t="shared" si="2"/>
        <v>104</v>
      </c>
      <c r="J24" s="14"/>
    </row>
    <row r="25" s="4" customFormat="1" customHeight="1" spans="1:10">
      <c r="A25" s="12">
        <v>20</v>
      </c>
      <c r="B25" s="14" t="s">
        <v>36</v>
      </c>
      <c r="C25" s="14"/>
      <c r="D25" s="14" t="s">
        <v>15</v>
      </c>
      <c r="E25" s="13">
        <v>6</v>
      </c>
      <c r="F25" s="14">
        <f t="shared" si="0"/>
        <v>19.7647058823529</v>
      </c>
      <c r="G25" s="15">
        <f t="shared" si="1"/>
        <v>0.85</v>
      </c>
      <c r="H25" s="19">
        <v>16.8</v>
      </c>
      <c r="I25" s="16">
        <f t="shared" si="2"/>
        <v>100.8</v>
      </c>
      <c r="J25" s="14"/>
    </row>
    <row r="26" s="4" customFormat="1" customHeight="1" spans="1:10">
      <c r="A26" s="12">
        <v>21</v>
      </c>
      <c r="B26" s="14" t="s">
        <v>82</v>
      </c>
      <c r="C26" s="14"/>
      <c r="D26" s="14" t="s">
        <v>15</v>
      </c>
      <c r="E26" s="13">
        <v>5</v>
      </c>
      <c r="F26" s="14">
        <f t="shared" si="0"/>
        <v>33.8823529411765</v>
      </c>
      <c r="G26" s="15">
        <f t="shared" si="1"/>
        <v>0.85</v>
      </c>
      <c r="H26" s="19">
        <v>28.8</v>
      </c>
      <c r="I26" s="16">
        <f t="shared" si="2"/>
        <v>144</v>
      </c>
      <c r="J26" s="14"/>
    </row>
    <row r="27" s="4" customFormat="1" customHeight="1" spans="1:10">
      <c r="A27" s="12">
        <v>22</v>
      </c>
      <c r="B27" s="14" t="s">
        <v>201</v>
      </c>
      <c r="C27" s="14" t="s">
        <v>202</v>
      </c>
      <c r="D27" s="14" t="s">
        <v>47</v>
      </c>
      <c r="E27" s="13">
        <v>1</v>
      </c>
      <c r="F27" s="14">
        <f t="shared" si="0"/>
        <v>97.6470588235294</v>
      </c>
      <c r="G27" s="15">
        <f t="shared" si="1"/>
        <v>0.85</v>
      </c>
      <c r="H27" s="19">
        <v>83</v>
      </c>
      <c r="I27" s="16">
        <f t="shared" si="2"/>
        <v>83</v>
      </c>
      <c r="J27" s="14"/>
    </row>
    <row r="28" s="4" customFormat="1" customHeight="1" spans="1:10">
      <c r="A28" s="12">
        <v>23</v>
      </c>
      <c r="B28" s="14" t="s">
        <v>84</v>
      </c>
      <c r="C28" s="14" t="s">
        <v>85</v>
      </c>
      <c r="D28" s="14" t="s">
        <v>15</v>
      </c>
      <c r="E28" s="13">
        <v>8</v>
      </c>
      <c r="F28" s="14">
        <f t="shared" si="0"/>
        <v>9.41176470588235</v>
      </c>
      <c r="G28" s="15">
        <f t="shared" si="1"/>
        <v>0.85</v>
      </c>
      <c r="H28" s="19">
        <v>8</v>
      </c>
      <c r="I28" s="16">
        <f t="shared" si="2"/>
        <v>64</v>
      </c>
      <c r="J28" s="14"/>
    </row>
    <row r="29" s="4" customFormat="1" customHeight="1" spans="1:10">
      <c r="A29" s="12">
        <v>24</v>
      </c>
      <c r="B29" s="14" t="s">
        <v>74</v>
      </c>
      <c r="C29" s="14" t="s">
        <v>75</v>
      </c>
      <c r="D29" s="14" t="s">
        <v>15</v>
      </c>
      <c r="E29" s="13">
        <v>8</v>
      </c>
      <c r="F29" s="14">
        <f t="shared" si="0"/>
        <v>6.47058823529412</v>
      </c>
      <c r="G29" s="15">
        <f t="shared" si="1"/>
        <v>0.85</v>
      </c>
      <c r="H29" s="19">
        <v>5.5</v>
      </c>
      <c r="I29" s="16">
        <f t="shared" si="2"/>
        <v>44</v>
      </c>
      <c r="J29" s="14"/>
    </row>
    <row r="30" s="4" customFormat="1" customHeight="1" spans="1:10">
      <c r="A30" s="12">
        <v>25</v>
      </c>
      <c r="B30" s="14" t="s">
        <v>180</v>
      </c>
      <c r="C30" s="14" t="s">
        <v>181</v>
      </c>
      <c r="D30" s="14" t="s">
        <v>66</v>
      </c>
      <c r="E30" s="13">
        <v>1</v>
      </c>
      <c r="F30" s="14">
        <f t="shared" si="0"/>
        <v>411.764705882353</v>
      </c>
      <c r="G30" s="15">
        <f t="shared" si="1"/>
        <v>0.85</v>
      </c>
      <c r="H30" s="19">
        <v>350</v>
      </c>
      <c r="I30" s="16">
        <f t="shared" si="2"/>
        <v>350</v>
      </c>
      <c r="J30" s="14"/>
    </row>
    <row r="31" s="4" customFormat="1" customHeight="1" spans="1:10">
      <c r="A31" s="12">
        <v>26</v>
      </c>
      <c r="B31" s="14" t="s">
        <v>137</v>
      </c>
      <c r="C31" s="14" t="s">
        <v>138</v>
      </c>
      <c r="D31" s="14" t="s">
        <v>39</v>
      </c>
      <c r="E31" s="13">
        <v>45</v>
      </c>
      <c r="F31" s="14">
        <f t="shared" si="0"/>
        <v>4.11764705882353</v>
      </c>
      <c r="G31" s="15">
        <f t="shared" si="1"/>
        <v>0.85</v>
      </c>
      <c r="H31" s="19">
        <v>3.5</v>
      </c>
      <c r="I31" s="16">
        <f t="shared" si="2"/>
        <v>157.5</v>
      </c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4" customFormat="1" customHeight="1" spans="1:10">
      <c r="A34" s="12" t="s">
        <v>23</v>
      </c>
      <c r="B34" s="20">
        <f>SUM(I6:I33)</f>
        <v>2038.56</v>
      </c>
      <c r="C34" s="21"/>
      <c r="D34" s="21"/>
      <c r="E34" s="22"/>
      <c r="F34" s="21"/>
      <c r="G34" s="21"/>
      <c r="H34" s="21"/>
      <c r="I34" s="21"/>
      <c r="J34" s="25"/>
    </row>
    <row r="35" s="4" customFormat="1" customHeight="1" spans="1:10">
      <c r="A35" s="12" t="s">
        <v>24</v>
      </c>
      <c r="B35" s="23">
        <f>B34</f>
        <v>2038.56</v>
      </c>
      <c r="C35" s="24"/>
      <c r="D35" s="24"/>
      <c r="E35" s="22"/>
      <c r="F35" s="24"/>
      <c r="G35" s="24"/>
      <c r="H35" s="24"/>
      <c r="I35" s="24"/>
      <c r="J35" s="26"/>
    </row>
    <row r="36" s="4" customFormat="1" customHeight="1" spans="1:5">
      <c r="A36" s="4" t="s">
        <v>25</v>
      </c>
      <c r="E36" s="5"/>
    </row>
  </sheetData>
  <sortState ref="A22:I33">
    <sortCondition ref="A22"/>
  </sortState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9" workbookViewId="0">
      <selection activeCell="B26" sqref="B2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5" width="11.6666666666667" style="4" customWidth="1"/>
    <col min="16326" max="16326" width="11.6666666666667" style="4"/>
    <col min="16327" max="16332" width="11" style="4"/>
    <col min="16333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45224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6</v>
      </c>
      <c r="F6" s="14">
        <f t="shared" ref="F6:F32" si="0">H6/0.85</f>
        <v>3.52941176470588</v>
      </c>
      <c r="G6" s="15">
        <f t="shared" ref="G6:G32" si="1">H6/F6</f>
        <v>0.85</v>
      </c>
      <c r="H6" s="16">
        <v>3</v>
      </c>
      <c r="I6" s="16">
        <f t="shared" ref="I6:I32" si="2">E6*H6</f>
        <v>18</v>
      </c>
      <c r="J6" s="12"/>
    </row>
    <row r="7" s="4" customFormat="1" ht="16" customHeight="1" spans="1:10">
      <c r="A7" s="12">
        <v>2</v>
      </c>
      <c r="B7" s="12" t="s">
        <v>58</v>
      </c>
      <c r="C7" s="12"/>
      <c r="D7" s="13" t="s">
        <v>15</v>
      </c>
      <c r="E7" s="13">
        <v>5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17.5</v>
      </c>
      <c r="J7" s="12"/>
    </row>
    <row r="8" s="4" customFormat="1" ht="16" customHeight="1" spans="1:10">
      <c r="A8" s="12">
        <v>3</v>
      </c>
      <c r="B8" s="12" t="s">
        <v>16</v>
      </c>
      <c r="C8" s="12"/>
      <c r="D8" s="13" t="s">
        <v>15</v>
      </c>
      <c r="E8" s="13">
        <v>4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14</v>
      </c>
      <c r="J8" s="12"/>
    </row>
    <row r="9" s="4" customFormat="1" ht="16" customHeight="1" spans="1:10">
      <c r="A9" s="12">
        <v>4</v>
      </c>
      <c r="B9" s="17" t="s">
        <v>164</v>
      </c>
      <c r="C9" s="17"/>
      <c r="D9" s="13" t="s">
        <v>15</v>
      </c>
      <c r="E9" s="13">
        <v>4</v>
      </c>
      <c r="F9" s="14">
        <f t="shared" si="0"/>
        <v>7.05882352941176</v>
      </c>
      <c r="G9" s="15">
        <f t="shared" si="1"/>
        <v>0.85</v>
      </c>
      <c r="H9" s="16">
        <v>6</v>
      </c>
      <c r="I9" s="16">
        <f t="shared" si="2"/>
        <v>24</v>
      </c>
      <c r="J9" s="12"/>
    </row>
    <row r="10" s="4" customFormat="1" ht="16" customHeight="1" spans="1:10">
      <c r="A10" s="12">
        <v>5</v>
      </c>
      <c r="B10" s="12" t="s">
        <v>126</v>
      </c>
      <c r="C10" s="12"/>
      <c r="D10" s="13" t="s">
        <v>15</v>
      </c>
      <c r="E10" s="13">
        <v>9</v>
      </c>
      <c r="F10" s="14">
        <f t="shared" si="0"/>
        <v>17.0588235294118</v>
      </c>
      <c r="G10" s="15">
        <f t="shared" si="1"/>
        <v>0.85</v>
      </c>
      <c r="H10" s="16">
        <v>14.5</v>
      </c>
      <c r="I10" s="16">
        <f t="shared" si="2"/>
        <v>130.5</v>
      </c>
      <c r="J10" s="12"/>
    </row>
    <row r="11" s="4" customFormat="1" ht="16" customHeight="1" spans="1:10">
      <c r="A11" s="12">
        <v>6</v>
      </c>
      <c r="B11" s="12" t="s">
        <v>51</v>
      </c>
      <c r="C11" s="12"/>
      <c r="D11" s="13" t="s">
        <v>15</v>
      </c>
      <c r="E11" s="13">
        <v>19</v>
      </c>
      <c r="F11" s="14">
        <f t="shared" si="0"/>
        <v>4.11764705882353</v>
      </c>
      <c r="G11" s="15">
        <f t="shared" si="1"/>
        <v>0.85</v>
      </c>
      <c r="H11" s="16">
        <v>3.5</v>
      </c>
      <c r="I11" s="16">
        <f t="shared" si="2"/>
        <v>66.5</v>
      </c>
      <c r="J11" s="12"/>
    </row>
    <row r="12" s="4" customFormat="1" ht="16" customHeight="1" spans="1:10">
      <c r="A12" s="12">
        <v>7</v>
      </c>
      <c r="B12" s="17" t="s">
        <v>141</v>
      </c>
      <c r="C12" s="17"/>
      <c r="D12" s="18" t="s">
        <v>15</v>
      </c>
      <c r="E12" s="18">
        <v>3</v>
      </c>
      <c r="F12" s="14">
        <f t="shared" si="0"/>
        <v>2.94117647058824</v>
      </c>
      <c r="G12" s="15">
        <f t="shared" si="1"/>
        <v>0.85</v>
      </c>
      <c r="H12" s="19">
        <v>2.5</v>
      </c>
      <c r="I12" s="16">
        <f t="shared" si="2"/>
        <v>7.5</v>
      </c>
      <c r="J12" s="17"/>
    </row>
    <row r="13" s="4" customFormat="1" ht="16" customHeight="1" spans="1:10">
      <c r="A13" s="12">
        <v>8</v>
      </c>
      <c r="B13" s="17" t="s">
        <v>27</v>
      </c>
      <c r="C13" s="17"/>
      <c r="D13" s="18" t="s">
        <v>28</v>
      </c>
      <c r="E13" s="18">
        <v>8</v>
      </c>
      <c r="F13" s="14">
        <f t="shared" si="0"/>
        <v>3.52941176470588</v>
      </c>
      <c r="G13" s="15">
        <f t="shared" si="1"/>
        <v>0.85</v>
      </c>
      <c r="H13" s="19">
        <v>3</v>
      </c>
      <c r="I13" s="16">
        <f t="shared" si="2"/>
        <v>24</v>
      </c>
      <c r="J13" s="17"/>
    </row>
    <row r="14" s="4" customFormat="1" ht="16" customHeight="1" spans="1:10">
      <c r="A14" s="12">
        <v>9</v>
      </c>
      <c r="B14" s="17" t="s">
        <v>18</v>
      </c>
      <c r="C14" s="17"/>
      <c r="D14" s="18" t="s">
        <v>15</v>
      </c>
      <c r="E14" s="18">
        <v>8</v>
      </c>
      <c r="F14" s="14">
        <f t="shared" si="0"/>
        <v>4.47058823529412</v>
      </c>
      <c r="G14" s="15">
        <f t="shared" si="1"/>
        <v>0.85</v>
      </c>
      <c r="H14" s="19">
        <v>3.8</v>
      </c>
      <c r="I14" s="16">
        <f t="shared" si="2"/>
        <v>30.4</v>
      </c>
      <c r="J14" s="17"/>
    </row>
    <row r="15" s="4" customFormat="1" ht="16" customHeight="1" spans="1:10">
      <c r="A15" s="12">
        <v>10</v>
      </c>
      <c r="B15" s="17" t="s">
        <v>30</v>
      </c>
      <c r="C15" s="17"/>
      <c r="D15" s="18" t="s">
        <v>15</v>
      </c>
      <c r="E15" s="18">
        <v>9</v>
      </c>
      <c r="F15" s="14">
        <f t="shared" si="0"/>
        <v>4.47058823529412</v>
      </c>
      <c r="G15" s="15">
        <f t="shared" si="1"/>
        <v>0.85</v>
      </c>
      <c r="H15" s="19">
        <v>3.8</v>
      </c>
      <c r="I15" s="16">
        <f t="shared" si="2"/>
        <v>34.2</v>
      </c>
      <c r="J15" s="17"/>
    </row>
    <row r="16" s="4" customFormat="1" ht="16" customHeight="1" spans="1:10">
      <c r="A16" s="12">
        <v>11</v>
      </c>
      <c r="B16" s="17" t="s">
        <v>142</v>
      </c>
      <c r="C16" s="17"/>
      <c r="D16" s="18" t="s">
        <v>15</v>
      </c>
      <c r="E16" s="18">
        <v>10</v>
      </c>
      <c r="F16" s="14">
        <f t="shared" si="0"/>
        <v>5.64705882352941</v>
      </c>
      <c r="G16" s="15">
        <f t="shared" si="1"/>
        <v>0.85</v>
      </c>
      <c r="H16" s="19">
        <v>4.8</v>
      </c>
      <c r="I16" s="16">
        <f t="shared" si="2"/>
        <v>48</v>
      </c>
      <c r="J16" s="17"/>
    </row>
    <row r="17" s="4" customFormat="1" ht="16" customHeight="1" spans="1:10">
      <c r="A17" s="12">
        <v>12</v>
      </c>
      <c r="B17" s="17" t="s">
        <v>19</v>
      </c>
      <c r="C17" s="17"/>
      <c r="D17" s="18" t="s">
        <v>15</v>
      </c>
      <c r="E17" s="18">
        <v>19</v>
      </c>
      <c r="F17" s="14">
        <f t="shared" si="0"/>
        <v>2.11764705882353</v>
      </c>
      <c r="G17" s="15">
        <f t="shared" si="1"/>
        <v>0.85</v>
      </c>
      <c r="H17" s="19">
        <v>1.8</v>
      </c>
      <c r="I17" s="16">
        <f t="shared" si="2"/>
        <v>34.2</v>
      </c>
      <c r="J17" s="17"/>
    </row>
    <row r="18" s="4" customFormat="1" ht="16" customHeight="1" spans="1:10">
      <c r="A18" s="12">
        <v>13</v>
      </c>
      <c r="B18" s="12" t="s">
        <v>154</v>
      </c>
      <c r="C18" s="12"/>
      <c r="D18" s="17" t="s">
        <v>15</v>
      </c>
      <c r="E18" s="13">
        <v>21.9</v>
      </c>
      <c r="F18" s="14">
        <f t="shared" si="0"/>
        <v>11.5294117647059</v>
      </c>
      <c r="G18" s="15">
        <f t="shared" si="1"/>
        <v>0.85</v>
      </c>
      <c r="H18" s="19">
        <v>9.8</v>
      </c>
      <c r="I18" s="16">
        <f t="shared" si="2"/>
        <v>214.62</v>
      </c>
      <c r="J18" s="12"/>
    </row>
    <row r="19" s="4" customFormat="1" ht="16" customHeight="1" spans="1:10">
      <c r="A19" s="12">
        <v>14</v>
      </c>
      <c r="B19" s="12" t="s">
        <v>43</v>
      </c>
      <c r="C19" s="12"/>
      <c r="D19" s="12" t="s">
        <v>15</v>
      </c>
      <c r="E19" s="13">
        <v>8.1</v>
      </c>
      <c r="F19" s="14">
        <f t="shared" si="0"/>
        <v>17.4117647058824</v>
      </c>
      <c r="G19" s="15">
        <f t="shared" si="1"/>
        <v>0.85</v>
      </c>
      <c r="H19" s="19">
        <v>14.8</v>
      </c>
      <c r="I19" s="16">
        <f t="shared" si="2"/>
        <v>119.88</v>
      </c>
      <c r="J19" s="12"/>
    </row>
    <row r="20" s="4" customFormat="1" ht="13.5" spans="1:10">
      <c r="A20" s="12">
        <v>15</v>
      </c>
      <c r="B20" s="12" t="s">
        <v>203</v>
      </c>
      <c r="C20" s="12"/>
      <c r="D20" s="12" t="s">
        <v>15</v>
      </c>
      <c r="E20" s="13">
        <v>10</v>
      </c>
      <c r="F20" s="14">
        <f t="shared" si="0"/>
        <v>13.8823529411765</v>
      </c>
      <c r="G20" s="15">
        <f t="shared" si="1"/>
        <v>0.85</v>
      </c>
      <c r="H20" s="19">
        <v>11.8</v>
      </c>
      <c r="I20" s="16">
        <f t="shared" si="2"/>
        <v>118</v>
      </c>
      <c r="J20" s="12"/>
    </row>
    <row r="21" s="4" customFormat="1" ht="16" customHeight="1" spans="1:10">
      <c r="A21" s="12">
        <v>16</v>
      </c>
      <c r="B21" s="12" t="s">
        <v>36</v>
      </c>
      <c r="C21" s="12"/>
      <c r="D21" s="12" t="s">
        <v>15</v>
      </c>
      <c r="E21" s="13">
        <v>2</v>
      </c>
      <c r="F21" s="14">
        <f t="shared" si="0"/>
        <v>19.7647058823529</v>
      </c>
      <c r="G21" s="15">
        <f t="shared" si="1"/>
        <v>0.85</v>
      </c>
      <c r="H21" s="19">
        <v>16.8</v>
      </c>
      <c r="I21" s="16">
        <f t="shared" si="2"/>
        <v>33.6</v>
      </c>
      <c r="J21" s="12"/>
    </row>
    <row r="22" s="4" customFormat="1" customHeight="1" spans="1:10">
      <c r="A22" s="12">
        <v>17</v>
      </c>
      <c r="B22" s="14" t="s">
        <v>129</v>
      </c>
      <c r="C22" s="14" t="s">
        <v>94</v>
      </c>
      <c r="D22" s="14" t="s">
        <v>47</v>
      </c>
      <c r="E22" s="13">
        <v>3</v>
      </c>
      <c r="F22" s="14">
        <f t="shared" si="0"/>
        <v>10.5882352941176</v>
      </c>
      <c r="G22" s="15">
        <f t="shared" si="1"/>
        <v>0.85</v>
      </c>
      <c r="H22" s="19">
        <v>9</v>
      </c>
      <c r="I22" s="16">
        <f t="shared" si="2"/>
        <v>27</v>
      </c>
      <c r="J22" s="14"/>
    </row>
    <row r="23" s="4" customFormat="1" customHeight="1" spans="1:10">
      <c r="A23" s="12">
        <v>18</v>
      </c>
      <c r="B23" s="14" t="s">
        <v>86</v>
      </c>
      <c r="C23" s="14" t="s">
        <v>87</v>
      </c>
      <c r="D23" s="14" t="s">
        <v>47</v>
      </c>
      <c r="E23" s="13">
        <v>10</v>
      </c>
      <c r="F23" s="14">
        <f t="shared" si="0"/>
        <v>2.35294117647059</v>
      </c>
      <c r="G23" s="15">
        <f t="shared" si="1"/>
        <v>0.85</v>
      </c>
      <c r="H23" s="19">
        <v>2</v>
      </c>
      <c r="I23" s="16">
        <f t="shared" si="2"/>
        <v>20</v>
      </c>
      <c r="J23" s="14"/>
    </row>
    <row r="24" s="4" customFormat="1" customHeight="1" spans="1:10">
      <c r="A24" s="12">
        <v>19</v>
      </c>
      <c r="B24" s="14" t="s">
        <v>74</v>
      </c>
      <c r="C24" s="14" t="s">
        <v>75</v>
      </c>
      <c r="D24" s="14" t="s">
        <v>15</v>
      </c>
      <c r="E24" s="13">
        <v>5</v>
      </c>
      <c r="F24" s="14">
        <f t="shared" si="0"/>
        <v>6.47058823529412</v>
      </c>
      <c r="G24" s="15">
        <f t="shared" si="1"/>
        <v>0.85</v>
      </c>
      <c r="H24" s="19">
        <v>5.5</v>
      </c>
      <c r="I24" s="16">
        <f t="shared" si="2"/>
        <v>27.5</v>
      </c>
      <c r="J24" s="14"/>
    </row>
    <row r="25" s="4" customFormat="1" customHeight="1" spans="1:10">
      <c r="A25" s="12">
        <v>20</v>
      </c>
      <c r="B25" s="14" t="s">
        <v>105</v>
      </c>
      <c r="C25" s="14" t="s">
        <v>106</v>
      </c>
      <c r="D25" s="14" t="s">
        <v>47</v>
      </c>
      <c r="E25" s="13">
        <v>2</v>
      </c>
      <c r="F25" s="14">
        <f t="shared" si="0"/>
        <v>205.882352941176</v>
      </c>
      <c r="G25" s="15">
        <f t="shared" si="1"/>
        <v>0.85</v>
      </c>
      <c r="H25" s="19">
        <v>175</v>
      </c>
      <c r="I25" s="16">
        <f t="shared" si="2"/>
        <v>350</v>
      </c>
      <c r="J25" s="14"/>
    </row>
    <row r="26" s="4" customFormat="1" customHeight="1" spans="1:10">
      <c r="A26" s="12">
        <v>21</v>
      </c>
      <c r="B26" s="14" t="s">
        <v>122</v>
      </c>
      <c r="C26" s="14" t="s">
        <v>123</v>
      </c>
      <c r="D26" s="14" t="s">
        <v>15</v>
      </c>
      <c r="E26" s="13">
        <v>4</v>
      </c>
      <c r="F26" s="14">
        <f t="shared" si="0"/>
        <v>5.76470588235294</v>
      </c>
      <c r="G26" s="15">
        <f t="shared" si="1"/>
        <v>0.85</v>
      </c>
      <c r="H26" s="19">
        <v>4.9</v>
      </c>
      <c r="I26" s="16">
        <f t="shared" si="2"/>
        <v>19.6</v>
      </c>
      <c r="J26" s="14"/>
    </row>
    <row r="27" s="4" customFormat="1" customHeight="1" spans="1:10">
      <c r="A27" s="12">
        <v>22</v>
      </c>
      <c r="B27" s="14" t="s">
        <v>56</v>
      </c>
      <c r="C27" s="14"/>
      <c r="D27" s="14" t="s">
        <v>39</v>
      </c>
      <c r="E27" s="13">
        <v>18</v>
      </c>
      <c r="F27" s="14">
        <f t="shared" si="0"/>
        <v>4.11764705882353</v>
      </c>
      <c r="G27" s="15">
        <f t="shared" si="1"/>
        <v>0.85</v>
      </c>
      <c r="H27" s="19">
        <v>3.5</v>
      </c>
      <c r="I27" s="16">
        <f t="shared" si="2"/>
        <v>63</v>
      </c>
      <c r="J27" s="14"/>
    </row>
    <row r="28" s="4" customFormat="1" customHeight="1" spans="1:10">
      <c r="A28" s="12">
        <v>23</v>
      </c>
      <c r="B28" s="14" t="s">
        <v>137</v>
      </c>
      <c r="C28" s="14" t="s">
        <v>138</v>
      </c>
      <c r="D28" s="14" t="s">
        <v>39</v>
      </c>
      <c r="E28" s="13">
        <v>12</v>
      </c>
      <c r="F28" s="14">
        <f t="shared" si="0"/>
        <v>4.11764705882353</v>
      </c>
      <c r="G28" s="15">
        <f t="shared" si="1"/>
        <v>0.85</v>
      </c>
      <c r="H28" s="19">
        <v>3.5</v>
      </c>
      <c r="I28" s="16">
        <f t="shared" si="2"/>
        <v>42</v>
      </c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4" customFormat="1" customHeight="1" spans="1:10">
      <c r="A34" s="12" t="s">
        <v>23</v>
      </c>
      <c r="B34" s="20">
        <f>SUM(I6:I33)</f>
        <v>1484</v>
      </c>
      <c r="C34" s="21"/>
      <c r="D34" s="21"/>
      <c r="E34" s="22"/>
      <c r="F34" s="21"/>
      <c r="G34" s="21"/>
      <c r="H34" s="21"/>
      <c r="I34" s="21"/>
      <c r="J34" s="25"/>
    </row>
    <row r="35" s="4" customFormat="1" customHeight="1" spans="1:10">
      <c r="A35" s="12" t="s">
        <v>24</v>
      </c>
      <c r="B35" s="23">
        <f>B34</f>
        <v>1484</v>
      </c>
      <c r="C35" s="24"/>
      <c r="D35" s="24"/>
      <c r="E35" s="22"/>
      <c r="F35" s="24"/>
      <c r="G35" s="24"/>
      <c r="H35" s="24"/>
      <c r="I35" s="24"/>
      <c r="J35" s="26"/>
    </row>
    <row r="36" s="4" customFormat="1" customHeight="1" spans="1:5">
      <c r="A36" s="4" t="s">
        <v>25</v>
      </c>
      <c r="E36" s="5"/>
    </row>
  </sheetData>
  <sortState ref="A22:I29">
    <sortCondition ref="A22"/>
  </sortState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6" workbookViewId="0">
      <selection activeCell="E25" sqref="E25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5" width="11.6666666666667" style="4" customWidth="1"/>
    <col min="16326" max="16326" width="11.6666666666667" style="4"/>
    <col min="16327" max="16332" width="11" style="4"/>
    <col min="16333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45225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>H6/0.85</f>
        <v>3.52941176470588</v>
      </c>
      <c r="G6" s="15">
        <f>H6/F6</f>
        <v>0.85</v>
      </c>
      <c r="H6" s="16">
        <v>3</v>
      </c>
      <c r="I6" s="16">
        <f>E6*H6</f>
        <v>21</v>
      </c>
      <c r="J6" s="12"/>
    </row>
    <row r="7" s="4" customFormat="1" ht="16" customHeight="1" spans="1:10">
      <c r="A7" s="12">
        <v>2</v>
      </c>
      <c r="B7" s="12" t="s">
        <v>16</v>
      </c>
      <c r="C7" s="12"/>
      <c r="D7" s="13" t="s">
        <v>15</v>
      </c>
      <c r="E7" s="13">
        <v>5</v>
      </c>
      <c r="F7" s="14">
        <f>H7/0.85</f>
        <v>4.11764705882353</v>
      </c>
      <c r="G7" s="15">
        <f>H7/F7</f>
        <v>0.85</v>
      </c>
      <c r="H7" s="16">
        <v>3.5</v>
      </c>
      <c r="I7" s="16">
        <f>E7*H7</f>
        <v>17.5</v>
      </c>
      <c r="J7" s="12"/>
    </row>
    <row r="8" s="4" customFormat="1" ht="16" customHeight="1" spans="1:10">
      <c r="A8" s="12">
        <v>3</v>
      </c>
      <c r="B8" s="12" t="s">
        <v>204</v>
      </c>
      <c r="C8" s="12"/>
      <c r="D8" s="13" t="s">
        <v>15</v>
      </c>
      <c r="E8" s="13">
        <v>2</v>
      </c>
      <c r="F8" s="14">
        <f>H8/0.85</f>
        <v>4.11764705882353</v>
      </c>
      <c r="G8" s="15">
        <f>H8/F8</f>
        <v>0.85</v>
      </c>
      <c r="H8" s="16">
        <v>3.5</v>
      </c>
      <c r="I8" s="16">
        <f>E8*H8</f>
        <v>7</v>
      </c>
      <c r="J8" s="12"/>
    </row>
    <row r="9" s="4" customFormat="1" ht="16" customHeight="1" spans="1:10">
      <c r="A9" s="12">
        <v>4</v>
      </c>
      <c r="B9" s="17" t="s">
        <v>205</v>
      </c>
      <c r="C9" s="17"/>
      <c r="D9" s="13" t="s">
        <v>15</v>
      </c>
      <c r="E9" s="13">
        <v>9</v>
      </c>
      <c r="F9" s="14">
        <f t="shared" ref="F9:F26" si="0">H9/0.85</f>
        <v>10</v>
      </c>
      <c r="G9" s="15">
        <f t="shared" ref="G9:G26" si="1">H9/F9</f>
        <v>0.85</v>
      </c>
      <c r="H9" s="16">
        <v>8.5</v>
      </c>
      <c r="I9" s="16">
        <f t="shared" ref="I9:I26" si="2">E9*H9</f>
        <v>76.5</v>
      </c>
      <c r="J9" s="12"/>
    </row>
    <row r="10" s="4" customFormat="1" ht="16" customHeight="1" spans="1:10">
      <c r="A10" s="12">
        <v>5</v>
      </c>
      <c r="B10" s="12" t="s">
        <v>41</v>
      </c>
      <c r="C10" s="12"/>
      <c r="D10" s="13" t="s">
        <v>15</v>
      </c>
      <c r="E10" s="13">
        <v>15</v>
      </c>
      <c r="F10" s="14">
        <f t="shared" si="0"/>
        <v>2.35294117647059</v>
      </c>
      <c r="G10" s="15">
        <f t="shared" si="1"/>
        <v>0.85</v>
      </c>
      <c r="H10" s="16">
        <v>2</v>
      </c>
      <c r="I10" s="16">
        <f t="shared" si="2"/>
        <v>30</v>
      </c>
      <c r="J10" s="12"/>
    </row>
    <row r="11" s="4" customFormat="1" ht="16" customHeight="1" spans="1:10">
      <c r="A11" s="12">
        <v>6</v>
      </c>
      <c r="B11" s="12" t="s">
        <v>26</v>
      </c>
      <c r="C11" s="12"/>
      <c r="D11" s="13" t="s">
        <v>15</v>
      </c>
      <c r="E11" s="13">
        <v>3</v>
      </c>
      <c r="F11" s="14">
        <f t="shared" si="0"/>
        <v>9.17647058823529</v>
      </c>
      <c r="G11" s="15">
        <f t="shared" si="1"/>
        <v>0.85</v>
      </c>
      <c r="H11" s="16">
        <v>7.8</v>
      </c>
      <c r="I11" s="16">
        <f t="shared" si="2"/>
        <v>23.4</v>
      </c>
      <c r="J11" s="12"/>
    </row>
    <row r="12" s="4" customFormat="1" ht="16" customHeight="1" spans="1:10">
      <c r="A12" s="12">
        <v>7</v>
      </c>
      <c r="B12" s="17" t="s">
        <v>162</v>
      </c>
      <c r="C12" s="17"/>
      <c r="D12" s="18" t="s">
        <v>15</v>
      </c>
      <c r="E12" s="18">
        <v>3</v>
      </c>
      <c r="F12" s="14">
        <f t="shared" si="0"/>
        <v>11.5294117647059</v>
      </c>
      <c r="G12" s="15">
        <f t="shared" si="1"/>
        <v>0.85</v>
      </c>
      <c r="H12" s="16">
        <v>9.8</v>
      </c>
      <c r="I12" s="16">
        <f t="shared" si="2"/>
        <v>29.4</v>
      </c>
      <c r="J12" s="17"/>
    </row>
    <row r="13" s="4" customFormat="1" ht="16" customHeight="1" spans="1:10">
      <c r="A13" s="12">
        <v>8</v>
      </c>
      <c r="B13" s="17" t="s">
        <v>29</v>
      </c>
      <c r="C13" s="17"/>
      <c r="D13" s="18" t="s">
        <v>15</v>
      </c>
      <c r="E13" s="18">
        <v>3</v>
      </c>
      <c r="F13" s="14">
        <f t="shared" si="0"/>
        <v>6.47058823529412</v>
      </c>
      <c r="G13" s="15">
        <f t="shared" si="1"/>
        <v>0.85</v>
      </c>
      <c r="H13" s="16">
        <v>5.5</v>
      </c>
      <c r="I13" s="16">
        <f t="shared" si="2"/>
        <v>16.5</v>
      </c>
      <c r="J13" s="17"/>
    </row>
    <row r="14" s="4" customFormat="1" ht="16" customHeight="1" spans="1:10">
      <c r="A14" s="12">
        <v>9</v>
      </c>
      <c r="B14" s="17" t="s">
        <v>89</v>
      </c>
      <c r="C14" s="17"/>
      <c r="D14" s="18" t="s">
        <v>15</v>
      </c>
      <c r="E14" s="18">
        <v>20</v>
      </c>
      <c r="F14" s="14">
        <f t="shared" si="0"/>
        <v>2.94117647058824</v>
      </c>
      <c r="G14" s="15">
        <f t="shared" si="1"/>
        <v>0.85</v>
      </c>
      <c r="H14" s="16">
        <v>2.5</v>
      </c>
      <c r="I14" s="16">
        <f t="shared" si="2"/>
        <v>50</v>
      </c>
      <c r="J14" s="17"/>
    </row>
    <row r="15" s="4" customFormat="1" ht="16" customHeight="1" spans="1:10">
      <c r="A15" s="12">
        <v>10</v>
      </c>
      <c r="B15" s="17" t="s">
        <v>52</v>
      </c>
      <c r="C15" s="17"/>
      <c r="D15" s="18" t="s">
        <v>15</v>
      </c>
      <c r="E15" s="18">
        <v>10</v>
      </c>
      <c r="F15" s="14">
        <f t="shared" si="0"/>
        <v>2.35294117647059</v>
      </c>
      <c r="G15" s="15">
        <f t="shared" si="1"/>
        <v>0.85</v>
      </c>
      <c r="H15" s="16">
        <v>2</v>
      </c>
      <c r="I15" s="16">
        <f t="shared" si="2"/>
        <v>20</v>
      </c>
      <c r="J15" s="17"/>
    </row>
    <row r="16" s="4" customFormat="1" ht="16" customHeight="1" spans="1:10">
      <c r="A16" s="12">
        <v>11</v>
      </c>
      <c r="B16" s="17" t="s">
        <v>101</v>
      </c>
      <c r="C16" s="17"/>
      <c r="D16" s="18" t="s">
        <v>15</v>
      </c>
      <c r="E16" s="18">
        <v>6.5</v>
      </c>
      <c r="F16" s="14">
        <f t="shared" si="0"/>
        <v>6.47058823529412</v>
      </c>
      <c r="G16" s="15">
        <f t="shared" si="1"/>
        <v>0.85</v>
      </c>
      <c r="H16" s="16">
        <v>5.5</v>
      </c>
      <c r="I16" s="16">
        <f t="shared" si="2"/>
        <v>35.75</v>
      </c>
      <c r="J16" s="17"/>
    </row>
    <row r="17" s="4" customFormat="1" ht="16" customHeight="1" spans="1:10">
      <c r="A17" s="12">
        <v>12</v>
      </c>
      <c r="B17" s="17" t="s">
        <v>32</v>
      </c>
      <c r="C17" s="17"/>
      <c r="D17" s="18" t="s">
        <v>15</v>
      </c>
      <c r="E17" s="18">
        <v>19</v>
      </c>
      <c r="F17" s="14">
        <f t="shared" si="0"/>
        <v>5.29411764705882</v>
      </c>
      <c r="G17" s="15">
        <f t="shared" si="1"/>
        <v>0.85</v>
      </c>
      <c r="H17" s="16">
        <v>4.5</v>
      </c>
      <c r="I17" s="16">
        <f t="shared" si="2"/>
        <v>85.5</v>
      </c>
      <c r="J17" s="17"/>
    </row>
    <row r="18" s="4" customFormat="1" ht="16" customHeight="1" spans="1:10">
      <c r="A18" s="12">
        <v>13</v>
      </c>
      <c r="B18" s="12" t="s">
        <v>127</v>
      </c>
      <c r="C18" s="12"/>
      <c r="D18" s="17" t="s">
        <v>15</v>
      </c>
      <c r="E18" s="13">
        <v>9.6</v>
      </c>
      <c r="F18" s="14">
        <f t="shared" si="0"/>
        <v>15.0588235294118</v>
      </c>
      <c r="G18" s="15">
        <f t="shared" si="1"/>
        <v>0.85</v>
      </c>
      <c r="H18" s="16">
        <v>12.8</v>
      </c>
      <c r="I18" s="16">
        <f t="shared" si="2"/>
        <v>122.88</v>
      </c>
      <c r="J18" s="12"/>
    </row>
    <row r="19" s="4" customFormat="1" ht="16" customHeight="1" spans="1:10">
      <c r="A19" s="12">
        <v>14</v>
      </c>
      <c r="B19" s="12" t="s">
        <v>33</v>
      </c>
      <c r="C19" s="12"/>
      <c r="D19" s="12" t="s">
        <v>15</v>
      </c>
      <c r="E19" s="13">
        <v>13</v>
      </c>
      <c r="F19" s="14">
        <f t="shared" si="0"/>
        <v>8</v>
      </c>
      <c r="G19" s="15">
        <f t="shared" si="1"/>
        <v>0.85</v>
      </c>
      <c r="H19" s="16">
        <v>6.8</v>
      </c>
      <c r="I19" s="16">
        <f t="shared" si="2"/>
        <v>88.4</v>
      </c>
      <c r="J19" s="12"/>
    </row>
    <row r="20" s="4" customFormat="1" ht="13.5" spans="1:10">
      <c r="A20" s="12">
        <v>15</v>
      </c>
      <c r="B20" s="12" t="s">
        <v>34</v>
      </c>
      <c r="C20" s="12"/>
      <c r="D20" s="12" t="s">
        <v>15</v>
      </c>
      <c r="E20" s="13">
        <v>20</v>
      </c>
      <c r="F20" s="14">
        <f t="shared" si="0"/>
        <v>4.11764705882353</v>
      </c>
      <c r="G20" s="15">
        <f t="shared" si="1"/>
        <v>0.85</v>
      </c>
      <c r="H20" s="16">
        <v>3.5</v>
      </c>
      <c r="I20" s="16">
        <f t="shared" si="2"/>
        <v>70</v>
      </c>
      <c r="J20" s="12"/>
    </row>
    <row r="21" s="4" customFormat="1" ht="16" customHeight="1" spans="1:10">
      <c r="A21" s="12">
        <v>16</v>
      </c>
      <c r="B21" s="12" t="s">
        <v>43</v>
      </c>
      <c r="C21" s="12"/>
      <c r="D21" s="12" t="s">
        <v>15</v>
      </c>
      <c r="E21" s="13">
        <v>5</v>
      </c>
      <c r="F21" s="14">
        <f t="shared" si="0"/>
        <v>17.4117647058824</v>
      </c>
      <c r="G21" s="15">
        <f t="shared" si="1"/>
        <v>0.85</v>
      </c>
      <c r="H21" s="16">
        <v>14.8</v>
      </c>
      <c r="I21" s="16">
        <f t="shared" si="2"/>
        <v>74</v>
      </c>
      <c r="J21" s="12"/>
    </row>
    <row r="22" s="4" customFormat="1" customHeight="1" spans="1:10">
      <c r="A22" s="12">
        <v>17</v>
      </c>
      <c r="B22" s="14" t="s">
        <v>156</v>
      </c>
      <c r="C22" s="14"/>
      <c r="D22" s="14" t="s">
        <v>15</v>
      </c>
      <c r="E22" s="13">
        <v>4.9</v>
      </c>
      <c r="F22" s="14">
        <f t="shared" si="0"/>
        <v>23.5294117647059</v>
      </c>
      <c r="G22" s="15">
        <f t="shared" si="1"/>
        <v>0.85</v>
      </c>
      <c r="H22" s="16">
        <v>20</v>
      </c>
      <c r="I22" s="16">
        <f t="shared" si="2"/>
        <v>98</v>
      </c>
      <c r="J22" s="14"/>
    </row>
    <row r="23" s="4" customFormat="1" customHeight="1" spans="1:10">
      <c r="A23" s="12">
        <v>18</v>
      </c>
      <c r="B23" s="14" t="s">
        <v>120</v>
      </c>
      <c r="C23" s="14" t="s">
        <v>121</v>
      </c>
      <c r="D23" s="14" t="s">
        <v>117</v>
      </c>
      <c r="E23" s="13">
        <v>5</v>
      </c>
      <c r="F23" s="14">
        <f t="shared" si="0"/>
        <v>14.7058823529412</v>
      </c>
      <c r="G23" s="15">
        <f t="shared" si="1"/>
        <v>0.85</v>
      </c>
      <c r="H23" s="16">
        <v>12.5</v>
      </c>
      <c r="I23" s="16">
        <f t="shared" si="2"/>
        <v>62.5</v>
      </c>
      <c r="J23" s="14"/>
    </row>
    <row r="24" s="4" customFormat="1" customHeight="1" spans="1:10">
      <c r="A24" s="12">
        <v>19</v>
      </c>
      <c r="B24" s="14" t="s">
        <v>21</v>
      </c>
      <c r="C24" s="14" t="s">
        <v>22</v>
      </c>
      <c r="D24" s="14" t="s">
        <v>15</v>
      </c>
      <c r="E24" s="13">
        <v>6</v>
      </c>
      <c r="F24" s="14">
        <f t="shared" si="0"/>
        <v>14.1176470588235</v>
      </c>
      <c r="G24" s="15">
        <f t="shared" si="1"/>
        <v>0.85</v>
      </c>
      <c r="H24" s="16">
        <v>12</v>
      </c>
      <c r="I24" s="16">
        <f t="shared" si="2"/>
        <v>72</v>
      </c>
      <c r="J24" s="14"/>
    </row>
    <row r="25" s="4" customFormat="1" customHeight="1" spans="1:10">
      <c r="A25" s="12">
        <v>20</v>
      </c>
      <c r="B25" s="14" t="s">
        <v>119</v>
      </c>
      <c r="C25" s="14"/>
      <c r="D25" s="14" t="s">
        <v>15</v>
      </c>
      <c r="E25" s="13">
        <v>8</v>
      </c>
      <c r="F25" s="14">
        <f t="shared" si="0"/>
        <v>23.5294117647059</v>
      </c>
      <c r="G25" s="15">
        <f t="shared" si="1"/>
        <v>0.85</v>
      </c>
      <c r="H25" s="16">
        <v>20</v>
      </c>
      <c r="I25" s="16">
        <f t="shared" si="2"/>
        <v>160</v>
      </c>
      <c r="J25" s="14"/>
    </row>
    <row r="26" s="4" customFormat="1" customHeight="1" spans="1:10">
      <c r="A26" s="12">
        <v>21</v>
      </c>
      <c r="B26" s="14" t="s">
        <v>137</v>
      </c>
      <c r="C26" s="14" t="s">
        <v>138</v>
      </c>
      <c r="D26" s="14" t="s">
        <v>39</v>
      </c>
      <c r="E26" s="13">
        <v>60</v>
      </c>
      <c r="F26" s="14">
        <f t="shared" si="0"/>
        <v>4.11764705882353</v>
      </c>
      <c r="G26" s="15">
        <f t="shared" si="1"/>
        <v>0.85</v>
      </c>
      <c r="H26" s="16">
        <v>3.5</v>
      </c>
      <c r="I26" s="16">
        <f t="shared" si="2"/>
        <v>210</v>
      </c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4" customFormat="1" customHeight="1" spans="1:10">
      <c r="A34" s="12" t="s">
        <v>23</v>
      </c>
      <c r="B34" s="20">
        <f>SUM(I6:I33)</f>
        <v>1370.33</v>
      </c>
      <c r="C34" s="21"/>
      <c r="D34" s="21"/>
      <c r="E34" s="22"/>
      <c r="F34" s="21"/>
      <c r="G34" s="21"/>
      <c r="H34" s="21"/>
      <c r="I34" s="21"/>
      <c r="J34" s="25"/>
    </row>
    <row r="35" s="4" customFormat="1" customHeight="1" spans="1:10">
      <c r="A35" s="12" t="s">
        <v>24</v>
      </c>
      <c r="B35" s="23">
        <f>B34</f>
        <v>1370.33</v>
      </c>
      <c r="C35" s="24"/>
      <c r="D35" s="24"/>
      <c r="E35" s="22"/>
      <c r="F35" s="24"/>
      <c r="G35" s="24"/>
      <c r="H35" s="24"/>
      <c r="I35" s="24"/>
      <c r="J35" s="26"/>
    </row>
    <row r="36" s="4" customFormat="1" customHeight="1" spans="1:5">
      <c r="A36" s="4" t="s">
        <v>25</v>
      </c>
      <c r="E36" s="5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22" workbookViewId="0">
      <selection activeCell="E33" sqref="E33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2.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5" width="11.6666666666667" style="4" customWidth="1"/>
    <col min="16326" max="16326" width="11.6666666666667" style="4"/>
    <col min="16327" max="16332" width="11" style="4"/>
    <col min="16333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45226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>H6/0.85</f>
        <v>3.52941176470588</v>
      </c>
      <c r="G6" s="15">
        <f>H6/F6</f>
        <v>0.85</v>
      </c>
      <c r="H6" s="16">
        <v>3</v>
      </c>
      <c r="I6" s="16">
        <f>E6*H6</f>
        <v>21</v>
      </c>
      <c r="J6" s="12"/>
    </row>
    <row r="7" s="4" customFormat="1" ht="16" customHeight="1" spans="1:10">
      <c r="A7" s="12">
        <v>2</v>
      </c>
      <c r="B7" s="12" t="s">
        <v>57</v>
      </c>
      <c r="C7" s="12"/>
      <c r="D7" s="13" t="s">
        <v>15</v>
      </c>
      <c r="E7" s="13">
        <v>1</v>
      </c>
      <c r="F7" s="14">
        <f t="shared" ref="F7:F24" si="0">H7/0.85</f>
        <v>4.11764705882353</v>
      </c>
      <c r="G7" s="15">
        <f t="shared" ref="G7:G24" si="1">H7/F7</f>
        <v>0.85</v>
      </c>
      <c r="H7" s="16">
        <v>3.5</v>
      </c>
      <c r="I7" s="16">
        <f t="shared" ref="I7:I24" si="2">E7*H7</f>
        <v>3.5</v>
      </c>
      <c r="J7" s="12"/>
    </row>
    <row r="8" s="4" customFormat="1" ht="16" customHeight="1" spans="1:10">
      <c r="A8" s="12">
        <v>3</v>
      </c>
      <c r="B8" s="12" t="s">
        <v>58</v>
      </c>
      <c r="C8" s="12"/>
      <c r="D8" s="13" t="s">
        <v>15</v>
      </c>
      <c r="E8" s="13">
        <v>1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3.5</v>
      </c>
      <c r="J8" s="12"/>
    </row>
    <row r="9" s="4" customFormat="1" ht="16" customHeight="1" spans="1:10">
      <c r="A9" s="12">
        <v>4</v>
      </c>
      <c r="B9" s="17" t="s">
        <v>16</v>
      </c>
      <c r="C9" s="17"/>
      <c r="D9" s="13" t="s">
        <v>15</v>
      </c>
      <c r="E9" s="13">
        <v>5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17.5</v>
      </c>
      <c r="J9" s="12"/>
    </row>
    <row r="10" s="4" customFormat="1" ht="16" customHeight="1" spans="1:10">
      <c r="A10" s="12">
        <v>5</v>
      </c>
      <c r="B10" s="12" t="s">
        <v>206</v>
      </c>
      <c r="C10" s="12"/>
      <c r="D10" s="13" t="s">
        <v>15</v>
      </c>
      <c r="E10" s="13">
        <v>4</v>
      </c>
      <c r="F10" s="14">
        <f t="shared" si="0"/>
        <v>10.3529411764706</v>
      </c>
      <c r="G10" s="15">
        <f t="shared" si="1"/>
        <v>0.85</v>
      </c>
      <c r="H10" s="16">
        <v>8.8</v>
      </c>
      <c r="I10" s="16">
        <f t="shared" si="2"/>
        <v>35.2</v>
      </c>
      <c r="J10" s="12"/>
    </row>
    <row r="11" s="4" customFormat="1" ht="16" customHeight="1" spans="1:10">
      <c r="A11" s="12">
        <v>6</v>
      </c>
      <c r="B11" s="12" t="s">
        <v>165</v>
      </c>
      <c r="C11" s="12"/>
      <c r="D11" s="13" t="s">
        <v>15</v>
      </c>
      <c r="E11" s="13">
        <v>4</v>
      </c>
      <c r="F11" s="14">
        <f t="shared" si="0"/>
        <v>9.17647058823529</v>
      </c>
      <c r="G11" s="15">
        <f t="shared" si="1"/>
        <v>0.85</v>
      </c>
      <c r="H11" s="16">
        <v>7.8</v>
      </c>
      <c r="I11" s="16">
        <f t="shared" si="2"/>
        <v>31.2</v>
      </c>
      <c r="J11" s="12"/>
    </row>
    <row r="12" s="4" customFormat="1" ht="16" customHeight="1" spans="1:10">
      <c r="A12" s="12">
        <v>7</v>
      </c>
      <c r="B12" s="17" t="s">
        <v>124</v>
      </c>
      <c r="C12" s="17"/>
      <c r="D12" s="18" t="s">
        <v>15</v>
      </c>
      <c r="E12" s="18">
        <v>5</v>
      </c>
      <c r="F12" s="14">
        <f t="shared" si="0"/>
        <v>15.0588235294118</v>
      </c>
      <c r="G12" s="15">
        <f t="shared" si="1"/>
        <v>0.85</v>
      </c>
      <c r="H12" s="16">
        <v>12.8</v>
      </c>
      <c r="I12" s="16">
        <f t="shared" si="2"/>
        <v>64</v>
      </c>
      <c r="J12" s="17"/>
    </row>
    <row r="13" s="4" customFormat="1" ht="16" customHeight="1" spans="1:10">
      <c r="A13" s="12">
        <v>8</v>
      </c>
      <c r="B13" s="17" t="s">
        <v>88</v>
      </c>
      <c r="C13" s="17"/>
      <c r="D13" s="18" t="s">
        <v>15</v>
      </c>
      <c r="E13" s="18">
        <v>19</v>
      </c>
      <c r="F13" s="14">
        <f t="shared" si="0"/>
        <v>2.94117647058824</v>
      </c>
      <c r="G13" s="15">
        <f t="shared" si="1"/>
        <v>0.85</v>
      </c>
      <c r="H13" s="16">
        <v>2.5</v>
      </c>
      <c r="I13" s="16">
        <f t="shared" si="2"/>
        <v>47.5</v>
      </c>
      <c r="J13" s="17"/>
    </row>
    <row r="14" s="4" customFormat="1" ht="16" customHeight="1" spans="1:10">
      <c r="A14" s="12">
        <v>9</v>
      </c>
      <c r="B14" s="17" t="s">
        <v>26</v>
      </c>
      <c r="C14" s="17"/>
      <c r="D14" s="18" t="s">
        <v>15</v>
      </c>
      <c r="E14" s="18">
        <v>4</v>
      </c>
      <c r="F14" s="14">
        <f t="shared" si="0"/>
        <v>9.17647058823529</v>
      </c>
      <c r="G14" s="15">
        <f t="shared" si="1"/>
        <v>0.85</v>
      </c>
      <c r="H14" s="16">
        <v>7.8</v>
      </c>
      <c r="I14" s="16">
        <f t="shared" si="2"/>
        <v>31.2</v>
      </c>
      <c r="J14" s="17"/>
    </row>
    <row r="15" s="4" customFormat="1" ht="16" customHeight="1" spans="1:10">
      <c r="A15" s="12">
        <v>10</v>
      </c>
      <c r="B15" s="17" t="s">
        <v>61</v>
      </c>
      <c r="C15" s="17"/>
      <c r="D15" s="18" t="s">
        <v>15</v>
      </c>
      <c r="E15" s="18">
        <v>6</v>
      </c>
      <c r="F15" s="14">
        <f t="shared" si="0"/>
        <v>11.5294117647059</v>
      </c>
      <c r="G15" s="15">
        <f t="shared" si="1"/>
        <v>0.85</v>
      </c>
      <c r="H15" s="16">
        <v>9.8</v>
      </c>
      <c r="I15" s="16">
        <f t="shared" si="2"/>
        <v>58.8</v>
      </c>
      <c r="J15" s="17"/>
    </row>
    <row r="16" s="4" customFormat="1" ht="16" customHeight="1" spans="1:10">
      <c r="A16" s="12">
        <v>11</v>
      </c>
      <c r="B16" s="17" t="s">
        <v>27</v>
      </c>
      <c r="C16" s="17"/>
      <c r="D16" s="18" t="s">
        <v>28</v>
      </c>
      <c r="E16" s="18">
        <v>8</v>
      </c>
      <c r="F16" s="14">
        <f t="shared" si="0"/>
        <v>3.52941176470588</v>
      </c>
      <c r="G16" s="15">
        <f t="shared" si="1"/>
        <v>0.85</v>
      </c>
      <c r="H16" s="16">
        <v>3</v>
      </c>
      <c r="I16" s="16">
        <f t="shared" si="2"/>
        <v>24</v>
      </c>
      <c r="J16" s="17"/>
    </row>
    <row r="17" s="4" customFormat="1" ht="16" customHeight="1" spans="1:10">
      <c r="A17" s="12">
        <v>12</v>
      </c>
      <c r="B17" s="12" t="s">
        <v>29</v>
      </c>
      <c r="C17" s="12"/>
      <c r="D17" s="17" t="s">
        <v>15</v>
      </c>
      <c r="E17" s="13">
        <v>4</v>
      </c>
      <c r="F17" s="14">
        <f t="shared" si="0"/>
        <v>6.47058823529412</v>
      </c>
      <c r="G17" s="15">
        <f t="shared" si="1"/>
        <v>0.85</v>
      </c>
      <c r="H17" s="16">
        <v>5.5</v>
      </c>
      <c r="I17" s="16">
        <f t="shared" si="2"/>
        <v>22</v>
      </c>
      <c r="J17" s="12"/>
    </row>
    <row r="18" s="4" customFormat="1" ht="16" customHeight="1" spans="1:10">
      <c r="A18" s="12">
        <v>13</v>
      </c>
      <c r="B18" s="12" t="s">
        <v>62</v>
      </c>
      <c r="C18" s="12"/>
      <c r="D18" s="12" t="s">
        <v>15</v>
      </c>
      <c r="E18" s="13">
        <v>9</v>
      </c>
      <c r="F18" s="14">
        <f t="shared" si="0"/>
        <v>6.47058823529412</v>
      </c>
      <c r="G18" s="15">
        <f t="shared" si="1"/>
        <v>0.85</v>
      </c>
      <c r="H18" s="16">
        <v>5.5</v>
      </c>
      <c r="I18" s="16">
        <f t="shared" si="2"/>
        <v>49.5</v>
      </c>
      <c r="J18" s="12"/>
    </row>
    <row r="19" s="4" customFormat="1" customHeight="1" spans="1:10">
      <c r="A19" s="12">
        <v>14</v>
      </c>
      <c r="B19" s="14" t="s">
        <v>63</v>
      </c>
      <c r="C19" s="14"/>
      <c r="D19" s="14" t="s">
        <v>15</v>
      </c>
      <c r="E19" s="13">
        <v>22.5</v>
      </c>
      <c r="F19" s="14">
        <f t="shared" si="0"/>
        <v>6.82352941176471</v>
      </c>
      <c r="G19" s="15">
        <f t="shared" si="1"/>
        <v>0.85</v>
      </c>
      <c r="H19" s="16">
        <v>5.8</v>
      </c>
      <c r="I19" s="16">
        <f t="shared" si="2"/>
        <v>130.5</v>
      </c>
      <c r="J19" s="14"/>
    </row>
    <row r="20" s="4" customFormat="1" customHeight="1" spans="1:10">
      <c r="A20" s="12">
        <v>15</v>
      </c>
      <c r="B20" s="14" t="s">
        <v>80</v>
      </c>
      <c r="C20" s="14"/>
      <c r="D20" s="14" t="s">
        <v>15</v>
      </c>
      <c r="E20" s="13">
        <v>2</v>
      </c>
      <c r="F20" s="14">
        <f t="shared" si="0"/>
        <v>10.3529411764706</v>
      </c>
      <c r="G20" s="15">
        <f t="shared" si="1"/>
        <v>0.85</v>
      </c>
      <c r="H20" s="16">
        <v>8.8</v>
      </c>
      <c r="I20" s="16">
        <f t="shared" si="2"/>
        <v>17.6</v>
      </c>
      <c r="J20" s="14"/>
    </row>
    <row r="21" s="4" customFormat="1" customHeight="1" spans="1:10">
      <c r="A21" s="12">
        <v>16</v>
      </c>
      <c r="B21" s="14" t="s">
        <v>91</v>
      </c>
      <c r="C21" s="14"/>
      <c r="D21" s="14" t="s">
        <v>15</v>
      </c>
      <c r="E21" s="13">
        <v>3</v>
      </c>
      <c r="F21" s="14">
        <f t="shared" si="0"/>
        <v>5.64705882352941</v>
      </c>
      <c r="G21" s="15">
        <f t="shared" si="1"/>
        <v>0.85</v>
      </c>
      <c r="H21" s="16">
        <v>4.8</v>
      </c>
      <c r="I21" s="16">
        <f t="shared" si="2"/>
        <v>14.4</v>
      </c>
      <c r="J21" s="14"/>
    </row>
    <row r="22" s="4" customFormat="1" customHeight="1" spans="1:10">
      <c r="A22" s="12">
        <v>17</v>
      </c>
      <c r="B22" s="14" t="s">
        <v>101</v>
      </c>
      <c r="C22" s="14"/>
      <c r="D22" s="14" t="s">
        <v>15</v>
      </c>
      <c r="E22" s="13">
        <v>3</v>
      </c>
      <c r="F22" s="14">
        <f t="shared" si="0"/>
        <v>6.47058823529412</v>
      </c>
      <c r="G22" s="15">
        <f t="shared" si="1"/>
        <v>0.85</v>
      </c>
      <c r="H22" s="16">
        <v>5.5</v>
      </c>
      <c r="I22" s="16">
        <f t="shared" si="2"/>
        <v>16.5</v>
      </c>
      <c r="J22" s="14"/>
    </row>
    <row r="23" s="4" customFormat="1" customHeight="1" spans="1:10">
      <c r="A23" s="12">
        <v>18</v>
      </c>
      <c r="B23" s="14" t="s">
        <v>32</v>
      </c>
      <c r="C23" s="14"/>
      <c r="D23" s="14" t="s">
        <v>15</v>
      </c>
      <c r="E23" s="13">
        <v>9</v>
      </c>
      <c r="F23" s="14">
        <f t="shared" si="0"/>
        <v>5.29411764705882</v>
      </c>
      <c r="G23" s="15">
        <f t="shared" si="1"/>
        <v>0.85</v>
      </c>
      <c r="H23" s="16">
        <v>4.5</v>
      </c>
      <c r="I23" s="16">
        <f t="shared" si="2"/>
        <v>40.5</v>
      </c>
      <c r="J23" s="14"/>
    </row>
    <row r="24" s="4" customFormat="1" customHeight="1" spans="1:10">
      <c r="A24" s="12">
        <v>19</v>
      </c>
      <c r="B24" s="14" t="s">
        <v>127</v>
      </c>
      <c r="C24" s="14"/>
      <c r="D24" s="14" t="s">
        <v>15</v>
      </c>
      <c r="E24" s="13">
        <v>23.4</v>
      </c>
      <c r="F24" s="14">
        <f t="shared" si="0"/>
        <v>15.0588235294118</v>
      </c>
      <c r="G24" s="15">
        <f t="shared" si="1"/>
        <v>0.85</v>
      </c>
      <c r="H24" s="16">
        <v>12.8</v>
      </c>
      <c r="I24" s="16">
        <f t="shared" si="2"/>
        <v>299.52</v>
      </c>
      <c r="J24" s="14"/>
    </row>
    <row r="25" s="4" customFormat="1" customHeight="1" spans="1:10">
      <c r="A25" s="12">
        <v>20</v>
      </c>
      <c r="B25" s="14" t="s">
        <v>163</v>
      </c>
      <c r="C25" s="14"/>
      <c r="D25" s="14" t="s">
        <v>15</v>
      </c>
      <c r="E25" s="13">
        <v>18</v>
      </c>
      <c r="F25" s="14">
        <f t="shared" ref="F25:F34" si="3">H25/0.85</f>
        <v>8</v>
      </c>
      <c r="G25" s="15">
        <f t="shared" ref="G25:G34" si="4">H25/F25</f>
        <v>0.85</v>
      </c>
      <c r="H25" s="16">
        <v>6.8</v>
      </c>
      <c r="I25" s="16">
        <f t="shared" ref="I25:I34" si="5">E25*H25</f>
        <v>122.4</v>
      </c>
      <c r="J25" s="14"/>
    </row>
    <row r="26" s="4" customFormat="1" customHeight="1" spans="1:10">
      <c r="A26" s="12">
        <v>21</v>
      </c>
      <c r="B26" s="14" t="s">
        <v>64</v>
      </c>
      <c r="C26" s="14" t="s">
        <v>65</v>
      </c>
      <c r="D26" s="14" t="s">
        <v>66</v>
      </c>
      <c r="E26" s="13">
        <v>1</v>
      </c>
      <c r="F26" s="14">
        <f t="shared" si="3"/>
        <v>352.941176470588</v>
      </c>
      <c r="G26" s="15">
        <f t="shared" si="4"/>
        <v>0.85</v>
      </c>
      <c r="H26" s="16">
        <v>300</v>
      </c>
      <c r="I26" s="16">
        <f t="shared" si="5"/>
        <v>300</v>
      </c>
      <c r="J26" s="14"/>
    </row>
    <row r="27" s="4" customFormat="1" customHeight="1" spans="1:10">
      <c r="A27" s="12">
        <v>22</v>
      </c>
      <c r="B27" s="14" t="s">
        <v>155</v>
      </c>
      <c r="C27" s="14"/>
      <c r="D27" s="14" t="s">
        <v>15</v>
      </c>
      <c r="E27" s="13">
        <v>3</v>
      </c>
      <c r="F27" s="14">
        <f t="shared" si="3"/>
        <v>16.2352941176471</v>
      </c>
      <c r="G27" s="15">
        <f t="shared" si="4"/>
        <v>0.85</v>
      </c>
      <c r="H27" s="16">
        <v>13.8</v>
      </c>
      <c r="I27" s="16">
        <f t="shared" si="5"/>
        <v>41.4</v>
      </c>
      <c r="J27" s="14"/>
    </row>
    <row r="28" s="4" customFormat="1" customHeight="1" spans="1:10">
      <c r="A28" s="12">
        <v>23</v>
      </c>
      <c r="B28" s="14" t="s">
        <v>20</v>
      </c>
      <c r="C28" s="14"/>
      <c r="D28" s="14" t="s">
        <v>15</v>
      </c>
      <c r="E28" s="13">
        <v>5</v>
      </c>
      <c r="F28" s="14">
        <f t="shared" si="3"/>
        <v>25.8823529411765</v>
      </c>
      <c r="G28" s="15">
        <f t="shared" si="4"/>
        <v>0.85</v>
      </c>
      <c r="H28" s="16">
        <v>22</v>
      </c>
      <c r="I28" s="16">
        <f t="shared" si="5"/>
        <v>110</v>
      </c>
      <c r="J28" s="14"/>
    </row>
    <row r="29" s="4" customFormat="1" customHeight="1" spans="1:10">
      <c r="A29" s="12">
        <v>24</v>
      </c>
      <c r="B29" s="14" t="s">
        <v>67</v>
      </c>
      <c r="C29" s="14"/>
      <c r="D29" s="14" t="s">
        <v>15</v>
      </c>
      <c r="E29" s="13">
        <v>5</v>
      </c>
      <c r="F29" s="14">
        <f t="shared" si="3"/>
        <v>21.7647058823529</v>
      </c>
      <c r="G29" s="15">
        <f t="shared" si="4"/>
        <v>0.85</v>
      </c>
      <c r="H29" s="16">
        <v>18.5</v>
      </c>
      <c r="I29" s="16">
        <f t="shared" si="5"/>
        <v>92.5</v>
      </c>
      <c r="J29" s="14"/>
    </row>
    <row r="30" s="4" customFormat="1" customHeight="1" spans="1:10">
      <c r="A30" s="12">
        <v>25</v>
      </c>
      <c r="B30" s="14" t="s">
        <v>194</v>
      </c>
      <c r="C30" s="14"/>
      <c r="D30" s="14" t="s">
        <v>15</v>
      </c>
      <c r="E30" s="13">
        <v>5</v>
      </c>
      <c r="F30" s="14">
        <f t="shared" si="3"/>
        <v>5.88235294117647</v>
      </c>
      <c r="G30" s="15">
        <f t="shared" si="4"/>
        <v>0.85</v>
      </c>
      <c r="H30" s="16">
        <v>5</v>
      </c>
      <c r="I30" s="16">
        <f t="shared" si="5"/>
        <v>25</v>
      </c>
      <c r="J30" s="14"/>
    </row>
    <row r="31" s="4" customFormat="1" customHeight="1" spans="1:10">
      <c r="A31" s="12">
        <v>26</v>
      </c>
      <c r="B31" s="14" t="s">
        <v>178</v>
      </c>
      <c r="C31" s="14" t="s">
        <v>179</v>
      </c>
      <c r="D31" s="14" t="s">
        <v>95</v>
      </c>
      <c r="E31" s="13">
        <v>10</v>
      </c>
      <c r="F31" s="14">
        <f t="shared" si="3"/>
        <v>8</v>
      </c>
      <c r="G31" s="15">
        <f t="shared" si="4"/>
        <v>0.85</v>
      </c>
      <c r="H31" s="16">
        <v>6.8</v>
      </c>
      <c r="I31" s="16">
        <f t="shared" si="5"/>
        <v>68</v>
      </c>
      <c r="J31" s="14"/>
    </row>
    <row r="32" s="4" customFormat="1" customHeight="1" spans="1:10">
      <c r="A32" s="12">
        <v>27</v>
      </c>
      <c r="B32" s="14" t="s">
        <v>207</v>
      </c>
      <c r="C32" s="14" t="s">
        <v>208</v>
      </c>
      <c r="D32" s="14" t="s">
        <v>187</v>
      </c>
      <c r="E32" s="13">
        <v>1</v>
      </c>
      <c r="F32" s="14">
        <f t="shared" si="3"/>
        <v>47.0588235294118</v>
      </c>
      <c r="G32" s="15">
        <f t="shared" si="4"/>
        <v>0.85</v>
      </c>
      <c r="H32" s="16">
        <v>40</v>
      </c>
      <c r="I32" s="16">
        <f t="shared" si="5"/>
        <v>40</v>
      </c>
      <c r="J32" s="14"/>
    </row>
    <row r="33" s="4" customFormat="1" customHeight="1" spans="1:10">
      <c r="A33" s="12">
        <v>29</v>
      </c>
      <c r="B33" s="14" t="s">
        <v>209</v>
      </c>
      <c r="C33" s="14" t="s">
        <v>210</v>
      </c>
      <c r="D33" s="14" t="s">
        <v>47</v>
      </c>
      <c r="E33" s="13">
        <v>1</v>
      </c>
      <c r="F33" s="14">
        <f>H33/0.85</f>
        <v>174.117647058824</v>
      </c>
      <c r="G33" s="15">
        <f>H33/F33</f>
        <v>0.85</v>
      </c>
      <c r="H33" s="16">
        <v>148</v>
      </c>
      <c r="I33" s="16">
        <f>E33*H33</f>
        <v>148</v>
      </c>
      <c r="J33" s="14"/>
    </row>
    <row r="34" s="4" customFormat="1" customHeight="1" spans="1:10">
      <c r="A34" s="12" t="s">
        <v>23</v>
      </c>
      <c r="B34" s="20">
        <f>SUM(I6:I33)</f>
        <v>1875.22</v>
      </c>
      <c r="C34" s="21"/>
      <c r="D34" s="21"/>
      <c r="E34" s="22"/>
      <c r="F34" s="21"/>
      <c r="G34" s="21"/>
      <c r="H34" s="21"/>
      <c r="I34" s="21"/>
      <c r="J34" s="25"/>
    </row>
    <row r="35" s="4" customFormat="1" customHeight="1" spans="1:10">
      <c r="A35" s="12" t="s">
        <v>24</v>
      </c>
      <c r="B35" s="23">
        <f>B34</f>
        <v>1875.22</v>
      </c>
      <c r="C35" s="24"/>
      <c r="D35" s="24"/>
      <c r="E35" s="22"/>
      <c r="F35" s="24"/>
      <c r="G35" s="24"/>
      <c r="H35" s="24"/>
      <c r="I35" s="24"/>
      <c r="J35" s="26"/>
    </row>
    <row r="36" s="4" customFormat="1" customHeight="1" spans="1:5">
      <c r="A36" s="4" t="s">
        <v>25</v>
      </c>
      <c r="E36" s="5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5" orientation="portrait" horizontalDpi="600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6" workbookViewId="0">
      <selection activeCell="E24" sqref="E24"/>
    </sheetView>
  </sheetViews>
  <sheetFormatPr defaultColWidth="11" defaultRowHeight="18" customHeight="1"/>
  <cols>
    <col min="1" max="1" width="9.25" style="4" customWidth="1"/>
    <col min="2" max="2" width="22.75" style="4" customWidth="1"/>
    <col min="3" max="3" width="11.12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5" width="11.6666666666667" style="4" customWidth="1"/>
    <col min="16326" max="16326" width="11.6666666666667" style="4"/>
    <col min="16327" max="16332" width="11" style="4"/>
    <col min="16333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45229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 t="shared" ref="F6:F24" si="0">H6/0.85</f>
        <v>3.52941176470588</v>
      </c>
      <c r="G6" s="15">
        <f t="shared" ref="G6:G24" si="1">H6/F6</f>
        <v>0.85</v>
      </c>
      <c r="H6" s="16">
        <v>3</v>
      </c>
      <c r="I6" s="16">
        <f t="shared" ref="I6:I24" si="2">E6*H6</f>
        <v>21</v>
      </c>
      <c r="J6" s="12"/>
    </row>
    <row r="7" s="4" customFormat="1" ht="16" customHeight="1" spans="1:10">
      <c r="A7" s="12">
        <v>2</v>
      </c>
      <c r="B7" s="12" t="s">
        <v>57</v>
      </c>
      <c r="C7" s="12"/>
      <c r="D7" s="13" t="s">
        <v>15</v>
      </c>
      <c r="E7" s="13">
        <v>2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7</v>
      </c>
      <c r="J7" s="12"/>
    </row>
    <row r="8" s="4" customFormat="1" ht="16" customHeight="1" spans="1:10">
      <c r="A8" s="12">
        <v>3</v>
      </c>
      <c r="B8" s="12" t="s">
        <v>58</v>
      </c>
      <c r="C8" s="12"/>
      <c r="D8" s="13" t="s">
        <v>15</v>
      </c>
      <c r="E8" s="13">
        <v>3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10.5</v>
      </c>
      <c r="J8" s="12"/>
    </row>
    <row r="9" s="4" customFormat="1" ht="16" customHeight="1" spans="1:10">
      <c r="A9" s="12">
        <v>4</v>
      </c>
      <c r="B9" s="17" t="s">
        <v>16</v>
      </c>
      <c r="C9" s="17"/>
      <c r="D9" s="13" t="s">
        <v>15</v>
      </c>
      <c r="E9" s="13">
        <v>5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17.5</v>
      </c>
      <c r="J9" s="12"/>
    </row>
    <row r="10" s="4" customFormat="1" ht="16" customHeight="1" spans="1:10">
      <c r="A10" s="12">
        <v>5</v>
      </c>
      <c r="B10" s="12" t="s">
        <v>59</v>
      </c>
      <c r="C10" s="12"/>
      <c r="D10" s="13" t="s">
        <v>15</v>
      </c>
      <c r="E10" s="13">
        <v>1</v>
      </c>
      <c r="F10" s="14">
        <f t="shared" si="0"/>
        <v>4.11764705882353</v>
      </c>
      <c r="G10" s="15">
        <f t="shared" si="1"/>
        <v>0.85</v>
      </c>
      <c r="H10" s="16">
        <v>3.5</v>
      </c>
      <c r="I10" s="16">
        <f t="shared" si="2"/>
        <v>3.5</v>
      </c>
      <c r="J10" s="12"/>
    </row>
    <row r="11" s="4" customFormat="1" ht="16" customHeight="1" spans="1:10">
      <c r="A11" s="12">
        <v>6</v>
      </c>
      <c r="B11" s="12" t="s">
        <v>125</v>
      </c>
      <c r="C11" s="12"/>
      <c r="D11" s="13" t="s">
        <v>15</v>
      </c>
      <c r="E11" s="13">
        <v>14</v>
      </c>
      <c r="F11" s="14">
        <f t="shared" si="0"/>
        <v>10</v>
      </c>
      <c r="G11" s="15">
        <f t="shared" si="1"/>
        <v>0.85</v>
      </c>
      <c r="H11" s="16">
        <v>8.5</v>
      </c>
      <c r="I11" s="16">
        <f t="shared" si="2"/>
        <v>119</v>
      </c>
      <c r="J11" s="12"/>
    </row>
    <row r="12" s="4" customFormat="1" ht="16" customHeight="1" spans="1:10">
      <c r="A12" s="12">
        <v>7</v>
      </c>
      <c r="B12" s="17" t="s">
        <v>26</v>
      </c>
      <c r="C12" s="17"/>
      <c r="D12" s="18" t="s">
        <v>15</v>
      </c>
      <c r="E12" s="18">
        <v>1.7</v>
      </c>
      <c r="F12" s="14">
        <f t="shared" si="0"/>
        <v>9.17647058823529</v>
      </c>
      <c r="G12" s="15">
        <f t="shared" si="1"/>
        <v>0.85</v>
      </c>
      <c r="H12" s="19">
        <v>7.8</v>
      </c>
      <c r="I12" s="16">
        <f t="shared" si="2"/>
        <v>13.26</v>
      </c>
      <c r="J12" s="17"/>
    </row>
    <row r="13" s="4" customFormat="1" ht="16" customHeight="1" spans="1:10">
      <c r="A13" s="12">
        <v>8</v>
      </c>
      <c r="B13" s="17" t="s">
        <v>27</v>
      </c>
      <c r="C13" s="17"/>
      <c r="D13" s="18" t="s">
        <v>28</v>
      </c>
      <c r="E13" s="18">
        <v>16</v>
      </c>
      <c r="F13" s="14">
        <f t="shared" si="0"/>
        <v>3.52941176470588</v>
      </c>
      <c r="G13" s="15">
        <f t="shared" si="1"/>
        <v>0.85</v>
      </c>
      <c r="H13" s="19">
        <v>3</v>
      </c>
      <c r="I13" s="16">
        <f t="shared" si="2"/>
        <v>48</v>
      </c>
      <c r="J13" s="17"/>
    </row>
    <row r="14" s="4" customFormat="1" ht="16" customHeight="1" spans="1:10">
      <c r="A14" s="12">
        <v>9</v>
      </c>
      <c r="B14" s="17" t="s">
        <v>162</v>
      </c>
      <c r="C14" s="17"/>
      <c r="D14" s="18" t="s">
        <v>15</v>
      </c>
      <c r="E14" s="18">
        <v>5</v>
      </c>
      <c r="F14" s="14">
        <f t="shared" si="0"/>
        <v>11.5294117647059</v>
      </c>
      <c r="G14" s="15">
        <f t="shared" si="1"/>
        <v>0.85</v>
      </c>
      <c r="H14" s="19">
        <v>9.8</v>
      </c>
      <c r="I14" s="16">
        <f t="shared" si="2"/>
        <v>49</v>
      </c>
      <c r="J14" s="17"/>
    </row>
    <row r="15" s="4" customFormat="1" ht="16" customHeight="1" spans="1:10">
      <c r="A15" s="12">
        <v>10</v>
      </c>
      <c r="B15" s="17" t="s">
        <v>29</v>
      </c>
      <c r="C15" s="17"/>
      <c r="D15" s="18" t="s">
        <v>15</v>
      </c>
      <c r="E15" s="18">
        <v>2</v>
      </c>
      <c r="F15" s="14">
        <f t="shared" si="0"/>
        <v>6.47058823529412</v>
      </c>
      <c r="G15" s="15">
        <f t="shared" si="1"/>
        <v>0.85</v>
      </c>
      <c r="H15" s="19">
        <v>5.5</v>
      </c>
      <c r="I15" s="16">
        <f t="shared" si="2"/>
        <v>11</v>
      </c>
      <c r="J15" s="17"/>
    </row>
    <row r="16" s="4" customFormat="1" ht="16" customHeight="1" spans="1:10">
      <c r="A16" s="12">
        <v>11</v>
      </c>
      <c r="B16" s="12" t="s">
        <v>18</v>
      </c>
      <c r="C16" s="12"/>
      <c r="D16" s="17" t="s">
        <v>15</v>
      </c>
      <c r="E16" s="13">
        <v>6</v>
      </c>
      <c r="F16" s="14">
        <f t="shared" si="0"/>
        <v>4.47058823529412</v>
      </c>
      <c r="G16" s="15">
        <f t="shared" si="1"/>
        <v>0.85</v>
      </c>
      <c r="H16" s="19">
        <v>3.8</v>
      </c>
      <c r="I16" s="16">
        <f t="shared" si="2"/>
        <v>22.8</v>
      </c>
      <c r="J16" s="17"/>
    </row>
    <row r="17" s="4" customFormat="1" ht="16" customHeight="1" spans="1:10">
      <c r="A17" s="12">
        <v>12</v>
      </c>
      <c r="B17" s="12" t="s">
        <v>62</v>
      </c>
      <c r="C17" s="12"/>
      <c r="D17" s="12" t="s">
        <v>15</v>
      </c>
      <c r="E17" s="13">
        <v>5</v>
      </c>
      <c r="F17" s="14">
        <f t="shared" si="0"/>
        <v>6.47058823529412</v>
      </c>
      <c r="G17" s="15">
        <f t="shared" si="1"/>
        <v>0.85</v>
      </c>
      <c r="H17" s="19">
        <v>5.5</v>
      </c>
      <c r="I17" s="16">
        <f t="shared" si="2"/>
        <v>27.5</v>
      </c>
      <c r="J17" s="12"/>
    </row>
    <row r="18" s="4" customFormat="1" ht="16" customHeight="1" spans="1:10">
      <c r="A18" s="12">
        <v>13</v>
      </c>
      <c r="B18" s="14" t="s">
        <v>152</v>
      </c>
      <c r="C18" s="14" t="s">
        <v>153</v>
      </c>
      <c r="D18" s="14" t="s">
        <v>15</v>
      </c>
      <c r="E18" s="13">
        <v>4</v>
      </c>
      <c r="F18" s="14">
        <f t="shared" si="0"/>
        <v>5.29411764705882</v>
      </c>
      <c r="G18" s="15">
        <f t="shared" si="1"/>
        <v>0.85</v>
      </c>
      <c r="H18" s="19">
        <v>4.5</v>
      </c>
      <c r="I18" s="16">
        <f t="shared" si="2"/>
        <v>18</v>
      </c>
      <c r="J18" s="12"/>
    </row>
    <row r="19" s="4" customFormat="1" customHeight="1" spans="1:10">
      <c r="A19" s="12">
        <v>14</v>
      </c>
      <c r="B19" s="14" t="s">
        <v>211</v>
      </c>
      <c r="C19" s="14"/>
      <c r="D19" s="14" t="s">
        <v>47</v>
      </c>
      <c r="E19" s="13">
        <v>7</v>
      </c>
      <c r="F19" s="14">
        <f t="shared" si="0"/>
        <v>9.41176470588235</v>
      </c>
      <c r="G19" s="15">
        <f t="shared" si="1"/>
        <v>0.85</v>
      </c>
      <c r="H19" s="19">
        <v>8</v>
      </c>
      <c r="I19" s="16">
        <f t="shared" si="2"/>
        <v>56</v>
      </c>
      <c r="J19" s="14"/>
    </row>
    <row r="20" s="4" customFormat="1" customHeight="1" spans="1:10">
      <c r="A20" s="12">
        <v>15</v>
      </c>
      <c r="B20" s="14" t="s">
        <v>212</v>
      </c>
      <c r="C20" s="14"/>
      <c r="D20" s="14" t="s">
        <v>15</v>
      </c>
      <c r="E20" s="13">
        <v>7.7</v>
      </c>
      <c r="F20" s="14">
        <f t="shared" si="0"/>
        <v>23.2941176470588</v>
      </c>
      <c r="G20" s="15">
        <f t="shared" si="1"/>
        <v>0.85</v>
      </c>
      <c r="H20" s="19">
        <v>19.8</v>
      </c>
      <c r="I20" s="16">
        <f t="shared" si="2"/>
        <v>152.46</v>
      </c>
      <c r="J20" s="14"/>
    </row>
    <row r="21" s="4" customFormat="1" customHeight="1" spans="1:10">
      <c r="A21" s="12">
        <v>16</v>
      </c>
      <c r="B21" s="14" t="s">
        <v>36</v>
      </c>
      <c r="C21" s="14"/>
      <c r="D21" s="14" t="s">
        <v>15</v>
      </c>
      <c r="E21" s="13">
        <v>5</v>
      </c>
      <c r="F21" s="14">
        <f t="shared" si="0"/>
        <v>19.7647058823529</v>
      </c>
      <c r="G21" s="15">
        <f t="shared" si="1"/>
        <v>0.85</v>
      </c>
      <c r="H21" s="19">
        <v>16.8</v>
      </c>
      <c r="I21" s="16">
        <f t="shared" si="2"/>
        <v>84</v>
      </c>
      <c r="J21" s="14"/>
    </row>
    <row r="22" s="4" customFormat="1" customHeight="1" spans="1:10">
      <c r="A22" s="12">
        <v>17</v>
      </c>
      <c r="B22" s="14" t="s">
        <v>82</v>
      </c>
      <c r="C22" s="14"/>
      <c r="D22" s="14" t="s">
        <v>15</v>
      </c>
      <c r="E22" s="13">
        <v>7</v>
      </c>
      <c r="F22" s="14">
        <f t="shared" si="0"/>
        <v>33.8823529411765</v>
      </c>
      <c r="G22" s="15">
        <f t="shared" si="1"/>
        <v>0.85</v>
      </c>
      <c r="H22" s="19">
        <v>28.8</v>
      </c>
      <c r="I22" s="16">
        <f t="shared" si="2"/>
        <v>201.6</v>
      </c>
      <c r="J22" s="14"/>
    </row>
    <row r="23" s="4" customFormat="1" customHeight="1" spans="1:10">
      <c r="A23" s="12">
        <v>18</v>
      </c>
      <c r="B23" s="14" t="s">
        <v>72</v>
      </c>
      <c r="C23" s="14"/>
      <c r="D23" s="14" t="s">
        <v>15</v>
      </c>
      <c r="E23" s="13">
        <v>3</v>
      </c>
      <c r="F23" s="14">
        <f t="shared" si="0"/>
        <v>103.529411764706</v>
      </c>
      <c r="G23" s="15">
        <f t="shared" si="1"/>
        <v>0.85</v>
      </c>
      <c r="H23" s="19">
        <v>88</v>
      </c>
      <c r="I23" s="16">
        <f t="shared" si="2"/>
        <v>264</v>
      </c>
      <c r="J23" s="14"/>
    </row>
    <row r="24" s="4" customFormat="1" customHeight="1" spans="1:10">
      <c r="A24" s="12">
        <v>19</v>
      </c>
      <c r="B24" s="14" t="s">
        <v>56</v>
      </c>
      <c r="C24" s="14"/>
      <c r="D24" s="14" t="s">
        <v>39</v>
      </c>
      <c r="E24" s="13">
        <v>60</v>
      </c>
      <c r="F24" s="14">
        <f t="shared" si="0"/>
        <v>4.11764705882353</v>
      </c>
      <c r="G24" s="15">
        <f t="shared" si="1"/>
        <v>0.85</v>
      </c>
      <c r="H24" s="19">
        <v>3.5</v>
      </c>
      <c r="I24" s="16">
        <f t="shared" si="2"/>
        <v>210</v>
      </c>
      <c r="J24" s="14"/>
    </row>
    <row r="25" s="4" customFormat="1" customHeight="1" spans="1:10">
      <c r="A25" s="12">
        <v>20</v>
      </c>
      <c r="B25" s="17"/>
      <c r="C25" s="17"/>
      <c r="D25" s="18"/>
      <c r="E25" s="18"/>
      <c r="F25" s="14"/>
      <c r="G25" s="15"/>
      <c r="H25" s="19"/>
      <c r="I25" s="16"/>
      <c r="J25" s="14"/>
    </row>
    <row r="26" s="4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4" customFormat="1" customHeight="1" spans="1:10">
      <c r="A34" s="12" t="s">
        <v>23</v>
      </c>
      <c r="B34" s="20">
        <f>SUM(I6:I33)</f>
        <v>1336.12</v>
      </c>
      <c r="C34" s="21"/>
      <c r="D34" s="21"/>
      <c r="E34" s="22"/>
      <c r="F34" s="21"/>
      <c r="G34" s="21"/>
      <c r="H34" s="21"/>
      <c r="I34" s="21"/>
      <c r="J34" s="25"/>
    </row>
    <row r="35" s="4" customFormat="1" customHeight="1" spans="1:10">
      <c r="A35" s="12" t="s">
        <v>24</v>
      </c>
      <c r="B35" s="23">
        <f>B34</f>
        <v>1336.12</v>
      </c>
      <c r="C35" s="24"/>
      <c r="D35" s="24"/>
      <c r="E35" s="22"/>
      <c r="F35" s="24"/>
      <c r="G35" s="24"/>
      <c r="H35" s="24"/>
      <c r="I35" s="24"/>
      <c r="J35" s="26"/>
    </row>
    <row r="36" s="4" customFormat="1" customHeight="1" spans="1:5">
      <c r="A36" s="4" t="s">
        <v>25</v>
      </c>
      <c r="E36" s="5"/>
    </row>
  </sheetData>
  <sortState ref="A14:I26">
    <sortCondition ref="A14"/>
  </sortState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3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6" workbookViewId="0">
      <selection activeCell="B18" sqref="B18:B19"/>
    </sheetView>
  </sheetViews>
  <sheetFormatPr defaultColWidth="11" defaultRowHeight="18" customHeight="1"/>
  <cols>
    <col min="1" max="1" width="9.25" style="4" customWidth="1"/>
    <col min="2" max="2" width="22.75" style="4" customWidth="1"/>
    <col min="3" max="3" width="11.12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5" width="11.6666666666667" style="4" customWidth="1"/>
    <col min="16326" max="16326" width="11.6666666666667" style="4"/>
    <col min="16327" max="16332" width="11" style="4"/>
    <col min="16333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45230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 t="shared" ref="F6:F24" si="0">H6/0.85</f>
        <v>3.52941176470588</v>
      </c>
      <c r="G6" s="15">
        <f t="shared" ref="G6:G24" si="1">H6/F6</f>
        <v>0.85</v>
      </c>
      <c r="H6" s="16">
        <v>3</v>
      </c>
      <c r="I6" s="16">
        <f t="shared" ref="I6:I24" si="2">E6*H6</f>
        <v>21</v>
      </c>
      <c r="J6" s="12"/>
    </row>
    <row r="7" s="4" customFormat="1" ht="16" customHeight="1" spans="1:10">
      <c r="A7" s="12">
        <v>2</v>
      </c>
      <c r="B7" s="12" t="s">
        <v>16</v>
      </c>
      <c r="C7" s="12"/>
      <c r="D7" s="13" t="s">
        <v>15</v>
      </c>
      <c r="E7" s="13">
        <v>5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17.5</v>
      </c>
      <c r="J7" s="12"/>
    </row>
    <row r="8" s="4" customFormat="1" ht="16" customHeight="1" spans="1:10">
      <c r="A8" s="12">
        <v>3</v>
      </c>
      <c r="B8" s="12" t="s">
        <v>190</v>
      </c>
      <c r="C8" s="12"/>
      <c r="D8" s="13" t="s">
        <v>15</v>
      </c>
      <c r="E8" s="13">
        <v>7</v>
      </c>
      <c r="F8" s="14">
        <f t="shared" si="0"/>
        <v>5.29411764705882</v>
      </c>
      <c r="G8" s="15">
        <f t="shared" si="1"/>
        <v>0.85</v>
      </c>
      <c r="H8" s="16">
        <v>4.5</v>
      </c>
      <c r="I8" s="16">
        <f t="shared" si="2"/>
        <v>31.5</v>
      </c>
      <c r="J8" s="12"/>
    </row>
    <row r="9" s="4" customFormat="1" ht="16" customHeight="1" spans="1:10">
      <c r="A9" s="12">
        <v>4</v>
      </c>
      <c r="B9" s="17" t="s">
        <v>50</v>
      </c>
      <c r="C9" s="17"/>
      <c r="D9" s="13" t="s">
        <v>15</v>
      </c>
      <c r="E9" s="13">
        <v>7</v>
      </c>
      <c r="F9" s="14">
        <f t="shared" si="0"/>
        <v>5.29411764705882</v>
      </c>
      <c r="G9" s="15">
        <f t="shared" si="1"/>
        <v>0.85</v>
      </c>
      <c r="H9" s="16">
        <v>4.5</v>
      </c>
      <c r="I9" s="16">
        <f t="shared" si="2"/>
        <v>31.5</v>
      </c>
      <c r="J9" s="12"/>
    </row>
    <row r="10" s="4" customFormat="1" ht="16" customHeight="1" spans="1:10">
      <c r="A10" s="12">
        <v>5</v>
      </c>
      <c r="B10" s="12" t="s">
        <v>26</v>
      </c>
      <c r="C10" s="12"/>
      <c r="D10" s="13" t="s">
        <v>15</v>
      </c>
      <c r="E10" s="13">
        <v>3</v>
      </c>
      <c r="F10" s="14">
        <f t="shared" si="0"/>
        <v>9.17647058823529</v>
      </c>
      <c r="G10" s="15">
        <f t="shared" si="1"/>
        <v>0.85</v>
      </c>
      <c r="H10" s="16">
        <v>7.8</v>
      </c>
      <c r="I10" s="16">
        <f t="shared" si="2"/>
        <v>23.4</v>
      </c>
      <c r="J10" s="12"/>
    </row>
    <row r="11" s="4" customFormat="1" ht="16" customHeight="1" spans="1:10">
      <c r="A11" s="12">
        <v>6</v>
      </c>
      <c r="B11" s="12" t="s">
        <v>29</v>
      </c>
      <c r="C11" s="12"/>
      <c r="D11" s="13" t="s">
        <v>15</v>
      </c>
      <c r="E11" s="13">
        <v>3</v>
      </c>
      <c r="F11" s="14">
        <f t="shared" si="0"/>
        <v>6.47058823529412</v>
      </c>
      <c r="G11" s="15">
        <f t="shared" si="1"/>
        <v>0.85</v>
      </c>
      <c r="H11" s="16">
        <v>5.5</v>
      </c>
      <c r="I11" s="16">
        <f t="shared" si="2"/>
        <v>16.5</v>
      </c>
      <c r="J11" s="12"/>
    </row>
    <row r="12" s="4" customFormat="1" ht="16" customHeight="1" spans="1:10">
      <c r="A12" s="12">
        <v>7</v>
      </c>
      <c r="B12" s="17" t="s">
        <v>18</v>
      </c>
      <c r="C12" s="17"/>
      <c r="D12" s="18" t="s">
        <v>15</v>
      </c>
      <c r="E12" s="18">
        <v>7</v>
      </c>
      <c r="F12" s="14">
        <f t="shared" si="0"/>
        <v>4.47058823529412</v>
      </c>
      <c r="G12" s="15">
        <f t="shared" si="1"/>
        <v>0.85</v>
      </c>
      <c r="H12" s="19">
        <v>3.8</v>
      </c>
      <c r="I12" s="16">
        <f t="shared" si="2"/>
        <v>26.6</v>
      </c>
      <c r="J12" s="17"/>
    </row>
    <row r="13" s="4" customFormat="1" ht="16" customHeight="1" spans="1:10">
      <c r="A13" s="12">
        <v>8</v>
      </c>
      <c r="B13" s="17" t="s">
        <v>30</v>
      </c>
      <c r="C13" s="17"/>
      <c r="D13" s="18" t="s">
        <v>15</v>
      </c>
      <c r="E13" s="18">
        <v>8</v>
      </c>
      <c r="F13" s="14">
        <f t="shared" si="0"/>
        <v>4.47058823529412</v>
      </c>
      <c r="G13" s="15">
        <f t="shared" si="1"/>
        <v>0.85</v>
      </c>
      <c r="H13" s="19">
        <v>3.8</v>
      </c>
      <c r="I13" s="16">
        <f t="shared" si="2"/>
        <v>30.4</v>
      </c>
      <c r="J13" s="17"/>
    </row>
    <row r="14" s="4" customFormat="1" ht="16" customHeight="1" spans="1:10">
      <c r="A14" s="12">
        <v>9</v>
      </c>
      <c r="B14" s="17" t="s">
        <v>142</v>
      </c>
      <c r="C14" s="17"/>
      <c r="D14" s="18" t="s">
        <v>15</v>
      </c>
      <c r="E14" s="18">
        <v>3</v>
      </c>
      <c r="F14" s="14">
        <f t="shared" si="0"/>
        <v>5.64705882352941</v>
      </c>
      <c r="G14" s="15">
        <f t="shared" si="1"/>
        <v>0.85</v>
      </c>
      <c r="H14" s="19">
        <v>4.8</v>
      </c>
      <c r="I14" s="16">
        <f t="shared" si="2"/>
        <v>14.4</v>
      </c>
      <c r="J14" s="17"/>
    </row>
    <row r="15" s="4" customFormat="1" ht="16" customHeight="1" spans="1:10">
      <c r="A15" s="12">
        <v>10</v>
      </c>
      <c r="B15" s="17" t="s">
        <v>90</v>
      </c>
      <c r="C15" s="17"/>
      <c r="D15" s="18" t="s">
        <v>15</v>
      </c>
      <c r="E15" s="18">
        <v>7</v>
      </c>
      <c r="F15" s="14">
        <f t="shared" si="0"/>
        <v>11.5294117647059</v>
      </c>
      <c r="G15" s="15">
        <f t="shared" si="1"/>
        <v>0.85</v>
      </c>
      <c r="H15" s="19">
        <v>9.8</v>
      </c>
      <c r="I15" s="16">
        <f t="shared" si="2"/>
        <v>68.6</v>
      </c>
      <c r="J15" s="17"/>
    </row>
    <row r="16" s="4" customFormat="1" ht="16" customHeight="1" spans="1:10">
      <c r="A16" s="12">
        <v>11</v>
      </c>
      <c r="B16" s="12" t="s">
        <v>91</v>
      </c>
      <c r="C16" s="12"/>
      <c r="D16" s="17" t="s">
        <v>15</v>
      </c>
      <c r="E16" s="13">
        <v>4</v>
      </c>
      <c r="F16" s="14">
        <f t="shared" si="0"/>
        <v>5.64705882352941</v>
      </c>
      <c r="G16" s="15">
        <f t="shared" si="1"/>
        <v>0.85</v>
      </c>
      <c r="H16" s="19">
        <v>4.8</v>
      </c>
      <c r="I16" s="16">
        <f t="shared" si="2"/>
        <v>19.2</v>
      </c>
      <c r="J16" s="17"/>
    </row>
    <row r="17" s="4" customFormat="1" ht="16" customHeight="1" spans="1:10">
      <c r="A17" s="12">
        <v>12</v>
      </c>
      <c r="B17" s="12" t="s">
        <v>31</v>
      </c>
      <c r="C17" s="12"/>
      <c r="D17" s="12" t="s">
        <v>15</v>
      </c>
      <c r="E17" s="13">
        <v>17</v>
      </c>
      <c r="F17" s="14">
        <f t="shared" si="0"/>
        <v>5.64705882352941</v>
      </c>
      <c r="G17" s="15">
        <f t="shared" si="1"/>
        <v>0.85</v>
      </c>
      <c r="H17" s="19">
        <v>4.8</v>
      </c>
      <c r="I17" s="16">
        <f t="shared" si="2"/>
        <v>81.6</v>
      </c>
      <c r="J17" s="12"/>
    </row>
    <row r="18" s="4" customFormat="1" ht="16" customHeight="1" spans="1:10">
      <c r="A18" s="12">
        <v>13</v>
      </c>
      <c r="B18" s="14" t="s">
        <v>101</v>
      </c>
      <c r="C18" s="14"/>
      <c r="D18" s="14" t="s">
        <v>15</v>
      </c>
      <c r="E18" s="13">
        <v>8</v>
      </c>
      <c r="F18" s="14">
        <f t="shared" si="0"/>
        <v>6.47058823529412</v>
      </c>
      <c r="G18" s="15">
        <f t="shared" si="1"/>
        <v>0.85</v>
      </c>
      <c r="H18" s="19">
        <v>5.5</v>
      </c>
      <c r="I18" s="16">
        <f t="shared" si="2"/>
        <v>44</v>
      </c>
      <c r="J18" s="12"/>
    </row>
    <row r="19" s="4" customFormat="1" customHeight="1" spans="1:10">
      <c r="A19" s="12">
        <v>14</v>
      </c>
      <c r="B19" s="14" t="s">
        <v>67</v>
      </c>
      <c r="C19" s="14"/>
      <c r="D19" s="14" t="s">
        <v>15</v>
      </c>
      <c r="E19" s="13">
        <v>5</v>
      </c>
      <c r="F19" s="14">
        <f t="shared" si="0"/>
        <v>21.7647058823529</v>
      </c>
      <c r="G19" s="15">
        <f t="shared" si="1"/>
        <v>0.85</v>
      </c>
      <c r="H19" s="19">
        <v>18.5</v>
      </c>
      <c r="I19" s="16">
        <f t="shared" si="2"/>
        <v>92.5</v>
      </c>
      <c r="J19" s="14"/>
    </row>
    <row r="20" s="4" customFormat="1" customHeight="1" spans="1:10">
      <c r="A20" s="12">
        <v>15</v>
      </c>
      <c r="B20" s="14" t="s">
        <v>56</v>
      </c>
      <c r="C20" s="14"/>
      <c r="D20" s="14" t="s">
        <v>39</v>
      </c>
      <c r="E20" s="13">
        <v>50</v>
      </c>
      <c r="F20" s="14">
        <f t="shared" si="0"/>
        <v>4.11764705882353</v>
      </c>
      <c r="G20" s="15">
        <f t="shared" si="1"/>
        <v>0.85</v>
      </c>
      <c r="H20" s="19">
        <v>3.5</v>
      </c>
      <c r="I20" s="16">
        <f t="shared" si="2"/>
        <v>175</v>
      </c>
      <c r="J20" s="14"/>
    </row>
    <row r="21" s="4" customFormat="1" customHeight="1" spans="1:10">
      <c r="A21" s="12">
        <v>17</v>
      </c>
      <c r="B21" s="14"/>
      <c r="C21" s="14"/>
      <c r="D21" s="14"/>
      <c r="E21" s="13"/>
      <c r="F21" s="14"/>
      <c r="G21" s="15"/>
      <c r="H21" s="19"/>
      <c r="I21" s="16"/>
      <c r="J21" s="14"/>
    </row>
    <row r="22" s="4" customFormat="1" customHeight="1" spans="1:10">
      <c r="A22" s="12">
        <v>18</v>
      </c>
      <c r="B22" s="14"/>
      <c r="C22" s="14"/>
      <c r="D22" s="14"/>
      <c r="E22" s="13"/>
      <c r="F22" s="14"/>
      <c r="G22" s="15"/>
      <c r="H22" s="19"/>
      <c r="I22" s="16"/>
      <c r="J22" s="14"/>
    </row>
    <row r="23" s="4" customFormat="1" customHeight="1" spans="1:10">
      <c r="A23" s="12">
        <v>19</v>
      </c>
      <c r="B23" s="14"/>
      <c r="C23" s="14"/>
      <c r="D23" s="14"/>
      <c r="E23" s="13"/>
      <c r="F23" s="14"/>
      <c r="G23" s="15"/>
      <c r="H23" s="19"/>
      <c r="I23" s="16"/>
      <c r="J23" s="14"/>
    </row>
    <row r="24" s="4" customFormat="1" customHeight="1" spans="1:10">
      <c r="A24" s="12">
        <v>20</v>
      </c>
      <c r="B24" s="17"/>
      <c r="C24" s="17"/>
      <c r="D24" s="18"/>
      <c r="E24" s="18"/>
      <c r="F24" s="14"/>
      <c r="G24" s="15"/>
      <c r="H24" s="19"/>
      <c r="I24" s="16"/>
      <c r="J24" s="14"/>
    </row>
    <row r="25" s="4" customFormat="1" customHeight="1" spans="1:10">
      <c r="A25" s="12">
        <v>21</v>
      </c>
      <c r="B25" s="14"/>
      <c r="C25" s="14"/>
      <c r="D25" s="14"/>
      <c r="E25" s="13"/>
      <c r="F25" s="14"/>
      <c r="G25" s="15"/>
      <c r="H25" s="19"/>
      <c r="I25" s="16"/>
      <c r="J25" s="14"/>
    </row>
    <row r="26" s="4" customFormat="1" customHeight="1" spans="1:10">
      <c r="A26" s="12">
        <v>22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23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24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25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26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27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28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 t="s">
        <v>23</v>
      </c>
      <c r="B33" s="20">
        <f>SUM(I6:I32)</f>
        <v>693.7</v>
      </c>
      <c r="C33" s="21"/>
      <c r="D33" s="21"/>
      <c r="E33" s="22"/>
      <c r="F33" s="21"/>
      <c r="G33" s="21"/>
      <c r="H33" s="21"/>
      <c r="I33" s="21"/>
      <c r="J33" s="25"/>
    </row>
    <row r="34" s="4" customFormat="1" customHeight="1" spans="1:10">
      <c r="A34" s="12" t="s">
        <v>24</v>
      </c>
      <c r="B34" s="23">
        <f>B33</f>
        <v>693.7</v>
      </c>
      <c r="C34" s="24"/>
      <c r="D34" s="24"/>
      <c r="E34" s="22"/>
      <c r="F34" s="24"/>
      <c r="G34" s="24"/>
      <c r="H34" s="24"/>
      <c r="I34" s="24"/>
      <c r="J34" s="26"/>
    </row>
    <row r="35" s="4" customFormat="1" customHeight="1" spans="1:5">
      <c r="A35" s="4" t="s">
        <v>25</v>
      </c>
      <c r="E35" s="5"/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3" orientation="portrait" horizontalDpi="600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tabSelected="1" topLeftCell="A17" workbookViewId="0">
      <selection activeCell="P15" sqref="P15"/>
    </sheetView>
  </sheetViews>
  <sheetFormatPr defaultColWidth="9" defaultRowHeight="13.5" outlineLevelCol="1"/>
  <cols>
    <col min="1" max="1" width="11.5"/>
    <col min="2" max="2" width="10.375"/>
  </cols>
  <sheetData>
    <row r="1" spans="1:1">
      <c r="A1" t="s">
        <v>213</v>
      </c>
    </row>
    <row r="2" spans="1:2">
      <c r="A2" s="1" t="s">
        <v>214</v>
      </c>
      <c r="B2" s="1" t="s">
        <v>215</v>
      </c>
    </row>
    <row r="3" spans="1:2">
      <c r="A3" s="2">
        <v>45200</v>
      </c>
      <c r="B3" s="3">
        <v>0</v>
      </c>
    </row>
    <row r="4" spans="1:2">
      <c r="A4" s="2">
        <v>45201</v>
      </c>
      <c r="B4" s="3">
        <f>'2'!B33</f>
        <v>209.8</v>
      </c>
    </row>
    <row r="5" spans="1:2">
      <c r="A5" s="2">
        <v>45202</v>
      </c>
      <c r="B5" s="3">
        <f>'3'!B32</f>
        <v>525</v>
      </c>
    </row>
    <row r="6" spans="1:2">
      <c r="A6" s="2">
        <v>45203</v>
      </c>
      <c r="B6" s="3">
        <v>0</v>
      </c>
    </row>
    <row r="7" spans="1:2">
      <c r="A7" s="2">
        <v>45204</v>
      </c>
      <c r="B7" s="3">
        <f>'5'!B33</f>
        <v>431.4</v>
      </c>
    </row>
    <row r="8" spans="1:2">
      <c r="A8" s="2">
        <v>45205</v>
      </c>
      <c r="B8" s="3">
        <f>'6'!B33</f>
        <v>329.65</v>
      </c>
    </row>
    <row r="9" spans="1:2">
      <c r="A9" s="2">
        <v>45206</v>
      </c>
      <c r="B9" s="3">
        <f>'7'!B34</f>
        <v>2192.5</v>
      </c>
    </row>
    <row r="10" spans="1:2">
      <c r="A10" s="2">
        <v>45207</v>
      </c>
      <c r="B10" s="3">
        <f>'8'!B31</f>
        <v>893.9</v>
      </c>
    </row>
    <row r="11" spans="1:2">
      <c r="A11" s="2">
        <v>45208</v>
      </c>
      <c r="B11" s="3">
        <f>'9'!B32</f>
        <v>836.86</v>
      </c>
    </row>
    <row r="12" spans="1:2">
      <c r="A12" s="2">
        <v>45209</v>
      </c>
      <c r="B12" s="3">
        <f>'10'!B34</f>
        <v>1336</v>
      </c>
    </row>
    <row r="13" spans="1:2">
      <c r="A13" s="2">
        <v>45210</v>
      </c>
      <c r="B13" s="3">
        <f>'11'!B31</f>
        <v>1316.5</v>
      </c>
    </row>
    <row r="14" spans="1:2">
      <c r="A14" s="2">
        <v>45211</v>
      </c>
      <c r="B14" s="3">
        <f>'12'!B34</f>
        <v>2688.652</v>
      </c>
    </row>
    <row r="15" spans="1:2">
      <c r="A15" s="2">
        <v>45212</v>
      </c>
      <c r="B15" s="3">
        <f>'13'!B33</f>
        <v>1670.7</v>
      </c>
    </row>
    <row r="16" spans="1:2">
      <c r="A16" s="2">
        <v>45213</v>
      </c>
      <c r="B16" s="3">
        <f>'14'!B33</f>
        <v>326.24</v>
      </c>
    </row>
    <row r="17" spans="1:2">
      <c r="A17" s="2">
        <v>45214</v>
      </c>
      <c r="B17" s="3">
        <f>'15'!B34</f>
        <v>452.13</v>
      </c>
    </row>
    <row r="18" spans="1:2">
      <c r="A18" s="2">
        <v>45215</v>
      </c>
      <c r="B18" s="3">
        <f>'16'!B36</f>
        <v>2024.99</v>
      </c>
    </row>
    <row r="19" spans="1:2">
      <c r="A19" s="2">
        <v>45216</v>
      </c>
      <c r="B19" s="3">
        <f>'17'!B34</f>
        <v>1106.4</v>
      </c>
    </row>
    <row r="20" spans="1:2">
      <c r="A20" s="2">
        <v>45217</v>
      </c>
      <c r="B20" s="3">
        <f>'18'!B42</f>
        <v>2674.65</v>
      </c>
    </row>
    <row r="21" spans="1:2">
      <c r="A21" s="2">
        <v>45218</v>
      </c>
      <c r="B21" s="3">
        <f>'19'!B33</f>
        <v>1772</v>
      </c>
    </row>
    <row r="22" spans="1:2">
      <c r="A22" s="2">
        <v>45219</v>
      </c>
      <c r="B22" s="3">
        <f>'20.'!B33</f>
        <v>1583.8</v>
      </c>
    </row>
    <row r="23" spans="1:2">
      <c r="A23" s="2">
        <v>45220</v>
      </c>
      <c r="B23" s="3">
        <f>'21.'!B33</f>
        <v>761.8</v>
      </c>
    </row>
    <row r="24" spans="1:2">
      <c r="A24" s="2">
        <v>45221</v>
      </c>
      <c r="B24" s="3">
        <f>'22'!B31</f>
        <v>183.22</v>
      </c>
    </row>
    <row r="25" spans="1:2">
      <c r="A25" s="2">
        <v>45222</v>
      </c>
      <c r="B25" s="3">
        <f>'23'!B35</f>
        <v>2086.3</v>
      </c>
    </row>
    <row r="26" spans="1:2">
      <c r="A26" s="2">
        <v>45223</v>
      </c>
      <c r="B26" s="3">
        <f>'24'!B34</f>
        <v>2038.56</v>
      </c>
    </row>
    <row r="27" spans="1:2">
      <c r="A27" s="2">
        <v>45224</v>
      </c>
      <c r="B27" s="3">
        <f>'25'!B34</f>
        <v>1484</v>
      </c>
    </row>
    <row r="28" spans="1:2">
      <c r="A28" s="2">
        <v>45225</v>
      </c>
      <c r="B28" s="3">
        <f>'26'!B34</f>
        <v>1370.33</v>
      </c>
    </row>
    <row r="29" spans="1:2">
      <c r="A29" s="2">
        <v>45226</v>
      </c>
      <c r="B29" s="3">
        <f>'27'!B34</f>
        <v>1875.22</v>
      </c>
    </row>
    <row r="30" spans="1:2">
      <c r="A30" s="2">
        <v>45227</v>
      </c>
      <c r="B30" s="3">
        <v>0</v>
      </c>
    </row>
    <row r="31" spans="1:2">
      <c r="A31" s="2">
        <v>45228</v>
      </c>
      <c r="B31" s="3">
        <v>0</v>
      </c>
    </row>
    <row r="32" spans="1:2">
      <c r="A32" s="2">
        <v>45229</v>
      </c>
      <c r="B32" s="3">
        <f>'30'!B34</f>
        <v>1336.12</v>
      </c>
    </row>
    <row r="33" spans="1:2">
      <c r="A33" s="2">
        <v>45230</v>
      </c>
      <c r="B33" s="3">
        <f>'31'!B33</f>
        <v>693.7</v>
      </c>
    </row>
    <row r="34" spans="1:2">
      <c r="A34" t="s">
        <v>216</v>
      </c>
      <c r="B34" s="3">
        <f>SUM(B3:B33)</f>
        <v>34200.422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2</vt:lpstr>
      <vt:lpstr>3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20.</vt:lpstr>
      <vt:lpstr>21.</vt:lpstr>
      <vt:lpstr>22</vt:lpstr>
      <vt:lpstr>23</vt:lpstr>
      <vt:lpstr>24</vt:lpstr>
      <vt:lpstr>25</vt:lpstr>
      <vt:lpstr>26</vt:lpstr>
      <vt:lpstr>27</vt:lpstr>
      <vt:lpstr>30</vt:lpstr>
      <vt:lpstr>31</vt:lpstr>
      <vt:lpstr>10月合计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罗小丽</cp:lastModifiedBy>
  <dcterms:created xsi:type="dcterms:W3CDTF">2023-07-03T11:11:00Z</dcterms:created>
  <dcterms:modified xsi:type="dcterms:W3CDTF">2025-02-15T02:55:17Z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0E1C7AE3AB9D456B9C34B9011364F17E_11</vt:lpwstr>
  </property>
  <property fmtid="{D5CDD505-2E9C-101B-9397-08002B2CF9AE}" pid="3" name="KSOProductBuildVer">
    <vt:lpwstr>2052-12.1.0.19770</vt:lpwstr>
  </property>
</Properties>
</file>