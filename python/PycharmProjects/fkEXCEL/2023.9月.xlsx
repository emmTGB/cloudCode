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864" activeTab="24"/>
  </bookViews>
  <sheets>
    <sheet name="1" sheetId="1" r:id="rId1"/>
    <sheet name="2" sheetId="6" r:id="rId2"/>
    <sheet name="4." sheetId="31" r:id="rId3"/>
    <sheet name="5" sheetId="10" r:id="rId4"/>
    <sheet name="6" sheetId="11" r:id="rId5"/>
    <sheet name="7" sheetId="12" r:id="rId6"/>
    <sheet name="8" sheetId="13" r:id="rId7"/>
    <sheet name="9" sheetId="32" r:id="rId8"/>
    <sheet name="11" sheetId="15" r:id="rId9"/>
    <sheet name="12" sheetId="16" r:id="rId10"/>
    <sheet name="13" sheetId="17" r:id="rId11"/>
    <sheet name="14" sheetId="18" r:id="rId12"/>
    <sheet name="15" sheetId="19" r:id="rId13"/>
    <sheet name="18" sheetId="21" r:id="rId14"/>
    <sheet name="19" sheetId="23" r:id="rId15"/>
    <sheet name="20." sheetId="24" r:id="rId16"/>
    <sheet name="21." sheetId="22" r:id="rId17"/>
    <sheet name="22" sheetId="34" r:id="rId18"/>
    <sheet name="23" sheetId="35" r:id="rId19"/>
    <sheet name="24" sheetId="25" r:id="rId20"/>
    <sheet name="25" sheetId="26" r:id="rId21"/>
    <sheet name="27" sheetId="28" r:id="rId22"/>
    <sheet name="26" sheetId="27" r:id="rId23"/>
    <sheet name="28" sheetId="29" r:id="rId24"/>
    <sheet name="9月合计" sheetId="7" r:id="rId25"/>
  </sheets>
  <definedNames>
    <definedName name="_xlnm.Print_Area" localSheetId="0">'1'!$A$1:$J$36</definedName>
    <definedName name="_xlnm.Print_Area" localSheetId="1">'2'!$A$1:$J$35</definedName>
    <definedName name="_xlnm.Print_Area" localSheetId="3">'5'!$A$1:$J$33</definedName>
    <definedName name="_xlnm.Print_Area" localSheetId="4">'6'!$A$1:$J$33</definedName>
    <definedName name="_xlnm.Print_Area" localSheetId="5">'7'!$A$1:$J$35</definedName>
    <definedName name="_xlnm.Print_Area" localSheetId="6">'8'!$A$1:$J$35</definedName>
    <definedName name="_xlnm.Print_Area" localSheetId="8">'11'!$A$1:$J$36</definedName>
    <definedName name="_xlnm.Print_Area" localSheetId="9">'12'!$A$1:$J$34</definedName>
    <definedName name="_xlnm.Print_Area" localSheetId="10">'13'!$A$1:$J$34</definedName>
    <definedName name="_xlnm.Print_Area" localSheetId="11">'14'!$A$1:$J$34</definedName>
    <definedName name="_xlnm.Print_Area" localSheetId="12">'15'!$A$1:$J$34</definedName>
    <definedName name="_xlnm.Print_Area" localSheetId="13">'18'!$A$1:$J$33</definedName>
    <definedName name="_xlnm.Print_Area" localSheetId="16">'21.'!$A$1:$J$33</definedName>
    <definedName name="_xlnm.Print_Area" localSheetId="14">'19'!$A$1:$J$35</definedName>
    <definedName name="_xlnm.Print_Area" localSheetId="15">'20.'!$A$1:$J$35</definedName>
    <definedName name="_xlnm.Print_Area" localSheetId="19">'24'!$A$1:$J$36</definedName>
    <definedName name="_xlnm.Print_Area" localSheetId="20">'25'!$A$1:$J$35</definedName>
    <definedName name="_xlnm.Print_Area" localSheetId="22">'26'!$A$1:$J$36</definedName>
    <definedName name="_xlnm.Print_Area" localSheetId="21">'27'!$A$1:$J$34</definedName>
    <definedName name="_xlnm.Print_Area" localSheetId="23">'28'!$A$1:$J$36</definedName>
    <definedName name="_xlnm.Print_Area" localSheetId="2">'4.'!$A$1:$J$31</definedName>
    <definedName name="_xlnm.Print_Area" localSheetId="7">'9'!$A$1:$J$35</definedName>
    <definedName name="_xlnm.Print_Area" localSheetId="17">'22'!$A$1:$J$32</definedName>
    <definedName name="_xlnm.Print_Area" localSheetId="18">'23'!$A$1:$J$32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<sst xmlns="http://schemas.openxmlformats.org/spreadsheetml/2006/main" count="1402" uniqueCount="222">
  <si>
    <t>武汉康恩农贸发展有限公司送货单</t>
  </si>
  <si>
    <t>收货单位：汉南数智化检测分公司</t>
  </si>
  <si>
    <t>配送日期：2023-9-1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</si>
  <si>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</si>
  <si>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</si>
  <si>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</si>
  <si>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</si>
  <si>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</si>
  <si>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</si>
  <si>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</si>
  <si>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</si>
  <si>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</si>
  <si>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</si>
  <si>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</si>
  <si>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</si>
  <si>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热干面（熟）</t>
  </si>
  <si>
    <t>绿豆芽</t>
  </si>
  <si>
    <t>白萝卜</t>
  </si>
  <si>
    <t>红椒</t>
  </si>
  <si>
    <t>青椒</t>
  </si>
  <si>
    <t>甜玉米棒</t>
  </si>
  <si>
    <t>个</t>
  </si>
  <si>
    <t>黄瓜</t>
  </si>
  <si>
    <t>青丝瓜</t>
  </si>
  <si>
    <t>韭菜</t>
  </si>
  <si>
    <t>【鲜】五花肉沫</t>
  </si>
  <si>
    <t>【鲜】猪脊骨</t>
  </si>
  <si>
    <t>【鲜】猪瘦肉片</t>
  </si>
  <si>
    <t>【鲜】净大草鱼</t>
  </si>
  <si>
    <t>【冻】思念白糯小汤圆（无馅）</t>
  </si>
  <si>
    <t>500g*20包/件</t>
  </si>
  <si>
    <t>袋</t>
  </si>
  <si>
    <t>干黑木耳</t>
  </si>
  <si>
    <t>干辣椒节</t>
  </si>
  <si>
    <t>孝感米酒900g</t>
  </si>
  <si>
    <t>900g*6瓶/件</t>
  </si>
  <si>
    <t>瓶</t>
  </si>
  <si>
    <t>蒸肉白米粉(细）</t>
  </si>
  <si>
    <t>散称</t>
  </si>
  <si>
    <t>宣乐红丁</t>
  </si>
  <si>
    <t>13斤/件</t>
  </si>
  <si>
    <t>件</t>
  </si>
  <si>
    <t>米美佳东北香米15kg/袋</t>
  </si>
  <si>
    <t>15kg/袋</t>
  </si>
  <si>
    <t>光明健能酸奶180g</t>
  </si>
  <si>
    <t>180g</t>
  </si>
  <si>
    <t>杯</t>
  </si>
  <si>
    <t>合计:</t>
  </si>
  <si>
    <t>金额大写：</t>
  </si>
  <si>
    <t>制表人 ：樊君丽                 收货人：                送货人：</t>
  </si>
  <si>
    <t>收货单位：</t>
  </si>
  <si>
    <t>汉南数智化检测分公司</t>
  </si>
  <si>
    <t>配送日期：</t>
  </si>
  <si>
    <t>西红柿</t>
  </si>
  <si>
    <t>油麦菜</t>
  </si>
  <si>
    <t>供货合计:</t>
  </si>
  <si>
    <t>干细粉</t>
  </si>
  <si>
    <t>大葱</t>
  </si>
  <si>
    <t>大土豆</t>
  </si>
  <si>
    <t>铁棍山药</t>
  </si>
  <si>
    <t>芜湖青椒</t>
  </si>
  <si>
    <t>生菜</t>
  </si>
  <si>
    <t>细土芹</t>
  </si>
  <si>
    <t>红壳鸡蛋</t>
  </si>
  <si>
    <t>12板/件</t>
  </si>
  <si>
    <t>【鲜】净三黄鸡</t>
  </si>
  <si>
    <t>小葱</t>
  </si>
  <si>
    <t>老南瓜</t>
  </si>
  <si>
    <t>厚干子</t>
  </si>
  <si>
    <t>熟鹌鹑蛋</t>
  </si>
  <si>
    <t>【鲜】精品五花</t>
  </si>
  <si>
    <t>【鲜】猪瘦肉丝</t>
  </si>
  <si>
    <t>奥利客烘焙调理奶油</t>
  </si>
  <si>
    <t>907g/12瓶/件</t>
  </si>
  <si>
    <t>鑫石羊郫县豆瓣酱1kg</t>
  </si>
  <si>
    <t>1kg*8桶/件</t>
  </si>
  <si>
    <t>桶</t>
  </si>
  <si>
    <t>云鹤精制碘盐</t>
  </si>
  <si>
    <t>500g*50袋/件</t>
  </si>
  <si>
    <t>刀豆</t>
  </si>
  <si>
    <t>金针菇</t>
  </si>
  <si>
    <t>平菇</t>
  </si>
  <si>
    <t>大白菜</t>
  </si>
  <si>
    <t>鸡边腿剁块</t>
  </si>
  <si>
    <t>【鲜】猪五花肉片</t>
  </si>
  <si>
    <t>海天精制蚝油6kg</t>
  </si>
  <si>
    <t>6kg*2桶</t>
  </si>
  <si>
    <t>五仁酱丁</t>
  </si>
  <si>
    <t>9斤/件</t>
  </si>
  <si>
    <t>永超榨菜</t>
  </si>
  <si>
    <t>8斤</t>
  </si>
  <si>
    <t>原味酸豆角（切好的）</t>
  </si>
  <si>
    <t>8斤/件</t>
  </si>
  <si>
    <t>合鑫泰东北珍珠香米</t>
  </si>
  <si>
    <t>25kg/包</t>
  </si>
  <si>
    <t>青豆角</t>
  </si>
  <si>
    <t>大红薯</t>
  </si>
  <si>
    <t>大藕</t>
  </si>
  <si>
    <t>紫长茄子（细长）</t>
  </si>
  <si>
    <t>冬瓜</t>
  </si>
  <si>
    <t>平包菜</t>
  </si>
  <si>
    <t>娃娃菜</t>
  </si>
  <si>
    <t>散装</t>
  </si>
  <si>
    <t>嫩豆腐</t>
  </si>
  <si>
    <t>【鲜】净胖头鱼头</t>
  </si>
  <si>
    <t>白砂糖</t>
  </si>
  <si>
    <t>光明畅优酸奶（原味）</t>
  </si>
  <si>
    <t>大圆皮</t>
  </si>
  <si>
    <t>饺子皮</t>
  </si>
  <si>
    <t>红皮洋葱</t>
  </si>
  <si>
    <t>生姜</t>
  </si>
  <si>
    <t>新鲜毛豆米</t>
  </si>
  <si>
    <t>胡萝卜</t>
  </si>
  <si>
    <t>净莴苣</t>
  </si>
  <si>
    <t>80苹果</t>
  </si>
  <si>
    <t>香蕉</t>
  </si>
  <si>
    <t>惠万家烟鸭胸</t>
  </si>
  <si>
    <t>5公斤/件/（32个）</t>
  </si>
  <si>
    <t>鱿鱼须</t>
  </si>
  <si>
    <t>350g*10袋</t>
  </si>
  <si>
    <t>大桥鸡精900g</t>
  </si>
  <si>
    <t>900g*10袋/件</t>
  </si>
  <si>
    <t>毛豆(剪好)</t>
  </si>
  <si>
    <t>鲜香菇</t>
  </si>
  <si>
    <t>清水笋丝</t>
  </si>
  <si>
    <t>2.5kg*6包/件</t>
  </si>
  <si>
    <t>包</t>
  </si>
  <si>
    <t>韭菜花</t>
  </si>
  <si>
    <t>橙子</t>
  </si>
  <si>
    <t>【鲜】猪通排骨</t>
  </si>
  <si>
    <t>干红枣片</t>
  </si>
  <si>
    <t>果珍风味固体饮料</t>
  </si>
  <si>
    <t>水发海带头</t>
  </si>
  <si>
    <t>18斤/件</t>
  </si>
  <si>
    <t>卤牛肉</t>
  </si>
  <si>
    <t>陈克明高筋细圆挂面</t>
  </si>
  <si>
    <t>1000g*15筒/件</t>
  </si>
  <si>
    <t>筒</t>
  </si>
  <si>
    <t>干黄豆</t>
  </si>
  <si>
    <t>50斤/件</t>
  </si>
  <si>
    <t>金龙鱼玉米油</t>
  </si>
  <si>
    <t>5L*4壶/件</t>
  </si>
  <si>
    <t>正和珍珠糯米</t>
  </si>
  <si>
    <t>50斤/袋</t>
  </si>
  <si>
    <t>烧麦皮</t>
  </si>
  <si>
    <t>有机花菜</t>
  </si>
  <si>
    <t>小白菜</t>
  </si>
  <si>
    <t>黄桃</t>
  </si>
  <si>
    <t>薄干子</t>
  </si>
  <si>
    <t>烤鸭</t>
  </si>
  <si>
    <t>只</t>
  </si>
  <si>
    <t>生面窝浆</t>
  </si>
  <si>
    <t>杏鲍菇</t>
  </si>
  <si>
    <t>鑫石羊红油豆瓣酱6kg</t>
  </si>
  <si>
    <t>6kg/桶</t>
  </si>
  <si>
    <t>1911老酸奶</t>
  </si>
  <si>
    <t>菱角米（去壳）</t>
  </si>
  <si>
    <t>嫩藕</t>
  </si>
  <si>
    <t>净芋头</t>
  </si>
  <si>
    <t>（去皮，小）</t>
  </si>
  <si>
    <t>海天草菇老抽1.9L</t>
  </si>
  <si>
    <t>1.9L*6壶/件</t>
  </si>
  <si>
    <t>手撕鸡</t>
  </si>
  <si>
    <t>【鲜】猪血</t>
  </si>
  <si>
    <t>千叶豆腐</t>
  </si>
  <si>
    <t>400g*30袋/件</t>
  </si>
  <si>
    <t>干豆角</t>
  </si>
  <si>
    <t>雀巢怡运奶粉</t>
  </si>
  <si>
    <t>300g*12袋</t>
  </si>
  <si>
    <t>新鲜甜青豆米</t>
  </si>
  <si>
    <t>南非橙</t>
  </si>
  <si>
    <t>凤球唛番茄沙司</t>
  </si>
  <si>
    <t>1kg*12罐/件</t>
  </si>
  <si>
    <t>罐</t>
  </si>
  <si>
    <t>火腿肠</t>
  </si>
  <si>
    <t>绿豆</t>
  </si>
  <si>
    <t>25kg/件</t>
  </si>
  <si>
    <t>嘎啦果</t>
  </si>
  <si>
    <t>厨师乐加鲜味精</t>
  </si>
  <si>
    <t>2.27kg*10袋/件</t>
  </si>
  <si>
    <t>银耳</t>
  </si>
  <si>
    <t>卤牛肚</t>
  </si>
  <si>
    <t>黄豆芽</t>
  </si>
  <si>
    <t>萝卜菜</t>
  </si>
  <si>
    <t>云南蜜桔</t>
  </si>
  <si>
    <t>薄千张</t>
  </si>
  <si>
    <t>青杭椒</t>
  </si>
  <si>
    <t>太合鸡脯肉</t>
  </si>
  <si>
    <t>9.8kg/件</t>
  </si>
  <si>
    <t>鑫海贸紫菜50g</t>
  </si>
  <si>
    <t>50g*48包</t>
  </si>
  <si>
    <t>蒜米</t>
  </si>
  <si>
    <t>芝麻酱</t>
  </si>
  <si>
    <t>馄饨皮</t>
  </si>
  <si>
    <t>熟汤面</t>
  </si>
  <si>
    <t>蒜苗</t>
  </si>
  <si>
    <t>水果黄瓜</t>
  </si>
  <si>
    <t>【鲜】净黄骨鱼</t>
  </si>
  <si>
    <t>风味豆豉</t>
  </si>
  <si>
    <t>1kg*3袋</t>
  </si>
  <si>
    <t>空心菜</t>
  </si>
  <si>
    <t>海天金标生抽1.9L</t>
  </si>
  <si>
    <t>箱</t>
  </si>
  <si>
    <t>劲宝超级生粉</t>
  </si>
  <si>
    <t>5kg</t>
  </si>
  <si>
    <t>文武酱菜外婆菜</t>
  </si>
  <si>
    <t>208g*40包/件</t>
  </si>
  <si>
    <t>松泉青虾仁</t>
  </si>
  <si>
    <t>650g/袋*8</t>
  </si>
  <si>
    <t>安琪酵母</t>
  </si>
  <si>
    <t>500g*20袋/件</t>
  </si>
  <si>
    <t>三象水磨籼米粉</t>
  </si>
  <si>
    <t>五得利六星面粉</t>
  </si>
  <si>
    <t>25kg/袋</t>
  </si>
  <si>
    <t>西兰花</t>
  </si>
  <si>
    <t>【鲜】净麻鸭</t>
  </si>
  <si>
    <t>无核红枣（小）</t>
  </si>
  <si>
    <t>39号食堂</t>
  </si>
  <si>
    <t>日期</t>
  </si>
  <si>
    <t>单1</t>
  </si>
  <si>
    <t>单2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</si>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</sst>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opLeftCell="A5" workbookViewId="0">
      <selection activeCell="E19" sqref="E19"/>
    </sheetView>
  </sheetViews>
  <sheetFormatPr defaultColWidth="11" defaultRowHeight="18" customHeight="1"/>
  <cols>
    <col min="1" max="1" width="8" style="3" customWidth="1"/>
    <col min="2" max="2" width="16.125" style="3" customWidth="1"/>
    <col min="3" max="3" width="13" style="3" customWidth="1"/>
    <col min="4" max="4" width="4.875" style="3" customWidth="1"/>
    <col min="5" max="5" width="5.5" style="3" customWidth="1"/>
    <col min="6" max="6" width="9.075" style="3" customWidth="1"/>
    <col min="7" max="7" width="7.125" style="3" customWidth="1"/>
    <col min="8" max="8" width="7.375" style="3" customWidth="1"/>
    <col min="9" max="9" width="8.625" style="3" customWidth="1"/>
    <col min="10" max="10" width="7" style="3" customWidth="1"/>
    <col min="11" max="16323" width="11.6666666666667" style="3" customWidth="1"/>
    <col min="16324" max="16324" width="11.6666666666667" style="3"/>
    <col min="16325" max="16330" width="11" style="3"/>
    <col min="1633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9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1">
      <c r="A3" s="3" t="s">
        <v>1</v>
      </c>
    </row>
    <row r="4" s="3" customFormat="1" customHeight="1" spans="1:10">
      <c r="A4" s="3" t="s">
        <v>2</v>
      </c>
      <c r="B4" s="8"/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15" si="0">H6/0.85</f>
        <v>3.52941176470588</v>
      </c>
      <c r="G6" s="14">
        <f t="shared" ref="G6:G15" si="1"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ref="I6:I27" si="2">E7*H7</f>
        <v>17.5</v>
      </c>
      <c r="J7" s="11"/>
    </row>
    <row r="8" s="3" customFormat="1" ht="16" customHeight="1" spans="1:10">
      <c r="A8" s="11">
        <v>3</v>
      </c>
      <c r="B8" s="11" t="s">
        <v>16</v>
      </c>
      <c r="C8" s="11"/>
      <c r="D8" s="12" t="s">
        <v>14</v>
      </c>
      <c r="E8" s="12">
        <v>12</v>
      </c>
      <c r="F8" s="13">
        <f t="shared" si="0"/>
        <v>2.94117647058824</v>
      </c>
      <c r="G8" s="14">
        <f t="shared" si="1"/>
        <v>0.85</v>
      </c>
      <c r="H8" s="15">
        <v>2.5</v>
      </c>
      <c r="I8" s="15">
        <f t="shared" si="2"/>
        <v>30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14</v>
      </c>
      <c r="E9" s="12">
        <v>4.7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9.4</v>
      </c>
      <c r="J9" s="11"/>
    </row>
    <row r="10" s="3" customFormat="1" ht="16" customHeight="1" spans="1:10">
      <c r="A10" s="11">
        <v>5</v>
      </c>
      <c r="B10" s="16" t="s">
        <v>18</v>
      </c>
      <c r="C10" s="16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19</v>
      </c>
      <c r="C11" s="11"/>
      <c r="D11" s="12" t="s">
        <v>14</v>
      </c>
      <c r="E11" s="12">
        <v>22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77</v>
      </c>
      <c r="J11" s="11"/>
    </row>
    <row r="12" s="3" customFormat="1" ht="16" customHeight="1" spans="1:10">
      <c r="A12" s="11">
        <v>7</v>
      </c>
      <c r="B12" s="11" t="s">
        <v>20</v>
      </c>
      <c r="C12" s="11"/>
      <c r="D12" s="12" t="s">
        <v>21</v>
      </c>
      <c r="E12" s="12">
        <v>7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21</v>
      </c>
      <c r="J12" s="11"/>
    </row>
    <row r="13" s="3" customFormat="1" ht="16" customHeight="1" spans="1:10">
      <c r="A13" s="11">
        <v>8</v>
      </c>
      <c r="B13" s="11" t="s">
        <v>22</v>
      </c>
      <c r="C13" s="11"/>
      <c r="D13" s="12" t="s">
        <v>14</v>
      </c>
      <c r="E13" s="12">
        <v>4</v>
      </c>
      <c r="F13" s="13">
        <f t="shared" si="0"/>
        <v>3.29411764705882</v>
      </c>
      <c r="G13" s="14">
        <f t="shared" si="1"/>
        <v>0.85</v>
      </c>
      <c r="H13" s="15">
        <v>2.8</v>
      </c>
      <c r="I13" s="15">
        <f t="shared" si="2"/>
        <v>11.2</v>
      </c>
      <c r="J13" s="11"/>
    </row>
    <row r="14" s="3" customFormat="1" ht="16" customHeight="1" spans="1:10">
      <c r="A14" s="11">
        <v>9</v>
      </c>
      <c r="B14" s="16" t="s">
        <v>23</v>
      </c>
      <c r="C14" s="16"/>
      <c r="D14" s="17" t="s">
        <v>14</v>
      </c>
      <c r="E14" s="17">
        <v>4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18</v>
      </c>
      <c r="J14" s="16"/>
    </row>
    <row r="15" s="3" customFormat="1" ht="16" customHeight="1" spans="1:10">
      <c r="A15" s="11">
        <v>10</v>
      </c>
      <c r="B15" s="16" t="s">
        <v>24</v>
      </c>
      <c r="C15" s="16"/>
      <c r="D15" s="17" t="s">
        <v>14</v>
      </c>
      <c r="E15" s="17">
        <v>6</v>
      </c>
      <c r="F15" s="13">
        <f t="shared" si="0"/>
        <v>5.88235294117647</v>
      </c>
      <c r="G15" s="14">
        <f t="shared" si="1"/>
        <v>0.85</v>
      </c>
      <c r="H15" s="18">
        <v>5</v>
      </c>
      <c r="I15" s="15">
        <f t="shared" si="2"/>
        <v>30</v>
      </c>
      <c r="J15" s="16"/>
    </row>
    <row r="16" s="3" customFormat="1" ht="16" customHeight="1" spans="1:10">
      <c r="A16" s="11">
        <v>11</v>
      </c>
      <c r="B16" s="11" t="s">
        <v>25</v>
      </c>
      <c r="C16" s="11"/>
      <c r="D16" s="12" t="s">
        <v>14</v>
      </c>
      <c r="E16" s="12">
        <v>3</v>
      </c>
      <c r="F16" s="13">
        <f t="shared" ref="F16:F35" si="3">H16/0.85</f>
        <v>19.7647058823529</v>
      </c>
      <c r="G16" s="14">
        <f t="shared" ref="G16:G35" si="4">H16/F16</f>
        <v>0.85</v>
      </c>
      <c r="H16" s="15">
        <v>16.8</v>
      </c>
      <c r="I16" s="15">
        <f t="shared" si="2"/>
        <v>50.4</v>
      </c>
      <c r="J16" s="11"/>
    </row>
    <row r="17" s="3" customFormat="1" ht="16" customHeight="1" spans="1:10">
      <c r="A17" s="11">
        <v>12</v>
      </c>
      <c r="B17" s="16" t="s">
        <v>26</v>
      </c>
      <c r="C17" s="16"/>
      <c r="D17" s="17" t="s">
        <v>14</v>
      </c>
      <c r="E17" s="17">
        <v>3</v>
      </c>
      <c r="F17" s="13">
        <f t="shared" si="3"/>
        <v>17.4117647058824</v>
      </c>
      <c r="G17" s="14">
        <f t="shared" si="4"/>
        <v>0.85</v>
      </c>
      <c r="H17" s="18">
        <v>14.8</v>
      </c>
      <c r="I17" s="15">
        <f t="shared" si="2"/>
        <v>44.4</v>
      </c>
      <c r="J17" s="16"/>
    </row>
    <row r="18" s="3" customFormat="1" ht="16" customHeight="1" spans="1:10">
      <c r="A18" s="11">
        <v>13</v>
      </c>
      <c r="B18" s="16" t="s">
        <v>27</v>
      </c>
      <c r="C18" s="16"/>
      <c r="D18" s="17" t="s">
        <v>14</v>
      </c>
      <c r="E18" s="17">
        <v>5</v>
      </c>
      <c r="F18" s="13">
        <f t="shared" si="3"/>
        <v>25.8823529411765</v>
      </c>
      <c r="G18" s="14">
        <f t="shared" si="4"/>
        <v>0.85</v>
      </c>
      <c r="H18" s="18">
        <v>22</v>
      </c>
      <c r="I18" s="15">
        <f t="shared" si="2"/>
        <v>110</v>
      </c>
      <c r="J18" s="16"/>
    </row>
    <row r="19" s="3" customFormat="1" ht="16" customHeight="1" spans="1:10">
      <c r="A19" s="11">
        <v>14</v>
      </c>
      <c r="B19" s="16" t="s">
        <v>28</v>
      </c>
      <c r="C19" s="16"/>
      <c r="D19" s="17" t="s">
        <v>14</v>
      </c>
      <c r="E19" s="17">
        <v>10</v>
      </c>
      <c r="F19" s="13">
        <f t="shared" si="3"/>
        <v>16.2352941176471</v>
      </c>
      <c r="G19" s="14">
        <f t="shared" si="4"/>
        <v>0.85</v>
      </c>
      <c r="H19" s="18">
        <v>13.8</v>
      </c>
      <c r="I19" s="15">
        <f t="shared" si="2"/>
        <v>138</v>
      </c>
      <c r="J19" s="16"/>
    </row>
    <row r="20" s="3" customFormat="1" ht="16" customHeight="1" spans="1:10">
      <c r="A20" s="11">
        <v>15</v>
      </c>
      <c r="B20" s="16" t="s">
        <v>29</v>
      </c>
      <c r="C20" s="16" t="s">
        <v>30</v>
      </c>
      <c r="D20" s="16" t="s">
        <v>31</v>
      </c>
      <c r="E20" s="17">
        <v>3</v>
      </c>
      <c r="F20" s="13">
        <f t="shared" si="3"/>
        <v>10.5882352941176</v>
      </c>
      <c r="G20" s="14">
        <f t="shared" si="4"/>
        <v>0.85</v>
      </c>
      <c r="H20" s="18">
        <v>9</v>
      </c>
      <c r="I20" s="15">
        <f t="shared" si="2"/>
        <v>27</v>
      </c>
      <c r="J20" s="16"/>
    </row>
    <row r="21" s="3" customFormat="1" ht="16" customHeight="1" spans="1:10">
      <c r="A21" s="11">
        <v>16</v>
      </c>
      <c r="B21" s="16" t="s">
        <v>32</v>
      </c>
      <c r="C21" s="16"/>
      <c r="D21" s="17" t="s">
        <v>14</v>
      </c>
      <c r="E21" s="17">
        <v>5</v>
      </c>
      <c r="F21" s="13">
        <f t="shared" si="3"/>
        <v>68.2352941176471</v>
      </c>
      <c r="G21" s="14">
        <f t="shared" si="4"/>
        <v>0.85</v>
      </c>
      <c r="H21" s="18">
        <v>58</v>
      </c>
      <c r="I21" s="15">
        <f t="shared" si="2"/>
        <v>290</v>
      </c>
      <c r="J21" s="16"/>
    </row>
    <row r="22" s="3" customFormat="1" ht="16" customHeight="1" spans="1:10">
      <c r="A22" s="11">
        <v>17</v>
      </c>
      <c r="B22" s="16" t="s">
        <v>33</v>
      </c>
      <c r="C22" s="16"/>
      <c r="D22" s="17" t="s">
        <v>14</v>
      </c>
      <c r="E22" s="17">
        <v>1</v>
      </c>
      <c r="F22" s="13">
        <f t="shared" si="3"/>
        <v>30.5882352941176</v>
      </c>
      <c r="G22" s="14">
        <f t="shared" si="4"/>
        <v>0.85</v>
      </c>
      <c r="H22" s="18">
        <v>26</v>
      </c>
      <c r="I22" s="15">
        <f t="shared" si="2"/>
        <v>26</v>
      </c>
      <c r="J22" s="16"/>
    </row>
    <row r="23" s="3" customFormat="1" ht="16" customHeight="1" spans="1:10">
      <c r="A23" s="11">
        <v>18</v>
      </c>
      <c r="B23" s="11" t="s">
        <v>34</v>
      </c>
      <c r="C23" s="11" t="s">
        <v>35</v>
      </c>
      <c r="D23" s="12" t="s">
        <v>36</v>
      </c>
      <c r="E23" s="12">
        <v>3</v>
      </c>
      <c r="F23" s="13">
        <f t="shared" si="3"/>
        <v>10</v>
      </c>
      <c r="G23" s="14">
        <f t="shared" si="4"/>
        <v>0.85</v>
      </c>
      <c r="H23" s="15">
        <v>8.5</v>
      </c>
      <c r="I23" s="15">
        <f t="shared" si="2"/>
        <v>25.5</v>
      </c>
      <c r="J23" s="11"/>
    </row>
    <row r="24" s="3" customFormat="1" ht="16" customHeight="1" spans="1:10">
      <c r="A24" s="11">
        <v>19</v>
      </c>
      <c r="B24" s="16" t="s">
        <v>37</v>
      </c>
      <c r="C24" s="16" t="s">
        <v>38</v>
      </c>
      <c r="D24" s="12" t="s">
        <v>14</v>
      </c>
      <c r="E24" s="12">
        <v>5</v>
      </c>
      <c r="F24" s="13">
        <f t="shared" si="3"/>
        <v>5.29411764705882</v>
      </c>
      <c r="G24" s="14">
        <f t="shared" si="4"/>
        <v>0.85</v>
      </c>
      <c r="H24" s="15">
        <v>4.5</v>
      </c>
      <c r="I24" s="15">
        <f t="shared" si="2"/>
        <v>22.5</v>
      </c>
      <c r="J24" s="11"/>
    </row>
    <row r="25" s="3" customFormat="1" ht="16" customHeight="1" spans="1:10">
      <c r="A25" s="11">
        <v>20</v>
      </c>
      <c r="B25" s="16" t="s">
        <v>39</v>
      </c>
      <c r="C25" s="16" t="s">
        <v>40</v>
      </c>
      <c r="D25" s="16" t="s">
        <v>41</v>
      </c>
      <c r="E25" s="17">
        <v>1</v>
      </c>
      <c r="F25" s="13">
        <f t="shared" si="3"/>
        <v>52.9411764705882</v>
      </c>
      <c r="G25" s="14">
        <f t="shared" si="4"/>
        <v>0.85</v>
      </c>
      <c r="H25" s="18">
        <v>45</v>
      </c>
      <c r="I25" s="15">
        <f t="shared" si="2"/>
        <v>45</v>
      </c>
      <c r="J25" s="16"/>
    </row>
    <row r="26" s="3" customFormat="1" ht="16" customHeight="1" spans="1:10">
      <c r="A26" s="11">
        <v>21</v>
      </c>
      <c r="B26" s="11" t="s">
        <v>42</v>
      </c>
      <c r="C26" s="11" t="s">
        <v>43</v>
      </c>
      <c r="D26" s="16" t="s">
        <v>31</v>
      </c>
      <c r="E26" s="12">
        <v>1</v>
      </c>
      <c r="F26" s="13">
        <f t="shared" si="3"/>
        <v>103.529411764706</v>
      </c>
      <c r="G26" s="14">
        <f t="shared" si="4"/>
        <v>0.85</v>
      </c>
      <c r="H26" s="15">
        <v>88</v>
      </c>
      <c r="I26" s="15">
        <f t="shared" si="2"/>
        <v>88</v>
      </c>
      <c r="J26" s="11"/>
    </row>
    <row r="27" s="3" customFormat="1" ht="16" customHeight="1" spans="1:10">
      <c r="A27" s="11">
        <v>22</v>
      </c>
      <c r="B27" s="11" t="s">
        <v>44</v>
      </c>
      <c r="C27" s="11" t="s">
        <v>45</v>
      </c>
      <c r="D27" s="16" t="s">
        <v>46</v>
      </c>
      <c r="E27" s="12">
        <v>60</v>
      </c>
      <c r="F27" s="13">
        <f t="shared" si="3"/>
        <v>4.11764705882353</v>
      </c>
      <c r="G27" s="14">
        <f t="shared" si="4"/>
        <v>0.85</v>
      </c>
      <c r="H27" s="15">
        <v>3.5</v>
      </c>
      <c r="I27" s="15">
        <f t="shared" si="2"/>
        <v>210</v>
      </c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47</v>
      </c>
      <c r="B34" s="19">
        <f>SUM(I6:I33)</f>
        <v>1329.3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48</v>
      </c>
      <c r="B35" s="22">
        <f>B34</f>
        <v>1329.3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49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3">
    <cfRule type="duplicateValues" dxfId="0" priority="2"/>
  </conditionalFormatting>
  <pageMargins left="0.751388888888889" right="0.751388888888889" top="0.409027777777778" bottom="0.60625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workbookViewId="0">
      <selection activeCell="I3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45171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18</v>
      </c>
      <c r="C6" s="11"/>
      <c r="D6" s="12" t="s">
        <v>14</v>
      </c>
      <c r="E6" s="12">
        <v>2</v>
      </c>
      <c r="F6" s="13">
        <f>H6/0.85</f>
        <v>9.17647058823529</v>
      </c>
      <c r="G6" s="14">
        <f>H6/F6</f>
        <v>0.85</v>
      </c>
      <c r="H6" s="15">
        <v>7.8</v>
      </c>
      <c r="I6" s="15">
        <f>E6*H6</f>
        <v>15.6</v>
      </c>
      <c r="J6" s="11"/>
    </row>
    <row r="7" s="3" customFormat="1" ht="16" customHeight="1" spans="1:10">
      <c r="A7" s="11">
        <v>2</v>
      </c>
      <c r="B7" s="11" t="s">
        <v>53</v>
      </c>
      <c r="C7" s="11"/>
      <c r="D7" s="12" t="s">
        <v>14</v>
      </c>
      <c r="E7" s="12">
        <v>2</v>
      </c>
      <c r="F7" s="13">
        <f>H7/0.85</f>
        <v>4.47058823529412</v>
      </c>
      <c r="G7" s="14">
        <f>H7/F7</f>
        <v>0.85</v>
      </c>
      <c r="H7" s="15">
        <v>3.8</v>
      </c>
      <c r="I7" s="15">
        <f>E7*H7</f>
        <v>7.6</v>
      </c>
      <c r="J7" s="11"/>
    </row>
    <row r="8" s="3" customFormat="1" ht="16" customHeight="1" spans="1:10">
      <c r="A8" s="11">
        <v>3</v>
      </c>
      <c r="B8" s="11" t="s">
        <v>54</v>
      </c>
      <c r="C8" s="11"/>
      <c r="D8" s="12" t="s">
        <v>14</v>
      </c>
      <c r="E8" s="12">
        <v>3.2</v>
      </c>
      <c r="F8" s="13">
        <f>H8/0.85</f>
        <v>4.11764705882353</v>
      </c>
      <c r="G8" s="14">
        <f>H8/F8</f>
        <v>0.85</v>
      </c>
      <c r="H8" s="15">
        <v>3.5</v>
      </c>
      <c r="I8" s="15">
        <f>E8*H8</f>
        <v>11.2</v>
      </c>
      <c r="J8" s="11"/>
    </row>
    <row r="9" s="3" customFormat="1" ht="16" customHeight="1" spans="1:10">
      <c r="A9" s="11">
        <v>4</v>
      </c>
      <c r="B9" s="16"/>
      <c r="C9" s="16"/>
      <c r="D9" s="12"/>
      <c r="E9" s="12"/>
      <c r="F9" s="13"/>
      <c r="G9" s="14"/>
      <c r="H9" s="15"/>
      <c r="I9" s="15"/>
      <c r="J9" s="11"/>
    </row>
    <row r="10" s="3" customFormat="1" ht="16" customHeight="1" spans="1:10">
      <c r="A10" s="11">
        <v>5</v>
      </c>
      <c r="B10" s="16"/>
      <c r="C10" s="16"/>
      <c r="D10" s="12"/>
      <c r="E10" s="12"/>
      <c r="F10" s="13"/>
      <c r="G10" s="14"/>
      <c r="H10" s="15"/>
      <c r="I10" s="15"/>
      <c r="J10" s="11"/>
    </row>
    <row r="11" s="3" customFormat="1" ht="16" customHeight="1" spans="1:10">
      <c r="A11" s="11">
        <v>6</v>
      </c>
      <c r="B11" s="11"/>
      <c r="C11" s="11"/>
      <c r="D11" s="12"/>
      <c r="E11" s="12"/>
      <c r="F11" s="13"/>
      <c r="G11" s="14"/>
      <c r="H11" s="15"/>
      <c r="I11" s="15"/>
      <c r="J11" s="11"/>
    </row>
    <row r="12" s="3" customFormat="1" ht="16" customHeight="1" spans="1:10">
      <c r="A12" s="11">
        <v>7</v>
      </c>
      <c r="B12" s="11"/>
      <c r="C12" s="11"/>
      <c r="D12" s="12"/>
      <c r="E12" s="12"/>
      <c r="F12" s="13"/>
      <c r="G12" s="14"/>
      <c r="H12" s="15"/>
      <c r="I12" s="15"/>
      <c r="J12" s="11"/>
    </row>
    <row r="13" s="3" customFormat="1" ht="16" customHeight="1" spans="1:10">
      <c r="A13" s="11">
        <v>8</v>
      </c>
      <c r="B13" s="11"/>
      <c r="C13" s="11"/>
      <c r="D13" s="12"/>
      <c r="E13" s="12"/>
      <c r="F13" s="13"/>
      <c r="G13" s="14"/>
      <c r="H13" s="15"/>
      <c r="I13" s="15"/>
      <c r="J13" s="11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8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8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8"/>
      <c r="I16" s="15"/>
      <c r="J16" s="16"/>
    </row>
    <row r="17" s="3" customFormat="1" ht="16" customHeight="1" spans="1:10">
      <c r="A17" s="11">
        <v>12</v>
      </c>
      <c r="B17" s="16"/>
      <c r="C17" s="16"/>
      <c r="D17" s="17"/>
      <c r="E17" s="17"/>
      <c r="F17" s="13"/>
      <c r="G17" s="14"/>
      <c r="H17" s="18"/>
      <c r="I17" s="15"/>
      <c r="J17" s="16"/>
    </row>
    <row r="18" s="3" customFormat="1" ht="16" customHeight="1" spans="1:10">
      <c r="A18" s="11">
        <v>13</v>
      </c>
      <c r="B18" s="16"/>
      <c r="C18" s="16"/>
      <c r="D18" s="17"/>
      <c r="E18" s="17"/>
      <c r="F18" s="13"/>
      <c r="G18" s="14"/>
      <c r="H18" s="18"/>
      <c r="I18" s="15"/>
      <c r="J18" s="16"/>
    </row>
    <row r="19" s="3" customFormat="1" ht="16" customHeight="1" spans="1:10">
      <c r="A19" s="11">
        <v>14</v>
      </c>
      <c r="B19" s="27"/>
      <c r="C19" s="11"/>
      <c r="D19" s="12"/>
      <c r="E19" s="12"/>
      <c r="F19" s="13"/>
      <c r="G19" s="14"/>
      <c r="H19" s="18"/>
      <c r="I19" s="15"/>
      <c r="J19" s="11"/>
    </row>
    <row r="20" s="3" customFormat="1" ht="16" customHeight="1" spans="1:10">
      <c r="A20" s="11">
        <v>15</v>
      </c>
      <c r="B20" s="16"/>
      <c r="C20" s="16"/>
      <c r="D20" s="17"/>
      <c r="E20" s="17"/>
      <c r="F20" s="13"/>
      <c r="G20" s="14"/>
      <c r="H20" s="18"/>
      <c r="I20" s="15"/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8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8"/>
      <c r="I22" s="15"/>
      <c r="J22" s="16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8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5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27"/>
      <c r="C30" s="11"/>
      <c r="D30" s="16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55</v>
      </c>
      <c r="B33" s="19">
        <f>SUM(I6:I32)</f>
        <v>34.4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34.4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49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opLeftCell="A4" workbookViewId="0">
      <selection activeCell="A20" sqref="$A20:$XFD20"/>
    </sheetView>
  </sheetViews>
  <sheetFormatPr defaultColWidth="11" defaultRowHeight="18" customHeight="1"/>
  <cols>
    <col min="1" max="1" width="8" style="3" customWidth="1"/>
    <col min="2" max="2" width="16.125" style="3" customWidth="1"/>
    <col min="3" max="3" width="13" style="3" customWidth="1"/>
    <col min="4" max="4" width="4.875" style="3" customWidth="1"/>
    <col min="5" max="5" width="5.5" style="3" customWidth="1"/>
    <col min="6" max="6" width="9.075" style="3" customWidth="1"/>
    <col min="7" max="7" width="7.125" style="3" customWidth="1"/>
    <col min="8" max="8" width="7.375" style="3" customWidth="1"/>
    <col min="9" max="9" width="8.625" style="3" customWidth="1"/>
    <col min="10" max="10" width="7" style="3" customWidth="1"/>
    <col min="11" max="16323" width="11.6666666666667" style="3" customWidth="1"/>
    <col min="16324" max="16324" width="11.6666666666667" style="3"/>
    <col min="16325" max="16330" width="11" style="3"/>
    <col min="1633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9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1">
      <c r="A3" s="3" t="s">
        <v>1</v>
      </c>
    </row>
    <row r="4" s="3" customFormat="1" customHeight="1" spans="1:10">
      <c r="A4" s="3" t="s">
        <v>2</v>
      </c>
      <c r="B4" s="8">
        <v>45173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15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57</v>
      </c>
      <c r="C9" s="16"/>
      <c r="D9" s="12" t="s">
        <v>14</v>
      </c>
      <c r="E9" s="12">
        <v>2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7</v>
      </c>
      <c r="J9" s="11"/>
    </row>
    <row r="10" s="3" customFormat="1" ht="16" customHeight="1" spans="1:10">
      <c r="A10" s="11">
        <v>5</v>
      </c>
      <c r="B10" s="16" t="s">
        <v>58</v>
      </c>
      <c r="C10" s="16"/>
      <c r="D10" s="12" t="s">
        <v>14</v>
      </c>
      <c r="E10" s="12">
        <v>22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77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1" t="s">
        <v>20</v>
      </c>
      <c r="C12" s="11"/>
      <c r="D12" s="12" t="s">
        <v>21</v>
      </c>
      <c r="E12" s="12">
        <v>4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12</v>
      </c>
      <c r="J12" s="11"/>
    </row>
    <row r="13" s="3" customFormat="1" ht="16" customHeight="1" spans="1:10">
      <c r="A13" s="11">
        <v>8</v>
      </c>
      <c r="B13" s="11" t="s">
        <v>59</v>
      </c>
      <c r="C13" s="11"/>
      <c r="D13" s="12" t="s">
        <v>14</v>
      </c>
      <c r="E13" s="12">
        <v>6</v>
      </c>
      <c r="F13" s="13">
        <f t="shared" si="0"/>
        <v>11.5294117647059</v>
      </c>
      <c r="G13" s="14">
        <f t="shared" si="1"/>
        <v>0.85</v>
      </c>
      <c r="H13" s="15">
        <v>9.8</v>
      </c>
      <c r="I13" s="15">
        <f t="shared" si="2"/>
        <v>58.8</v>
      </c>
      <c r="J13" s="11"/>
    </row>
    <row r="14" s="3" customFormat="1" ht="16" customHeight="1" spans="1:10">
      <c r="A14" s="11">
        <v>9</v>
      </c>
      <c r="B14" s="16" t="s">
        <v>60</v>
      </c>
      <c r="C14" s="16"/>
      <c r="D14" s="17" t="s">
        <v>14</v>
      </c>
      <c r="E14" s="17">
        <v>3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13.5</v>
      </c>
      <c r="J14" s="16"/>
    </row>
    <row r="15" s="3" customFormat="1" ht="16" customHeight="1" spans="1:10">
      <c r="A15" s="11">
        <v>10</v>
      </c>
      <c r="B15" s="16" t="s">
        <v>61</v>
      </c>
      <c r="C15" s="16"/>
      <c r="D15" s="17" t="s">
        <v>14</v>
      </c>
      <c r="E15" s="17">
        <v>18</v>
      </c>
      <c r="F15" s="13">
        <f t="shared" si="0"/>
        <v>5.64705882352941</v>
      </c>
      <c r="G15" s="14">
        <f t="shared" si="1"/>
        <v>0.85</v>
      </c>
      <c r="H15" s="18">
        <v>4.8</v>
      </c>
      <c r="I15" s="15">
        <f t="shared" si="2"/>
        <v>86.4</v>
      </c>
      <c r="J15" s="16"/>
    </row>
    <row r="16" s="3" customFormat="1" ht="16" customHeight="1" spans="1:10">
      <c r="A16" s="11">
        <v>11</v>
      </c>
      <c r="B16" s="11" t="s">
        <v>62</v>
      </c>
      <c r="C16" s="11"/>
      <c r="D16" s="12" t="s">
        <v>14</v>
      </c>
      <c r="E16" s="12">
        <v>4</v>
      </c>
      <c r="F16" s="13">
        <f t="shared" si="0"/>
        <v>6.47058823529412</v>
      </c>
      <c r="G16" s="14">
        <f t="shared" si="1"/>
        <v>0.85</v>
      </c>
      <c r="H16" s="15">
        <v>5.5</v>
      </c>
      <c r="I16" s="15">
        <f t="shared" si="2"/>
        <v>22</v>
      </c>
      <c r="J16" s="11"/>
    </row>
    <row r="17" s="3" customFormat="1" ht="16" customHeight="1" spans="1:10">
      <c r="A17" s="11">
        <v>12</v>
      </c>
      <c r="B17" s="16" t="s">
        <v>63</v>
      </c>
      <c r="C17" s="16" t="s">
        <v>64</v>
      </c>
      <c r="D17" s="17" t="s">
        <v>41</v>
      </c>
      <c r="E17" s="17">
        <v>1</v>
      </c>
      <c r="F17" s="13">
        <f t="shared" si="0"/>
        <v>352.941176470588</v>
      </c>
      <c r="G17" s="14">
        <f t="shared" si="1"/>
        <v>0.85</v>
      </c>
      <c r="H17" s="18">
        <v>300</v>
      </c>
      <c r="I17" s="15">
        <f t="shared" si="2"/>
        <v>300</v>
      </c>
      <c r="J17" s="16"/>
    </row>
    <row r="18" s="3" customFormat="1" ht="16" customHeight="1" spans="1:10">
      <c r="A18" s="11">
        <v>13</v>
      </c>
      <c r="B18" s="16" t="s">
        <v>65</v>
      </c>
      <c r="C18" s="16"/>
      <c r="D18" s="17" t="s">
        <v>14</v>
      </c>
      <c r="E18" s="17">
        <v>6</v>
      </c>
      <c r="F18" s="13">
        <f t="shared" si="0"/>
        <v>17.4117647058824</v>
      </c>
      <c r="G18" s="14">
        <f t="shared" si="1"/>
        <v>0.85</v>
      </c>
      <c r="H18" s="18">
        <v>14.8</v>
      </c>
      <c r="I18" s="15">
        <f t="shared" si="2"/>
        <v>88.8</v>
      </c>
      <c r="J18" s="16"/>
    </row>
    <row r="19" s="3" customFormat="1" ht="16" customHeight="1" spans="1:10">
      <c r="A19" s="11">
        <v>14</v>
      </c>
      <c r="B19" s="16" t="s">
        <v>25</v>
      </c>
      <c r="C19" s="16"/>
      <c r="D19" s="17" t="s">
        <v>14</v>
      </c>
      <c r="E19" s="17">
        <v>7</v>
      </c>
      <c r="F19" s="13">
        <f t="shared" si="0"/>
        <v>19.7647058823529</v>
      </c>
      <c r="G19" s="14">
        <f t="shared" si="1"/>
        <v>0.85</v>
      </c>
      <c r="H19" s="18">
        <v>16.8</v>
      </c>
      <c r="I19" s="15">
        <f t="shared" si="2"/>
        <v>117.6</v>
      </c>
      <c r="J19" s="16"/>
    </row>
    <row r="20" s="3" customFormat="1" ht="16" customHeight="1" spans="1:10">
      <c r="A20" s="11">
        <v>16</v>
      </c>
      <c r="B20" s="11" t="s">
        <v>44</v>
      </c>
      <c r="C20" s="11" t="s">
        <v>45</v>
      </c>
      <c r="D20" s="12" t="s">
        <v>46</v>
      </c>
      <c r="E20" s="12">
        <v>60</v>
      </c>
      <c r="F20" s="13">
        <f>H20/0.85</f>
        <v>4.11764705882353</v>
      </c>
      <c r="G20" s="14">
        <f>H20/F20</f>
        <v>0.85</v>
      </c>
      <c r="H20" s="15">
        <v>3.5</v>
      </c>
      <c r="I20" s="15">
        <f>E20*H20</f>
        <v>210</v>
      </c>
      <c r="J20" s="11"/>
    </row>
    <row r="21" s="3" customFormat="1" ht="16" customHeight="1" spans="1:10">
      <c r="A21" s="11">
        <v>17</v>
      </c>
      <c r="B21" s="11"/>
      <c r="C21" s="11"/>
      <c r="D21" s="16"/>
      <c r="E21" s="12"/>
      <c r="F21" s="13"/>
      <c r="G21" s="14"/>
      <c r="H21" s="15"/>
      <c r="I21" s="15"/>
      <c r="J21" s="11"/>
    </row>
    <row r="22" s="3" customFormat="1" ht="16" customHeight="1" spans="1:10">
      <c r="A22" s="11">
        <v>18</v>
      </c>
      <c r="B22" s="11"/>
      <c r="C22" s="11"/>
      <c r="D22" s="11"/>
      <c r="E22" s="12"/>
      <c r="F22" s="13"/>
      <c r="G22" s="14"/>
      <c r="H22" s="15"/>
      <c r="I22" s="15"/>
      <c r="J22" s="11"/>
    </row>
    <row r="23" s="3" customFormat="1" ht="16" customHeight="1" spans="1:10">
      <c r="A23" s="11">
        <v>19</v>
      </c>
      <c r="B23" s="11"/>
      <c r="C23" s="11"/>
      <c r="D23" s="11"/>
      <c r="E23" s="12"/>
      <c r="F23" s="13"/>
      <c r="G23" s="14"/>
      <c r="H23" s="15"/>
      <c r="I23" s="15"/>
      <c r="J23" s="11"/>
    </row>
    <row r="24" s="3" customFormat="1" ht="16" customHeight="1" spans="1:10">
      <c r="A24" s="11">
        <v>20</v>
      </c>
      <c r="B24" s="11"/>
      <c r="C24" s="11"/>
      <c r="D24" s="11"/>
      <c r="E24" s="12"/>
      <c r="F24" s="13"/>
      <c r="G24" s="14"/>
      <c r="H24" s="15"/>
      <c r="I24" s="15"/>
      <c r="J24" s="11"/>
    </row>
    <row r="25" s="3" customFormat="1" ht="16" customHeight="1" spans="1:10">
      <c r="A25" s="11">
        <v>21</v>
      </c>
      <c r="B25" s="11"/>
      <c r="C25" s="11"/>
      <c r="D25" s="11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22</v>
      </c>
      <c r="B26" s="11"/>
      <c r="C26" s="11"/>
      <c r="D26" s="11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23</v>
      </c>
      <c r="B27" s="11"/>
      <c r="C27" s="11"/>
      <c r="D27" s="11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24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customHeight="1" spans="1:10">
      <c r="A29" s="11" t="s">
        <v>47</v>
      </c>
      <c r="B29" s="19">
        <f>SUM(I6:I28)</f>
        <v>1066.5</v>
      </c>
      <c r="C29" s="20"/>
      <c r="D29" s="20"/>
      <c r="E29" s="20"/>
      <c r="F29" s="20"/>
      <c r="G29" s="20"/>
      <c r="H29" s="20"/>
      <c r="I29" s="20"/>
      <c r="J29" s="24"/>
    </row>
    <row r="30" s="3" customFormat="1" customHeight="1" spans="1:10">
      <c r="A30" s="11" t="s">
        <v>48</v>
      </c>
      <c r="B30" s="22">
        <f>B29</f>
        <v>1066.5</v>
      </c>
      <c r="C30" s="23"/>
      <c r="D30" s="23"/>
      <c r="E30" s="23"/>
      <c r="F30" s="23"/>
      <c r="G30" s="23"/>
      <c r="H30" s="23"/>
      <c r="I30" s="23"/>
      <c r="J30" s="25"/>
    </row>
    <row r="31" s="3" customFormat="1" customHeight="1" spans="1:1">
      <c r="A31" s="3" t="s">
        <v>49</v>
      </c>
    </row>
  </sheetData>
  <mergeCells count="4">
    <mergeCell ref="A1:J1"/>
    <mergeCell ref="B29:J29"/>
    <mergeCell ref="B30:J30"/>
    <mergeCell ref="A31:J31"/>
  </mergeCells>
  <conditionalFormatting sqref="B6:B28">
    <cfRule type="duplicateValues" dxfId="0" priority="1"/>
  </conditionalFormatting>
  <conditionalFormatting sqref="B6:C20">
    <cfRule type="duplicateValues" dxfId="0" priority="2"/>
  </conditionalFormatting>
  <pageMargins left="0.751388888888889" right="0.751388888888889" top="0.409027777777778" bottom="0.60625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5" workbookViewId="0">
      <selection activeCell="A18" sqref="A18:A3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8.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45174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20" si="0">H6/0.85</f>
        <v>3.52941176470588</v>
      </c>
      <c r="G6" s="14">
        <f t="shared" ref="G6:G20" si="1">H6/F6</f>
        <v>0.85</v>
      </c>
      <c r="H6" s="15">
        <v>3</v>
      </c>
      <c r="I6" s="15">
        <f t="shared" ref="I6:I20" si="2"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3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10.5</v>
      </c>
      <c r="J7" s="11"/>
    </row>
    <row r="8" s="3" customFormat="1" ht="16" customHeight="1" spans="1:10">
      <c r="A8" s="11">
        <v>3</v>
      </c>
      <c r="B8" s="11" t="s">
        <v>66</v>
      </c>
      <c r="C8" s="11"/>
      <c r="D8" s="12" t="s">
        <v>14</v>
      </c>
      <c r="E8" s="12">
        <v>1</v>
      </c>
      <c r="F8" s="13">
        <f t="shared" si="0"/>
        <v>8</v>
      </c>
      <c r="G8" s="14">
        <f t="shared" si="1"/>
        <v>0.85</v>
      </c>
      <c r="H8" s="15">
        <v>6.8</v>
      </c>
      <c r="I8" s="15">
        <f t="shared" si="2"/>
        <v>6.8</v>
      </c>
      <c r="J8" s="11"/>
    </row>
    <row r="9" s="3" customFormat="1" ht="16" customHeight="1" spans="1:10">
      <c r="A9" s="11">
        <v>4</v>
      </c>
      <c r="B9" s="16" t="s">
        <v>58</v>
      </c>
      <c r="C9" s="16"/>
      <c r="D9" s="12" t="s">
        <v>14</v>
      </c>
      <c r="E9" s="12">
        <v>8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28</v>
      </c>
      <c r="J9" s="11"/>
    </row>
    <row r="10" s="3" customFormat="1" ht="16" customHeight="1" spans="1:10">
      <c r="A10" s="11">
        <v>5</v>
      </c>
      <c r="B10" s="16" t="s">
        <v>18</v>
      </c>
      <c r="C10" s="16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60</v>
      </c>
      <c r="C11" s="11"/>
      <c r="D11" s="12" t="s">
        <v>14</v>
      </c>
      <c r="E11" s="12">
        <v>3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13.5</v>
      </c>
      <c r="J11" s="11"/>
    </row>
    <row r="12" s="3" customFormat="1" ht="16" customHeight="1" spans="1:10">
      <c r="A12" s="11">
        <v>7</v>
      </c>
      <c r="B12" s="11" t="s">
        <v>53</v>
      </c>
      <c r="C12" s="11"/>
      <c r="D12" s="12" t="s">
        <v>14</v>
      </c>
      <c r="E12" s="12">
        <v>5</v>
      </c>
      <c r="F12" s="13">
        <f t="shared" si="0"/>
        <v>4.47058823529412</v>
      </c>
      <c r="G12" s="14">
        <f t="shared" si="1"/>
        <v>0.85</v>
      </c>
      <c r="H12" s="15">
        <v>3.8</v>
      </c>
      <c r="I12" s="15">
        <f t="shared" si="2"/>
        <v>19</v>
      </c>
      <c r="J12" s="11"/>
    </row>
    <row r="13" s="3" customFormat="1" ht="16" customHeight="1" spans="1:10">
      <c r="A13" s="11">
        <v>8</v>
      </c>
      <c r="B13" s="11" t="s">
        <v>67</v>
      </c>
      <c r="C13" s="11"/>
      <c r="D13" s="12" t="s">
        <v>14</v>
      </c>
      <c r="E13" s="12">
        <v>16</v>
      </c>
      <c r="F13" s="13">
        <f t="shared" si="0"/>
        <v>2.94117647058824</v>
      </c>
      <c r="G13" s="14">
        <f t="shared" si="1"/>
        <v>0.85</v>
      </c>
      <c r="H13" s="15">
        <v>2.5</v>
      </c>
      <c r="I13" s="15">
        <f t="shared" si="2"/>
        <v>40</v>
      </c>
      <c r="J13" s="11"/>
    </row>
    <row r="14" s="3" customFormat="1" ht="16" customHeight="1" spans="1:10">
      <c r="A14" s="11">
        <v>9</v>
      </c>
      <c r="B14" s="16" t="s">
        <v>61</v>
      </c>
      <c r="C14" s="16"/>
      <c r="D14" s="17" t="s">
        <v>14</v>
      </c>
      <c r="E14" s="17">
        <v>5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24</v>
      </c>
      <c r="J14" s="16"/>
    </row>
    <row r="15" s="3" customFormat="1" ht="16" customHeight="1" spans="1:10">
      <c r="A15" s="11">
        <v>10</v>
      </c>
      <c r="B15" s="16" t="s">
        <v>54</v>
      </c>
      <c r="C15" s="16"/>
      <c r="D15" s="17" t="s">
        <v>14</v>
      </c>
      <c r="E15" s="17">
        <v>18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63</v>
      </c>
      <c r="J15" s="16"/>
    </row>
    <row r="16" s="3" customFormat="1" ht="16" customHeight="1" spans="1:10">
      <c r="A16" s="11">
        <v>11</v>
      </c>
      <c r="B16" s="16" t="s">
        <v>68</v>
      </c>
      <c r="C16" s="16"/>
      <c r="D16" s="17" t="s">
        <v>14</v>
      </c>
      <c r="E16" s="17">
        <v>16</v>
      </c>
      <c r="F16" s="13">
        <f t="shared" si="0"/>
        <v>8</v>
      </c>
      <c r="G16" s="14">
        <f t="shared" si="1"/>
        <v>0.85</v>
      </c>
      <c r="H16" s="18">
        <v>6.8</v>
      </c>
      <c r="I16" s="15">
        <f t="shared" si="2"/>
        <v>108.8</v>
      </c>
      <c r="J16" s="16"/>
    </row>
    <row r="17" s="3" customFormat="1" ht="16" customHeight="1" spans="1:10">
      <c r="A17" s="11">
        <v>12</v>
      </c>
      <c r="B17" s="16" t="s">
        <v>69</v>
      </c>
      <c r="C17" s="16"/>
      <c r="D17" s="17" t="s">
        <v>14</v>
      </c>
      <c r="E17" s="17">
        <v>5</v>
      </c>
      <c r="F17" s="13">
        <f t="shared" si="0"/>
        <v>16.2352941176471</v>
      </c>
      <c r="G17" s="14">
        <f t="shared" si="1"/>
        <v>0.85</v>
      </c>
      <c r="H17" s="18">
        <v>13.8</v>
      </c>
      <c r="I17" s="15">
        <f t="shared" si="2"/>
        <v>69</v>
      </c>
      <c r="J17" s="16"/>
    </row>
    <row r="18" s="3" customFormat="1" ht="16" customHeight="1" spans="1:10">
      <c r="A18" s="11">
        <v>13</v>
      </c>
      <c r="B18" s="16" t="s">
        <v>70</v>
      </c>
      <c r="C18" s="16"/>
      <c r="D18" s="17" t="s">
        <v>14</v>
      </c>
      <c r="E18" s="17">
        <v>6</v>
      </c>
      <c r="F18" s="13">
        <f t="shared" si="0"/>
        <v>24.4705882352941</v>
      </c>
      <c r="G18" s="14">
        <f t="shared" si="1"/>
        <v>0.85</v>
      </c>
      <c r="H18" s="18">
        <v>20.8</v>
      </c>
      <c r="I18" s="15">
        <f t="shared" si="2"/>
        <v>124.8</v>
      </c>
      <c r="J18" s="16"/>
    </row>
    <row r="19" s="3" customFormat="1" ht="16" customHeight="1" spans="1:10">
      <c r="A19" s="11">
        <v>14</v>
      </c>
      <c r="B19" s="11" t="s">
        <v>71</v>
      </c>
      <c r="C19" s="11"/>
      <c r="D19" s="12" t="s">
        <v>14</v>
      </c>
      <c r="E19" s="12">
        <v>8</v>
      </c>
      <c r="F19" s="13">
        <f t="shared" si="0"/>
        <v>25.8823529411765</v>
      </c>
      <c r="G19" s="14">
        <f t="shared" si="1"/>
        <v>0.85</v>
      </c>
      <c r="H19" s="15">
        <v>22</v>
      </c>
      <c r="I19" s="15">
        <f t="shared" si="2"/>
        <v>176</v>
      </c>
      <c r="J19" s="11"/>
    </row>
    <row r="20" s="3" customFormat="1" ht="16" customHeight="1" spans="1:10">
      <c r="A20" s="11">
        <v>15</v>
      </c>
      <c r="B20" s="16" t="s">
        <v>72</v>
      </c>
      <c r="C20" s="16" t="s">
        <v>73</v>
      </c>
      <c r="D20" s="17" t="s">
        <v>36</v>
      </c>
      <c r="E20" s="17">
        <v>2</v>
      </c>
      <c r="F20" s="13">
        <f>H20/0.85</f>
        <v>25.8823529411765</v>
      </c>
      <c r="G20" s="14">
        <f>H20/F20</f>
        <v>0.85</v>
      </c>
      <c r="H20" s="18">
        <v>22</v>
      </c>
      <c r="I20" s="15">
        <f>E20*H20</f>
        <v>44</v>
      </c>
      <c r="J20" s="16"/>
    </row>
    <row r="21" s="3" customFormat="1" ht="16" customHeight="1" spans="1:10">
      <c r="A21" s="11">
        <v>16</v>
      </c>
      <c r="B21" s="16" t="s">
        <v>74</v>
      </c>
      <c r="C21" s="16" t="s">
        <v>75</v>
      </c>
      <c r="D21" s="16" t="s">
        <v>76</v>
      </c>
      <c r="E21" s="17">
        <v>1</v>
      </c>
      <c r="F21" s="13">
        <f t="shared" ref="F21:F28" si="3">H21/0.85</f>
        <v>12.9411764705882</v>
      </c>
      <c r="G21" s="14">
        <f t="shared" ref="G21:G28" si="4">H21/F21</f>
        <v>0.85</v>
      </c>
      <c r="H21" s="18">
        <v>11</v>
      </c>
      <c r="I21" s="15">
        <f t="shared" ref="I21:I28" si="5">E21*H21</f>
        <v>11</v>
      </c>
      <c r="J21" s="16"/>
    </row>
    <row r="22" s="3" customFormat="1" ht="16" customHeight="1" spans="1:10">
      <c r="A22" s="11">
        <v>17</v>
      </c>
      <c r="B22" s="16" t="s">
        <v>77</v>
      </c>
      <c r="C22" s="16" t="s">
        <v>78</v>
      </c>
      <c r="D22" s="17" t="s">
        <v>31</v>
      </c>
      <c r="E22" s="17">
        <v>10</v>
      </c>
      <c r="F22" s="13">
        <f t="shared" si="3"/>
        <v>2.35294117647059</v>
      </c>
      <c r="G22" s="14">
        <f t="shared" si="4"/>
        <v>0.85</v>
      </c>
      <c r="H22" s="18">
        <v>2</v>
      </c>
      <c r="I22" s="15">
        <f t="shared" si="5"/>
        <v>20</v>
      </c>
      <c r="J22" s="16"/>
    </row>
    <row r="23" s="3" customFormat="1" ht="16" customHeight="1" spans="1:10">
      <c r="A23" s="11">
        <v>18</v>
      </c>
      <c r="B23" s="16" t="s">
        <v>44</v>
      </c>
      <c r="C23" s="16" t="s">
        <v>45</v>
      </c>
      <c r="D23" s="17" t="s">
        <v>46</v>
      </c>
      <c r="E23" s="17">
        <v>62</v>
      </c>
      <c r="F23" s="13">
        <f t="shared" si="3"/>
        <v>4.11764705882353</v>
      </c>
      <c r="G23" s="14">
        <f t="shared" si="4"/>
        <v>0.85</v>
      </c>
      <c r="H23" s="18">
        <v>3.5</v>
      </c>
      <c r="I23" s="15">
        <f t="shared" si="5"/>
        <v>217</v>
      </c>
      <c r="J23" s="16"/>
    </row>
    <row r="24" s="3" customFormat="1" ht="16" customHeight="1" spans="1:10">
      <c r="A24" s="11">
        <v>19</v>
      </c>
      <c r="B24" s="11"/>
      <c r="C24" s="11"/>
      <c r="D24" s="12"/>
      <c r="E24" s="12"/>
      <c r="F24" s="13"/>
      <c r="G24" s="14"/>
      <c r="H24" s="15"/>
      <c r="I24" s="15"/>
      <c r="J24" s="11"/>
    </row>
    <row r="25" s="3" customFormat="1" ht="16" customHeight="1" spans="1:10">
      <c r="A25" s="11">
        <v>20</v>
      </c>
      <c r="B25" s="16"/>
      <c r="C25" s="16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6"/>
      <c r="E26" s="17"/>
      <c r="F26" s="13"/>
      <c r="G26" s="14"/>
      <c r="H26" s="18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customHeight="1" spans="1:10">
      <c r="A31" s="11" t="s">
        <v>55</v>
      </c>
      <c r="B31" s="19">
        <f>SUM(I6:I30)</f>
        <v>1013.8</v>
      </c>
      <c r="C31" s="20"/>
      <c r="D31" s="20"/>
      <c r="E31" s="20"/>
      <c r="F31" s="20"/>
      <c r="G31" s="20"/>
      <c r="H31" s="20"/>
      <c r="I31" s="20"/>
      <c r="J31" s="24"/>
    </row>
    <row r="32" s="3" customFormat="1" customHeight="1" spans="1:10">
      <c r="A32" s="11" t="s">
        <v>48</v>
      </c>
      <c r="B32" s="22">
        <f>B31</f>
        <v>1013.8</v>
      </c>
      <c r="C32" s="23"/>
      <c r="D32" s="23"/>
      <c r="E32" s="23"/>
      <c r="F32" s="23"/>
      <c r="G32" s="23"/>
      <c r="H32" s="23"/>
      <c r="I32" s="23"/>
      <c r="J32" s="25"/>
    </row>
    <row r="33" s="3" customFormat="1" customHeight="1" spans="1:1">
      <c r="A33" s="3" t="s">
        <v>49</v>
      </c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1"/>
  </conditionalFormatting>
  <conditionalFormatting sqref="B6:C24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3" workbookViewId="0">
      <selection activeCell="A23" sqref="A23:A3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45175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15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79</v>
      </c>
      <c r="C9" s="16"/>
      <c r="D9" s="12" t="s">
        <v>14</v>
      </c>
      <c r="E9" s="12">
        <v>19</v>
      </c>
      <c r="F9" s="13">
        <f t="shared" si="0"/>
        <v>9.17647058823529</v>
      </c>
      <c r="G9" s="14">
        <f t="shared" si="1"/>
        <v>0.85</v>
      </c>
      <c r="H9" s="15">
        <v>7.8</v>
      </c>
      <c r="I9" s="15">
        <f t="shared" si="2"/>
        <v>148.2</v>
      </c>
      <c r="J9" s="11"/>
    </row>
    <row r="10" s="3" customFormat="1" ht="16" customHeight="1" spans="1:10">
      <c r="A10" s="11">
        <v>5</v>
      </c>
      <c r="B10" s="16" t="s">
        <v>58</v>
      </c>
      <c r="C10" s="16"/>
      <c r="D10" s="12" t="s">
        <v>14</v>
      </c>
      <c r="E10" s="12">
        <v>20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70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1" t="s">
        <v>20</v>
      </c>
      <c r="C12" s="11"/>
      <c r="D12" s="12" t="s">
        <v>21</v>
      </c>
      <c r="E12" s="12">
        <v>7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21</v>
      </c>
      <c r="J12" s="11"/>
    </row>
    <row r="13" s="3" customFormat="1" ht="16" customHeight="1" spans="1:10">
      <c r="A13" s="11">
        <v>8</v>
      </c>
      <c r="B13" s="11" t="s">
        <v>60</v>
      </c>
      <c r="C13" s="11"/>
      <c r="D13" s="12" t="s">
        <v>14</v>
      </c>
      <c r="E13" s="12">
        <v>3</v>
      </c>
      <c r="F13" s="13">
        <f t="shared" ref="F13:F27" si="3">H13/0.85</f>
        <v>5.29411764705882</v>
      </c>
      <c r="G13" s="14">
        <f t="shared" ref="G13:G27" si="4">H13/F13</f>
        <v>0.85</v>
      </c>
      <c r="H13" s="15">
        <v>4.5</v>
      </c>
      <c r="I13" s="15">
        <f t="shared" ref="I13:I27" si="5">E13*H13</f>
        <v>13.5</v>
      </c>
      <c r="J13" s="11"/>
    </row>
    <row r="14" s="3" customFormat="1" ht="16" customHeight="1" spans="1:10">
      <c r="A14" s="11">
        <v>9</v>
      </c>
      <c r="B14" s="16" t="s">
        <v>80</v>
      </c>
      <c r="C14" s="16"/>
      <c r="D14" s="17" t="s">
        <v>14</v>
      </c>
      <c r="E14" s="17">
        <v>5</v>
      </c>
      <c r="F14" s="13">
        <f t="shared" si="3"/>
        <v>8</v>
      </c>
      <c r="G14" s="14">
        <f t="shared" si="4"/>
        <v>0.85</v>
      </c>
      <c r="H14" s="15">
        <v>6.8</v>
      </c>
      <c r="I14" s="15">
        <f t="shared" si="5"/>
        <v>34</v>
      </c>
      <c r="J14" s="16"/>
    </row>
    <row r="15" s="3" customFormat="1" ht="16" customHeight="1" spans="1:10">
      <c r="A15" s="11">
        <v>10</v>
      </c>
      <c r="B15" s="16" t="s">
        <v>81</v>
      </c>
      <c r="C15" s="16"/>
      <c r="D15" s="17" t="s">
        <v>14</v>
      </c>
      <c r="E15" s="17">
        <v>2</v>
      </c>
      <c r="F15" s="13">
        <f t="shared" si="3"/>
        <v>12.7058823529412</v>
      </c>
      <c r="G15" s="14">
        <f t="shared" si="4"/>
        <v>0.85</v>
      </c>
      <c r="H15" s="15">
        <v>10.8</v>
      </c>
      <c r="I15" s="15">
        <f t="shared" si="5"/>
        <v>21.6</v>
      </c>
      <c r="J15" s="16"/>
    </row>
    <row r="16" s="3" customFormat="1" ht="16" customHeight="1" spans="1:10">
      <c r="A16" s="11">
        <v>11</v>
      </c>
      <c r="B16" s="16" t="s">
        <v>82</v>
      </c>
      <c r="C16" s="16"/>
      <c r="D16" s="17" t="s">
        <v>14</v>
      </c>
      <c r="E16" s="17">
        <v>19</v>
      </c>
      <c r="F16" s="13">
        <f t="shared" si="3"/>
        <v>2.11764705882353</v>
      </c>
      <c r="G16" s="14">
        <f t="shared" si="4"/>
        <v>0.85</v>
      </c>
      <c r="H16" s="15">
        <v>1.8</v>
      </c>
      <c r="I16" s="15">
        <f t="shared" si="5"/>
        <v>34.2</v>
      </c>
      <c r="J16" s="16"/>
    </row>
    <row r="17" s="3" customFormat="1" ht="16" customHeight="1" spans="1:10">
      <c r="A17" s="11">
        <v>12</v>
      </c>
      <c r="B17" s="16" t="s">
        <v>83</v>
      </c>
      <c r="C17" s="16"/>
      <c r="D17" s="17" t="s">
        <v>14</v>
      </c>
      <c r="E17" s="17">
        <v>18</v>
      </c>
      <c r="F17" s="13">
        <f t="shared" si="3"/>
        <v>11.7647058823529</v>
      </c>
      <c r="G17" s="14">
        <f t="shared" si="4"/>
        <v>0.85</v>
      </c>
      <c r="H17" s="15">
        <v>10</v>
      </c>
      <c r="I17" s="15">
        <f t="shared" si="5"/>
        <v>180</v>
      </c>
      <c r="J17" s="16"/>
    </row>
    <row r="18" s="3" customFormat="1" ht="16" customHeight="1" spans="1:10">
      <c r="A18" s="11">
        <v>13</v>
      </c>
      <c r="B18" s="16" t="s">
        <v>25</v>
      </c>
      <c r="C18" s="16"/>
      <c r="D18" s="17" t="s">
        <v>14</v>
      </c>
      <c r="E18" s="17">
        <v>3</v>
      </c>
      <c r="F18" s="13">
        <f t="shared" si="3"/>
        <v>19.7647058823529</v>
      </c>
      <c r="G18" s="14">
        <f t="shared" si="4"/>
        <v>0.85</v>
      </c>
      <c r="H18" s="15">
        <v>16.8</v>
      </c>
      <c r="I18" s="15">
        <f t="shared" si="5"/>
        <v>50.4</v>
      </c>
      <c r="J18" s="16"/>
    </row>
    <row r="19" s="3" customFormat="1" ht="16" customHeight="1" spans="1:10">
      <c r="A19" s="11">
        <v>14</v>
      </c>
      <c r="B19" s="11" t="s">
        <v>84</v>
      </c>
      <c r="C19" s="11"/>
      <c r="D19" s="12" t="s">
        <v>14</v>
      </c>
      <c r="E19" s="12">
        <v>5</v>
      </c>
      <c r="F19" s="13">
        <f t="shared" si="3"/>
        <v>21.7647058823529</v>
      </c>
      <c r="G19" s="14">
        <f t="shared" si="4"/>
        <v>0.85</v>
      </c>
      <c r="H19" s="15">
        <v>18.5</v>
      </c>
      <c r="I19" s="15">
        <f t="shared" si="5"/>
        <v>92.5</v>
      </c>
      <c r="J19" s="11"/>
    </row>
    <row r="20" s="3" customFormat="1" ht="16" customHeight="1" spans="1:10">
      <c r="A20" s="11">
        <v>15</v>
      </c>
      <c r="B20" s="16" t="s">
        <v>85</v>
      </c>
      <c r="C20" s="16" t="s">
        <v>86</v>
      </c>
      <c r="D20" s="17" t="s">
        <v>76</v>
      </c>
      <c r="E20" s="17">
        <v>1</v>
      </c>
      <c r="F20" s="13">
        <f t="shared" si="3"/>
        <v>48.8235294117647</v>
      </c>
      <c r="G20" s="14">
        <f t="shared" si="4"/>
        <v>0.85</v>
      </c>
      <c r="H20" s="15">
        <v>41.5</v>
      </c>
      <c r="I20" s="15">
        <f t="shared" si="5"/>
        <v>41.5</v>
      </c>
      <c r="J20" s="16"/>
    </row>
    <row r="21" s="3" customFormat="1" ht="16" customHeight="1" spans="1:10">
      <c r="A21" s="11">
        <v>16</v>
      </c>
      <c r="B21" s="16" t="s">
        <v>87</v>
      </c>
      <c r="C21" s="16" t="s">
        <v>88</v>
      </c>
      <c r="D21" s="17" t="s">
        <v>41</v>
      </c>
      <c r="E21" s="17">
        <v>1</v>
      </c>
      <c r="F21" s="13">
        <f t="shared" si="3"/>
        <v>54.1176470588235</v>
      </c>
      <c r="G21" s="14">
        <f t="shared" si="4"/>
        <v>0.85</v>
      </c>
      <c r="H21" s="15">
        <v>46</v>
      </c>
      <c r="I21" s="15">
        <f t="shared" si="5"/>
        <v>46</v>
      </c>
      <c r="J21" s="16"/>
    </row>
    <row r="22" s="3" customFormat="1" ht="16" customHeight="1" spans="1:10">
      <c r="A22" s="11">
        <v>17</v>
      </c>
      <c r="B22" s="16" t="s">
        <v>89</v>
      </c>
      <c r="C22" s="16" t="s">
        <v>90</v>
      </c>
      <c r="D22" s="17" t="s">
        <v>41</v>
      </c>
      <c r="E22" s="17">
        <v>1</v>
      </c>
      <c r="F22" s="13">
        <f t="shared" si="3"/>
        <v>64.7058823529412</v>
      </c>
      <c r="G22" s="14">
        <f t="shared" si="4"/>
        <v>0.85</v>
      </c>
      <c r="H22" s="15">
        <v>55</v>
      </c>
      <c r="I22" s="15">
        <f t="shared" si="5"/>
        <v>55</v>
      </c>
      <c r="J22" s="16"/>
    </row>
    <row r="23" s="3" customFormat="1" ht="16" customHeight="1" spans="1:10">
      <c r="A23" s="11">
        <v>18</v>
      </c>
      <c r="B23" s="16" t="s">
        <v>91</v>
      </c>
      <c r="C23" s="16" t="s">
        <v>92</v>
      </c>
      <c r="D23" s="16" t="s">
        <v>41</v>
      </c>
      <c r="E23" s="17">
        <v>1</v>
      </c>
      <c r="F23" s="13">
        <f t="shared" si="3"/>
        <v>51.7647058823529</v>
      </c>
      <c r="G23" s="14">
        <f t="shared" si="4"/>
        <v>0.85</v>
      </c>
      <c r="H23" s="15">
        <v>44</v>
      </c>
      <c r="I23" s="15">
        <f t="shared" si="5"/>
        <v>44</v>
      </c>
      <c r="J23" s="16"/>
    </row>
    <row r="24" s="3" customFormat="1" ht="16" customHeight="1" spans="1:10">
      <c r="A24" s="11">
        <v>19</v>
      </c>
      <c r="B24" s="16" t="s">
        <v>93</v>
      </c>
      <c r="C24" s="16" t="s">
        <v>94</v>
      </c>
      <c r="D24" s="17" t="s">
        <v>31</v>
      </c>
      <c r="E24" s="17">
        <v>1</v>
      </c>
      <c r="F24" s="13">
        <f t="shared" si="3"/>
        <v>205.882352941176</v>
      </c>
      <c r="G24" s="14">
        <f t="shared" si="4"/>
        <v>0.85</v>
      </c>
      <c r="H24" s="15">
        <v>175</v>
      </c>
      <c r="I24" s="15">
        <f t="shared" si="5"/>
        <v>175</v>
      </c>
      <c r="J24" s="16"/>
    </row>
    <row r="25" s="3" customFormat="1" ht="16" customHeight="1" spans="1:10">
      <c r="A25" s="11">
        <v>20</v>
      </c>
      <c r="B25" s="11" t="s">
        <v>44</v>
      </c>
      <c r="C25" s="11" t="s">
        <v>45</v>
      </c>
      <c r="D25" s="12" t="s">
        <v>46</v>
      </c>
      <c r="E25" s="12">
        <v>60</v>
      </c>
      <c r="F25" s="13">
        <f>H25/0.85</f>
        <v>4.11764705882353</v>
      </c>
      <c r="G25" s="14">
        <f>H25/F25</f>
        <v>0.85</v>
      </c>
      <c r="H25" s="15">
        <v>3.5</v>
      </c>
      <c r="I25" s="15">
        <f>E25*H25</f>
        <v>210</v>
      </c>
      <c r="J25" s="11"/>
    </row>
    <row r="26" s="3" customFormat="1" ht="16" customHeight="1" spans="1:10">
      <c r="A26" s="11">
        <v>21</v>
      </c>
      <c r="B26" s="16"/>
      <c r="C26" s="16"/>
      <c r="D26" s="16"/>
      <c r="E26" s="17"/>
      <c r="F26" s="13"/>
      <c r="G26" s="14"/>
      <c r="H26" s="18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customHeight="1" spans="1:10">
      <c r="A31" s="11" t="s">
        <v>55</v>
      </c>
      <c r="B31" s="19">
        <f>SUM(I6:I30)</f>
        <v>1313.8</v>
      </c>
      <c r="C31" s="20"/>
      <c r="D31" s="20"/>
      <c r="E31" s="20"/>
      <c r="F31" s="20"/>
      <c r="G31" s="20"/>
      <c r="H31" s="20"/>
      <c r="I31" s="20"/>
      <c r="J31" s="24"/>
    </row>
    <row r="32" s="3" customFormat="1" customHeight="1" spans="1:10">
      <c r="A32" s="11" t="s">
        <v>48</v>
      </c>
      <c r="B32" s="22">
        <f>B31</f>
        <v>1313.8</v>
      </c>
      <c r="C32" s="23"/>
      <c r="D32" s="23"/>
      <c r="E32" s="23"/>
      <c r="F32" s="23"/>
      <c r="G32" s="23"/>
      <c r="H32" s="23"/>
      <c r="I32" s="23"/>
      <c r="J32" s="25"/>
    </row>
    <row r="33" s="3" customFormat="1" customHeight="1" spans="1:1">
      <c r="A33" s="3" t="s">
        <v>49</v>
      </c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3" workbookViewId="0">
      <selection activeCell="A25" sqref="$A25:$XFD25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8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45176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24" si="0">H6/0.85</f>
        <v>3.52941176470588</v>
      </c>
      <c r="G6" s="14">
        <f t="shared" ref="G6:G24" si="1">H6/F6</f>
        <v>0.85</v>
      </c>
      <c r="H6" s="15">
        <v>3</v>
      </c>
      <c r="I6" s="15">
        <f t="shared" ref="I6:I24" si="2">E6*H6</f>
        <v>15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95</v>
      </c>
      <c r="C9" s="16"/>
      <c r="D9" s="12" t="s">
        <v>14</v>
      </c>
      <c r="E9" s="12">
        <v>8</v>
      </c>
      <c r="F9" s="13">
        <f t="shared" si="0"/>
        <v>5.29411764705882</v>
      </c>
      <c r="G9" s="14">
        <f t="shared" si="1"/>
        <v>0.85</v>
      </c>
      <c r="H9" s="15">
        <v>4.5</v>
      </c>
      <c r="I9" s="15">
        <f t="shared" si="2"/>
        <v>36</v>
      </c>
      <c r="J9" s="11"/>
    </row>
    <row r="10" s="3" customFormat="1" ht="16" customHeight="1" spans="1:10">
      <c r="A10" s="11">
        <v>5</v>
      </c>
      <c r="B10" s="16" t="s">
        <v>96</v>
      </c>
      <c r="C10" s="16"/>
      <c r="D10" s="12" t="s">
        <v>14</v>
      </c>
      <c r="E10" s="12">
        <v>10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35</v>
      </c>
      <c r="J10" s="11"/>
    </row>
    <row r="11" s="3" customFormat="1" ht="16" customHeight="1" spans="1:10">
      <c r="A11" s="11">
        <v>6</v>
      </c>
      <c r="B11" s="11" t="s">
        <v>97</v>
      </c>
      <c r="C11" s="11"/>
      <c r="D11" s="12" t="s">
        <v>14</v>
      </c>
      <c r="E11" s="12">
        <v>15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67.5</v>
      </c>
      <c r="J11" s="11"/>
    </row>
    <row r="12" s="3" customFormat="1" ht="16" customHeight="1" spans="1:10">
      <c r="A12" s="11">
        <v>7</v>
      </c>
      <c r="B12" s="11" t="s">
        <v>58</v>
      </c>
      <c r="C12" s="11"/>
      <c r="D12" s="12" t="s">
        <v>14</v>
      </c>
      <c r="E12" s="12">
        <v>8</v>
      </c>
      <c r="F12" s="13">
        <f t="shared" si="0"/>
        <v>4.11764705882353</v>
      </c>
      <c r="G12" s="14">
        <f t="shared" si="1"/>
        <v>0.85</v>
      </c>
      <c r="H12" s="15">
        <v>3.5</v>
      </c>
      <c r="I12" s="15">
        <f t="shared" si="2"/>
        <v>28</v>
      </c>
      <c r="J12" s="11"/>
    </row>
    <row r="13" s="3" customFormat="1" ht="16" customHeight="1" spans="1:10">
      <c r="A13" s="11">
        <v>8</v>
      </c>
      <c r="B13" s="11" t="s">
        <v>18</v>
      </c>
      <c r="C13" s="11"/>
      <c r="D13" s="12" t="s">
        <v>14</v>
      </c>
      <c r="E13" s="12">
        <v>9</v>
      </c>
      <c r="F13" s="13">
        <f t="shared" si="0"/>
        <v>9.17647058823529</v>
      </c>
      <c r="G13" s="14">
        <f t="shared" si="1"/>
        <v>0.85</v>
      </c>
      <c r="H13" s="15">
        <v>7.8</v>
      </c>
      <c r="I13" s="15">
        <f t="shared" si="2"/>
        <v>70.2</v>
      </c>
      <c r="J13" s="11"/>
    </row>
    <row r="14" s="3" customFormat="1" ht="16" customHeight="1" spans="1:10">
      <c r="A14" s="11">
        <v>9</v>
      </c>
      <c r="B14" s="16" t="s">
        <v>60</v>
      </c>
      <c r="C14" s="16"/>
      <c r="D14" s="17" t="s">
        <v>14</v>
      </c>
      <c r="E14" s="17">
        <v>9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40.5</v>
      </c>
      <c r="J14" s="16"/>
    </row>
    <row r="15" s="3" customFormat="1" ht="16" customHeight="1" spans="1:10">
      <c r="A15" s="11">
        <v>10</v>
      </c>
      <c r="B15" s="16" t="s">
        <v>98</v>
      </c>
      <c r="C15" s="16"/>
      <c r="D15" s="17" t="s">
        <v>14</v>
      </c>
      <c r="E15" s="17">
        <v>13</v>
      </c>
      <c r="F15" s="13">
        <f t="shared" si="0"/>
        <v>4.47058823529412</v>
      </c>
      <c r="G15" s="14">
        <f t="shared" si="1"/>
        <v>0.85</v>
      </c>
      <c r="H15" s="18">
        <v>3.8</v>
      </c>
      <c r="I15" s="15">
        <f t="shared" si="2"/>
        <v>49.4</v>
      </c>
      <c r="J15" s="16"/>
    </row>
    <row r="16" s="3" customFormat="1" ht="16" customHeight="1" spans="1:10">
      <c r="A16" s="11">
        <v>11</v>
      </c>
      <c r="B16" s="16" t="s">
        <v>99</v>
      </c>
      <c r="C16" s="16"/>
      <c r="D16" s="17" t="s">
        <v>14</v>
      </c>
      <c r="E16" s="17">
        <v>5.3</v>
      </c>
      <c r="F16" s="13">
        <f t="shared" si="0"/>
        <v>2.94117647058824</v>
      </c>
      <c r="G16" s="14">
        <f t="shared" si="1"/>
        <v>0.85</v>
      </c>
      <c r="H16" s="18">
        <v>2.5</v>
      </c>
      <c r="I16" s="15">
        <f t="shared" si="2"/>
        <v>13.25</v>
      </c>
      <c r="J16" s="16"/>
    </row>
    <row r="17" s="3" customFormat="1" ht="16" customHeight="1" spans="1:10">
      <c r="A17" s="11">
        <v>12</v>
      </c>
      <c r="B17" s="16" t="s">
        <v>23</v>
      </c>
      <c r="C17" s="16"/>
      <c r="D17" s="16" t="s">
        <v>14</v>
      </c>
      <c r="E17" s="17">
        <v>19</v>
      </c>
      <c r="F17" s="13">
        <f t="shared" si="0"/>
        <v>5.29411764705882</v>
      </c>
      <c r="G17" s="14">
        <f t="shared" si="1"/>
        <v>0.85</v>
      </c>
      <c r="H17" s="18">
        <v>4.5</v>
      </c>
      <c r="I17" s="15">
        <f t="shared" si="2"/>
        <v>85.5</v>
      </c>
      <c r="J17" s="16"/>
    </row>
    <row r="18" s="3" customFormat="1" ht="16" customHeight="1" spans="1:10">
      <c r="A18" s="11">
        <v>13</v>
      </c>
      <c r="B18" s="16" t="s">
        <v>24</v>
      </c>
      <c r="C18" s="16"/>
      <c r="D18" s="17" t="s">
        <v>14</v>
      </c>
      <c r="E18" s="17">
        <v>2</v>
      </c>
      <c r="F18" s="13">
        <f t="shared" ref="F18:F29" si="3">H18/0.85</f>
        <v>5.88235294117647</v>
      </c>
      <c r="G18" s="14">
        <f t="shared" ref="G18:G29" si="4">H18/F18</f>
        <v>0.85</v>
      </c>
      <c r="H18" s="18">
        <v>5</v>
      </c>
      <c r="I18" s="15">
        <f t="shared" ref="I18:I29" si="5">E18*H18</f>
        <v>10</v>
      </c>
      <c r="J18" s="16"/>
    </row>
    <row r="19" s="3" customFormat="1" ht="16" customHeight="1" spans="1:10">
      <c r="A19" s="11">
        <v>14</v>
      </c>
      <c r="B19" s="11" t="s">
        <v>100</v>
      </c>
      <c r="C19" s="11"/>
      <c r="D19" s="12" t="s">
        <v>14</v>
      </c>
      <c r="E19" s="12">
        <v>18</v>
      </c>
      <c r="F19" s="13">
        <f t="shared" si="3"/>
        <v>2.35294117647059</v>
      </c>
      <c r="G19" s="14">
        <f t="shared" si="4"/>
        <v>0.85</v>
      </c>
      <c r="H19" s="15">
        <v>2</v>
      </c>
      <c r="I19" s="15">
        <f t="shared" si="5"/>
        <v>36</v>
      </c>
      <c r="J19" s="11"/>
    </row>
    <row r="20" s="3" customFormat="1" ht="16" customHeight="1" spans="1:10">
      <c r="A20" s="11">
        <v>15</v>
      </c>
      <c r="B20" s="16" t="s">
        <v>101</v>
      </c>
      <c r="C20" s="16" t="s">
        <v>102</v>
      </c>
      <c r="D20" s="12" t="s">
        <v>14</v>
      </c>
      <c r="E20" s="12">
        <v>7.5</v>
      </c>
      <c r="F20" s="13">
        <f t="shared" si="3"/>
        <v>5.29411764705882</v>
      </c>
      <c r="G20" s="14">
        <f t="shared" si="4"/>
        <v>0.85</v>
      </c>
      <c r="H20" s="15">
        <v>4.5</v>
      </c>
      <c r="I20" s="15">
        <f t="shared" si="5"/>
        <v>33.75</v>
      </c>
      <c r="J20" s="11"/>
    </row>
    <row r="21" s="3" customFormat="1" ht="16" customHeight="1" spans="1:10">
      <c r="A21" s="11">
        <v>16</v>
      </c>
      <c r="B21" s="16" t="s">
        <v>103</v>
      </c>
      <c r="C21" s="16"/>
      <c r="D21" s="16" t="s">
        <v>14</v>
      </c>
      <c r="E21" s="17">
        <v>4</v>
      </c>
      <c r="F21" s="13">
        <f t="shared" si="3"/>
        <v>4.11764705882353</v>
      </c>
      <c r="G21" s="14">
        <f t="shared" si="4"/>
        <v>0.85</v>
      </c>
      <c r="H21" s="18">
        <v>3.5</v>
      </c>
      <c r="I21" s="15">
        <f t="shared" si="5"/>
        <v>14</v>
      </c>
      <c r="J21" s="16"/>
    </row>
    <row r="22" s="3" customFormat="1" ht="16" customHeight="1" spans="1:10">
      <c r="A22" s="11">
        <v>17</v>
      </c>
      <c r="B22" s="11" t="s">
        <v>25</v>
      </c>
      <c r="C22" s="11"/>
      <c r="D22" s="16" t="s">
        <v>14</v>
      </c>
      <c r="E22" s="12">
        <v>3</v>
      </c>
      <c r="F22" s="13">
        <f t="shared" si="3"/>
        <v>19.7647058823529</v>
      </c>
      <c r="G22" s="14">
        <f t="shared" si="4"/>
        <v>0.85</v>
      </c>
      <c r="H22" s="15">
        <v>16.8</v>
      </c>
      <c r="I22" s="15">
        <f t="shared" si="5"/>
        <v>50.4</v>
      </c>
      <c r="J22" s="11"/>
    </row>
    <row r="23" s="3" customFormat="1" ht="16" customHeight="1" spans="1:10">
      <c r="A23" s="11">
        <v>18</v>
      </c>
      <c r="B23" s="11" t="s">
        <v>26</v>
      </c>
      <c r="C23" s="11"/>
      <c r="D23" s="16" t="s">
        <v>14</v>
      </c>
      <c r="E23" s="12">
        <v>3</v>
      </c>
      <c r="F23" s="13">
        <f t="shared" si="3"/>
        <v>17.4117647058824</v>
      </c>
      <c r="G23" s="14">
        <f t="shared" si="4"/>
        <v>0.85</v>
      </c>
      <c r="H23" s="15">
        <v>14.8</v>
      </c>
      <c r="I23" s="15">
        <f t="shared" si="5"/>
        <v>44.4</v>
      </c>
      <c r="J23" s="11"/>
    </row>
    <row r="24" s="3" customFormat="1" ht="16" customHeight="1" spans="1:10">
      <c r="A24" s="11">
        <v>19</v>
      </c>
      <c r="B24" s="11" t="s">
        <v>84</v>
      </c>
      <c r="C24" s="11"/>
      <c r="D24" s="11" t="s">
        <v>14</v>
      </c>
      <c r="E24" s="12">
        <v>8</v>
      </c>
      <c r="F24" s="13">
        <f t="shared" si="3"/>
        <v>21.7647058823529</v>
      </c>
      <c r="G24" s="14">
        <f t="shared" si="4"/>
        <v>0.85</v>
      </c>
      <c r="H24" s="15">
        <v>18.5</v>
      </c>
      <c r="I24" s="15">
        <f t="shared" si="5"/>
        <v>148</v>
      </c>
      <c r="J24" s="11"/>
    </row>
    <row r="25" s="3" customFormat="1" ht="16" customHeight="1" spans="1:10">
      <c r="A25" s="11">
        <v>21</v>
      </c>
      <c r="B25" s="11" t="s">
        <v>104</v>
      </c>
      <c r="C25" s="11"/>
      <c r="D25" s="11" t="s">
        <v>14</v>
      </c>
      <c r="E25" s="12">
        <v>5</v>
      </c>
      <c r="F25" s="13">
        <f>H25/0.85</f>
        <v>23.5294117647059</v>
      </c>
      <c r="G25" s="14">
        <f>H25/F25</f>
        <v>0.85</v>
      </c>
      <c r="H25" s="15">
        <v>20</v>
      </c>
      <c r="I25" s="15">
        <f>E25*H25</f>
        <v>100</v>
      </c>
      <c r="J25" s="11"/>
    </row>
    <row r="26" s="3" customFormat="1" ht="16" customHeight="1" spans="1:10">
      <c r="A26" s="11">
        <v>22</v>
      </c>
      <c r="B26" s="11" t="s">
        <v>105</v>
      </c>
      <c r="C26" s="11"/>
      <c r="D26" s="11" t="s">
        <v>14</v>
      </c>
      <c r="E26" s="12">
        <v>8</v>
      </c>
      <c r="F26" s="13">
        <f>H26/0.85</f>
        <v>5.76470588235294</v>
      </c>
      <c r="G26" s="14">
        <f>H26/F26</f>
        <v>0.85</v>
      </c>
      <c r="H26" s="15">
        <v>4.9</v>
      </c>
      <c r="I26" s="15">
        <f>E26*H26</f>
        <v>39.2</v>
      </c>
      <c r="J26" s="11"/>
    </row>
    <row r="27" s="3" customFormat="1" ht="16" customHeight="1" spans="1:10">
      <c r="A27" s="11">
        <v>23</v>
      </c>
      <c r="B27" s="11" t="s">
        <v>106</v>
      </c>
      <c r="C27" s="11" t="s">
        <v>45</v>
      </c>
      <c r="D27" s="11" t="s">
        <v>46</v>
      </c>
      <c r="E27" s="12">
        <v>60</v>
      </c>
      <c r="F27" s="13">
        <f>H27/0.85</f>
        <v>4.11764705882353</v>
      </c>
      <c r="G27" s="14">
        <f>H27/F27</f>
        <v>0.85</v>
      </c>
      <c r="H27" s="15">
        <v>3.5</v>
      </c>
      <c r="I27" s="15">
        <f>E27*H27</f>
        <v>210</v>
      </c>
      <c r="J27" s="11"/>
    </row>
    <row r="28" s="3" customFormat="1" ht="16" customHeight="1" spans="1:10">
      <c r="A28" s="11">
        <v>24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25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26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27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28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55</v>
      </c>
      <c r="B33" s="19">
        <f>SUM(I6:I32)</f>
        <v>1164.6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1164.6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49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6:C19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7" workbookViewId="0">
      <selection activeCell="F25" sqref="F25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45177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107</v>
      </c>
      <c r="C7" s="11"/>
      <c r="D7" s="12" t="s">
        <v>14</v>
      </c>
      <c r="E7" s="12">
        <v>2</v>
      </c>
      <c r="F7" s="13">
        <f>H7/0.85</f>
        <v>4.70588235294118</v>
      </c>
      <c r="G7" s="14">
        <f>H7/F7</f>
        <v>0.85</v>
      </c>
      <c r="H7" s="15">
        <v>4</v>
      </c>
      <c r="I7" s="15">
        <f>E7*H7</f>
        <v>8</v>
      </c>
      <c r="J7" s="11"/>
    </row>
    <row r="8" s="3" customFormat="1" ht="16" customHeight="1" spans="1:10">
      <c r="A8" s="11">
        <v>3</v>
      </c>
      <c r="B8" s="11" t="s">
        <v>108</v>
      </c>
      <c r="C8" s="11"/>
      <c r="D8" s="12" t="s">
        <v>14</v>
      </c>
      <c r="E8" s="12">
        <v>2</v>
      </c>
      <c r="F8" s="13">
        <f t="shared" ref="F8:F32" si="0">H8/0.85</f>
        <v>4.11764705882353</v>
      </c>
      <c r="G8" s="14">
        <f t="shared" ref="G8:G32" si="1">H8/F8</f>
        <v>0.85</v>
      </c>
      <c r="H8" s="15">
        <v>3.5</v>
      </c>
      <c r="I8" s="15">
        <f t="shared" ref="I8:I32" si="2">E8*H8</f>
        <v>7</v>
      </c>
      <c r="J8" s="11"/>
    </row>
    <row r="9" s="3" customFormat="1" ht="16" customHeight="1" spans="1:10">
      <c r="A9" s="11">
        <v>4</v>
      </c>
      <c r="B9" s="16" t="s">
        <v>15</v>
      </c>
      <c r="C9" s="16"/>
      <c r="D9" s="12" t="s">
        <v>14</v>
      </c>
      <c r="E9" s="12">
        <v>5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17.5</v>
      </c>
      <c r="J9" s="11"/>
    </row>
    <row r="10" s="3" customFormat="1" ht="16" customHeight="1" spans="1:10">
      <c r="A10" s="11">
        <v>5</v>
      </c>
      <c r="B10" s="16" t="s">
        <v>109</v>
      </c>
      <c r="C10" s="16"/>
      <c r="D10" s="12" t="s">
        <v>14</v>
      </c>
      <c r="E10" s="12">
        <v>5</v>
      </c>
      <c r="F10" s="13">
        <f t="shared" si="0"/>
        <v>2.94117647058824</v>
      </c>
      <c r="G10" s="14">
        <f t="shared" si="1"/>
        <v>0.85</v>
      </c>
      <c r="H10" s="15">
        <v>2.5</v>
      </c>
      <c r="I10" s="15">
        <f t="shared" si="2"/>
        <v>12.5</v>
      </c>
      <c r="J10" s="11"/>
    </row>
    <row r="11" s="3" customFormat="1" ht="16" customHeight="1" spans="1:10">
      <c r="A11" s="11">
        <v>6</v>
      </c>
      <c r="B11" s="11" t="s">
        <v>110</v>
      </c>
      <c r="C11" s="11"/>
      <c r="D11" s="12" t="s">
        <v>14</v>
      </c>
      <c r="E11" s="12">
        <v>5</v>
      </c>
      <c r="F11" s="13">
        <f t="shared" si="0"/>
        <v>15.0588235294118</v>
      </c>
      <c r="G11" s="14">
        <f t="shared" si="1"/>
        <v>0.85</v>
      </c>
      <c r="H11" s="15">
        <v>12.8</v>
      </c>
      <c r="I11" s="15">
        <f t="shared" si="2"/>
        <v>64</v>
      </c>
      <c r="J11" s="11"/>
    </row>
    <row r="12" s="3" customFormat="1" ht="16" customHeight="1" spans="1:10">
      <c r="A12" s="11">
        <v>7</v>
      </c>
      <c r="B12" s="11" t="s">
        <v>111</v>
      </c>
      <c r="C12" s="11"/>
      <c r="D12" s="12" t="s">
        <v>14</v>
      </c>
      <c r="E12" s="12">
        <v>8</v>
      </c>
      <c r="F12" s="13">
        <f t="shared" si="0"/>
        <v>17.0588235294118</v>
      </c>
      <c r="G12" s="14">
        <f t="shared" si="1"/>
        <v>0.85</v>
      </c>
      <c r="H12" s="15">
        <v>14.5</v>
      </c>
      <c r="I12" s="15">
        <f t="shared" si="2"/>
        <v>116</v>
      </c>
      <c r="J12" s="11"/>
    </row>
    <row r="13" s="3" customFormat="1" ht="16" customHeight="1" spans="1:10">
      <c r="A13" s="11">
        <v>8</v>
      </c>
      <c r="B13" s="11" t="s">
        <v>18</v>
      </c>
      <c r="C13" s="11"/>
      <c r="D13" s="12" t="s">
        <v>14</v>
      </c>
      <c r="E13" s="12">
        <v>3</v>
      </c>
      <c r="F13" s="13">
        <f t="shared" si="0"/>
        <v>9.17647058823529</v>
      </c>
      <c r="G13" s="14">
        <f t="shared" si="1"/>
        <v>0.85</v>
      </c>
      <c r="H13" s="15">
        <v>7.8</v>
      </c>
      <c r="I13" s="15">
        <f t="shared" si="2"/>
        <v>23.4</v>
      </c>
      <c r="J13" s="11"/>
    </row>
    <row r="14" s="3" customFormat="1" ht="16" customHeight="1" spans="1:10">
      <c r="A14" s="11">
        <v>9</v>
      </c>
      <c r="B14" s="16" t="s">
        <v>112</v>
      </c>
      <c r="C14" s="16"/>
      <c r="D14" s="17" t="s">
        <v>14</v>
      </c>
      <c r="E14" s="17">
        <v>5</v>
      </c>
      <c r="F14" s="13">
        <f t="shared" si="0"/>
        <v>2.94117647058824</v>
      </c>
      <c r="G14" s="14">
        <f t="shared" si="1"/>
        <v>0.85</v>
      </c>
      <c r="H14" s="15">
        <v>2.5</v>
      </c>
      <c r="I14" s="15">
        <f t="shared" si="2"/>
        <v>12.5</v>
      </c>
      <c r="J14" s="16"/>
    </row>
    <row r="15" s="3" customFormat="1" ht="16" customHeight="1" spans="1:10">
      <c r="A15" s="11">
        <v>10</v>
      </c>
      <c r="B15" s="16" t="s">
        <v>20</v>
      </c>
      <c r="C15" s="16"/>
      <c r="D15" s="17" t="s">
        <v>21</v>
      </c>
      <c r="E15" s="17">
        <v>7</v>
      </c>
      <c r="F15" s="13">
        <f t="shared" si="0"/>
        <v>3.52941176470588</v>
      </c>
      <c r="G15" s="14">
        <f t="shared" si="1"/>
        <v>0.85</v>
      </c>
      <c r="H15" s="15">
        <v>3</v>
      </c>
      <c r="I15" s="15">
        <f t="shared" si="2"/>
        <v>21</v>
      </c>
      <c r="J15" s="16"/>
    </row>
    <row r="16" s="3" customFormat="1" ht="16" customHeight="1" spans="1:10">
      <c r="A16" s="11">
        <v>11</v>
      </c>
      <c r="B16" s="16" t="s">
        <v>60</v>
      </c>
      <c r="C16" s="16"/>
      <c r="D16" s="17" t="s">
        <v>14</v>
      </c>
      <c r="E16" s="17">
        <v>8</v>
      </c>
      <c r="F16" s="13">
        <f t="shared" si="0"/>
        <v>5.29411764705882</v>
      </c>
      <c r="G16" s="14">
        <f t="shared" si="1"/>
        <v>0.85</v>
      </c>
      <c r="H16" s="15">
        <v>4.5</v>
      </c>
      <c r="I16" s="15">
        <f t="shared" si="2"/>
        <v>36</v>
      </c>
      <c r="J16" s="16"/>
    </row>
    <row r="17" s="3" customFormat="1" ht="16" customHeight="1" spans="1:10">
      <c r="A17" s="11">
        <v>12</v>
      </c>
      <c r="B17" s="16" t="s">
        <v>53</v>
      </c>
      <c r="C17" s="16"/>
      <c r="D17" s="17" t="s">
        <v>14</v>
      </c>
      <c r="E17" s="17">
        <v>7</v>
      </c>
      <c r="F17" s="13">
        <f t="shared" si="0"/>
        <v>4.47058823529412</v>
      </c>
      <c r="G17" s="14">
        <f t="shared" si="1"/>
        <v>0.85</v>
      </c>
      <c r="H17" s="15">
        <v>3.8</v>
      </c>
      <c r="I17" s="15">
        <f t="shared" si="2"/>
        <v>26.6</v>
      </c>
      <c r="J17" s="16"/>
    </row>
    <row r="18" s="3" customFormat="1" ht="16" customHeight="1" spans="1:10">
      <c r="A18" s="11">
        <v>13</v>
      </c>
      <c r="B18" s="16" t="s">
        <v>23</v>
      </c>
      <c r="C18" s="16"/>
      <c r="D18" s="17" t="s">
        <v>14</v>
      </c>
      <c r="E18" s="17">
        <v>4</v>
      </c>
      <c r="F18" s="13">
        <f t="shared" si="0"/>
        <v>5.29411764705882</v>
      </c>
      <c r="G18" s="14">
        <f t="shared" si="1"/>
        <v>0.85</v>
      </c>
      <c r="H18" s="15">
        <v>4.5</v>
      </c>
      <c r="I18" s="15">
        <f t="shared" si="2"/>
        <v>18</v>
      </c>
      <c r="J18" s="16"/>
    </row>
    <row r="19" s="3" customFormat="1" ht="16" customHeight="1" spans="1:10">
      <c r="A19" s="11">
        <v>14</v>
      </c>
      <c r="B19" s="11" t="s">
        <v>113</v>
      </c>
      <c r="C19" s="11"/>
      <c r="D19" s="12" t="s">
        <v>14</v>
      </c>
      <c r="E19" s="12">
        <v>13</v>
      </c>
      <c r="F19" s="13">
        <f t="shared" si="0"/>
        <v>5.64705882352941</v>
      </c>
      <c r="G19" s="14">
        <f t="shared" si="1"/>
        <v>0.85</v>
      </c>
      <c r="H19" s="15">
        <v>4.8</v>
      </c>
      <c r="I19" s="15">
        <f t="shared" si="2"/>
        <v>62.4</v>
      </c>
      <c r="J19" s="11"/>
    </row>
    <row r="20" s="3" customFormat="1" ht="16" customHeight="1" spans="1:10">
      <c r="A20" s="11">
        <v>15</v>
      </c>
      <c r="B20" s="16" t="s">
        <v>61</v>
      </c>
      <c r="C20" s="16"/>
      <c r="D20" s="17" t="s">
        <v>14</v>
      </c>
      <c r="E20" s="17">
        <v>13</v>
      </c>
      <c r="F20" s="13">
        <f t="shared" si="0"/>
        <v>5.64705882352941</v>
      </c>
      <c r="G20" s="14">
        <f t="shared" si="1"/>
        <v>0.85</v>
      </c>
      <c r="H20" s="15">
        <v>4.8</v>
      </c>
      <c r="I20" s="15">
        <f t="shared" si="2"/>
        <v>62.4</v>
      </c>
      <c r="J20" s="16"/>
    </row>
    <row r="21" s="3" customFormat="1" ht="16" customHeight="1" spans="1:10">
      <c r="A21" s="11">
        <v>16</v>
      </c>
      <c r="B21" s="16" t="s">
        <v>62</v>
      </c>
      <c r="C21" s="16"/>
      <c r="D21" s="17" t="s">
        <v>14</v>
      </c>
      <c r="E21" s="17">
        <v>4</v>
      </c>
      <c r="F21" s="13">
        <f t="shared" si="0"/>
        <v>6.47058823529412</v>
      </c>
      <c r="G21" s="14">
        <f t="shared" si="1"/>
        <v>0.85</v>
      </c>
      <c r="H21" s="15">
        <v>5.5</v>
      </c>
      <c r="I21" s="15">
        <f t="shared" si="2"/>
        <v>22</v>
      </c>
      <c r="J21" s="16"/>
    </row>
    <row r="22" s="3" customFormat="1" ht="16" customHeight="1" spans="1:10">
      <c r="A22" s="11">
        <v>17</v>
      </c>
      <c r="B22" s="16" t="s">
        <v>54</v>
      </c>
      <c r="C22" s="16"/>
      <c r="D22" s="17" t="s">
        <v>14</v>
      </c>
      <c r="E22" s="17">
        <v>6</v>
      </c>
      <c r="F22" s="13">
        <f t="shared" si="0"/>
        <v>4.11764705882353</v>
      </c>
      <c r="G22" s="14">
        <f t="shared" si="1"/>
        <v>0.85</v>
      </c>
      <c r="H22" s="15">
        <v>3.5</v>
      </c>
      <c r="I22" s="15">
        <f t="shared" si="2"/>
        <v>21</v>
      </c>
      <c r="J22" s="16"/>
    </row>
    <row r="23" s="3" customFormat="1" ht="16" customHeight="1" spans="1:10">
      <c r="A23" s="11">
        <v>18</v>
      </c>
      <c r="B23" s="16" t="s">
        <v>114</v>
      </c>
      <c r="C23" s="16"/>
      <c r="D23" s="16" t="s">
        <v>14</v>
      </c>
      <c r="E23" s="17">
        <v>12</v>
      </c>
      <c r="F23" s="13">
        <f t="shared" si="0"/>
        <v>11.5294117647059</v>
      </c>
      <c r="G23" s="14">
        <f t="shared" si="1"/>
        <v>0.85</v>
      </c>
      <c r="H23" s="15">
        <v>9.8</v>
      </c>
      <c r="I23" s="15">
        <f t="shared" si="2"/>
        <v>117.6</v>
      </c>
      <c r="J23" s="16"/>
    </row>
    <row r="24" s="3" customFormat="1" ht="16" customHeight="1" spans="1:10">
      <c r="A24" s="11">
        <v>19</v>
      </c>
      <c r="B24" s="16" t="s">
        <v>115</v>
      </c>
      <c r="C24" s="16"/>
      <c r="D24" s="17" t="s">
        <v>14</v>
      </c>
      <c r="E24" s="17">
        <v>14</v>
      </c>
      <c r="F24" s="13">
        <f t="shared" si="0"/>
        <v>6.47058823529412</v>
      </c>
      <c r="G24" s="14">
        <f t="shared" si="1"/>
        <v>0.85</v>
      </c>
      <c r="H24" s="15">
        <v>5.5</v>
      </c>
      <c r="I24" s="15">
        <f t="shared" si="2"/>
        <v>77</v>
      </c>
      <c r="J24" s="16"/>
    </row>
    <row r="25" s="3" customFormat="1" ht="16" customHeight="1" spans="1:10">
      <c r="A25" s="11">
        <v>20</v>
      </c>
      <c r="B25" s="16" t="s">
        <v>63</v>
      </c>
      <c r="C25" s="16" t="s">
        <v>64</v>
      </c>
      <c r="D25" s="17" t="s">
        <v>41</v>
      </c>
      <c r="E25" s="17">
        <v>1</v>
      </c>
      <c r="F25" s="13">
        <f t="shared" si="0"/>
        <v>352.941176470588</v>
      </c>
      <c r="G25" s="14">
        <f t="shared" si="1"/>
        <v>0.85</v>
      </c>
      <c r="H25" s="15">
        <v>300</v>
      </c>
      <c r="I25" s="15">
        <f t="shared" si="2"/>
        <v>300</v>
      </c>
      <c r="J25" s="16"/>
    </row>
    <row r="26" s="3" customFormat="1" ht="16" customHeight="1" spans="1:10">
      <c r="A26" s="11">
        <v>21</v>
      </c>
      <c r="B26" s="11" t="s">
        <v>25</v>
      </c>
      <c r="C26" s="11"/>
      <c r="D26" s="12" t="s">
        <v>14</v>
      </c>
      <c r="E26" s="12">
        <v>4</v>
      </c>
      <c r="F26" s="13">
        <f t="shared" si="0"/>
        <v>19.7647058823529</v>
      </c>
      <c r="G26" s="14">
        <f t="shared" si="1"/>
        <v>0.85</v>
      </c>
      <c r="H26" s="15">
        <v>16.8</v>
      </c>
      <c r="I26" s="15">
        <f t="shared" si="2"/>
        <v>67.2</v>
      </c>
      <c r="J26" s="11"/>
    </row>
    <row r="27" s="3" customFormat="1" ht="16" customHeight="1" spans="1:10">
      <c r="A27" s="11">
        <v>22</v>
      </c>
      <c r="B27" s="16" t="s">
        <v>72</v>
      </c>
      <c r="C27" s="16" t="s">
        <v>73</v>
      </c>
      <c r="D27" s="16" t="s">
        <v>41</v>
      </c>
      <c r="E27" s="17">
        <v>1</v>
      </c>
      <c r="F27" s="13">
        <f t="shared" si="0"/>
        <v>25.8823529411765</v>
      </c>
      <c r="G27" s="14">
        <f t="shared" si="1"/>
        <v>0.85</v>
      </c>
      <c r="H27" s="15">
        <v>22</v>
      </c>
      <c r="I27" s="15">
        <f t="shared" si="2"/>
        <v>22</v>
      </c>
      <c r="J27" s="16"/>
    </row>
    <row r="28" s="3" customFormat="1" ht="16" customHeight="1" spans="1:10">
      <c r="A28" s="11">
        <v>23</v>
      </c>
      <c r="B28" s="11" t="s">
        <v>116</v>
      </c>
      <c r="C28" s="11" t="s">
        <v>117</v>
      </c>
      <c r="D28" s="16" t="s">
        <v>41</v>
      </c>
      <c r="E28" s="12">
        <v>1</v>
      </c>
      <c r="F28" s="13">
        <f t="shared" si="0"/>
        <v>141.176470588235</v>
      </c>
      <c r="G28" s="14">
        <f t="shared" si="1"/>
        <v>0.85</v>
      </c>
      <c r="H28" s="15">
        <v>120</v>
      </c>
      <c r="I28" s="15">
        <f t="shared" si="2"/>
        <v>120</v>
      </c>
      <c r="J28" s="11"/>
    </row>
    <row r="29" s="3" customFormat="1" ht="16" customHeight="1" spans="1:10">
      <c r="A29" s="11">
        <v>25</v>
      </c>
      <c r="B29" s="11" t="s">
        <v>118</v>
      </c>
      <c r="C29" s="11" t="s">
        <v>119</v>
      </c>
      <c r="D29" s="11" t="s">
        <v>41</v>
      </c>
      <c r="E29" s="12">
        <v>1</v>
      </c>
      <c r="F29" s="13">
        <f>H29/0.85</f>
        <v>235.294117647059</v>
      </c>
      <c r="G29" s="14">
        <f>H29/F29</f>
        <v>0.85</v>
      </c>
      <c r="H29" s="15">
        <v>200</v>
      </c>
      <c r="I29" s="15">
        <f>E29*H29</f>
        <v>200</v>
      </c>
      <c r="J29" s="11"/>
    </row>
    <row r="30" s="3" customFormat="1" ht="16" customHeight="1" spans="1:10">
      <c r="A30" s="11">
        <v>26</v>
      </c>
      <c r="B30" s="11" t="s">
        <v>120</v>
      </c>
      <c r="C30" s="11" t="s">
        <v>121</v>
      </c>
      <c r="D30" s="11" t="s">
        <v>41</v>
      </c>
      <c r="E30" s="12">
        <v>1</v>
      </c>
      <c r="F30" s="13">
        <f>H30/0.85</f>
        <v>428.235294117647</v>
      </c>
      <c r="G30" s="14">
        <f>H30/F30</f>
        <v>0.85</v>
      </c>
      <c r="H30" s="15">
        <v>364</v>
      </c>
      <c r="I30" s="15">
        <f>E30*H30</f>
        <v>364</v>
      </c>
      <c r="J30" s="11"/>
    </row>
    <row r="31" s="3" customFormat="1" ht="16" customHeight="1" spans="1:10">
      <c r="A31" s="11">
        <v>27</v>
      </c>
      <c r="B31" s="11" t="s">
        <v>44</v>
      </c>
      <c r="C31" s="11" t="s">
        <v>45</v>
      </c>
      <c r="D31" s="11" t="s">
        <v>46</v>
      </c>
      <c r="E31" s="12">
        <v>68</v>
      </c>
      <c r="F31" s="13">
        <f>H31/0.85</f>
        <v>4.11764705882353</v>
      </c>
      <c r="G31" s="14">
        <f>H31/F31</f>
        <v>0.85</v>
      </c>
      <c r="H31" s="15">
        <v>3.5</v>
      </c>
      <c r="I31" s="15">
        <f>E31*H31</f>
        <v>238</v>
      </c>
      <c r="J31" s="11"/>
    </row>
    <row r="32" s="3" customFormat="1" ht="16" customHeight="1" spans="1:10">
      <c r="A32" s="11">
        <v>28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55</v>
      </c>
      <c r="B33" s="19">
        <f>SUM(I6:I32)</f>
        <v>2051.1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2051.1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49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5" workbookViewId="0">
      <selection activeCell="F11" sqref="F1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50</v>
      </c>
      <c r="B3" s="3" t="s">
        <v>51</v>
      </c>
    </row>
    <row r="4" s="3" customFormat="1" customHeight="1" spans="1:10">
      <c r="A4" s="3" t="s">
        <v>52</v>
      </c>
      <c r="B4" s="8">
        <v>45178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122</v>
      </c>
      <c r="C6" s="11"/>
      <c r="D6" s="12" t="s">
        <v>14</v>
      </c>
      <c r="E6" s="12">
        <v>7</v>
      </c>
      <c r="F6" s="13">
        <f t="shared" ref="F6:F13" si="0">H6/0.85</f>
        <v>8</v>
      </c>
      <c r="G6" s="14">
        <f t="shared" ref="G6:G13" si="1">H6/F6</f>
        <v>0.85</v>
      </c>
      <c r="H6" s="15">
        <v>6.8</v>
      </c>
      <c r="I6" s="15">
        <f t="shared" ref="I6:I13" si="2">E6*H6</f>
        <v>47.6</v>
      </c>
      <c r="J6" s="11"/>
    </row>
    <row r="7" s="3" customFormat="1" ht="16" customHeight="1" spans="1:10">
      <c r="A7" s="11">
        <v>2</v>
      </c>
      <c r="B7" s="11" t="s">
        <v>18</v>
      </c>
      <c r="C7" s="11"/>
      <c r="D7" s="12" t="s">
        <v>14</v>
      </c>
      <c r="E7" s="12">
        <v>2</v>
      </c>
      <c r="F7" s="13">
        <f t="shared" si="0"/>
        <v>9.17647058823529</v>
      </c>
      <c r="G7" s="14">
        <f t="shared" si="1"/>
        <v>0.85</v>
      </c>
      <c r="H7" s="15">
        <v>7.8</v>
      </c>
      <c r="I7" s="15">
        <f t="shared" si="2"/>
        <v>15.6</v>
      </c>
      <c r="J7" s="11"/>
    </row>
    <row r="8" s="3" customFormat="1" ht="16" customHeight="1" spans="1:10">
      <c r="A8" s="11">
        <v>3</v>
      </c>
      <c r="B8" s="11" t="s">
        <v>60</v>
      </c>
      <c r="C8" s="11"/>
      <c r="D8" s="12" t="s">
        <v>14</v>
      </c>
      <c r="E8" s="12">
        <v>2</v>
      </c>
      <c r="F8" s="13">
        <f t="shared" si="0"/>
        <v>5.29411764705882</v>
      </c>
      <c r="G8" s="14">
        <f t="shared" si="1"/>
        <v>0.85</v>
      </c>
      <c r="H8" s="15">
        <v>4.5</v>
      </c>
      <c r="I8" s="15">
        <f t="shared" si="2"/>
        <v>9</v>
      </c>
      <c r="J8" s="11"/>
    </row>
    <row r="9" s="3" customFormat="1" ht="16" customHeight="1" spans="1:10">
      <c r="A9" s="11">
        <v>4</v>
      </c>
      <c r="B9" s="16" t="s">
        <v>123</v>
      </c>
      <c r="C9" s="16"/>
      <c r="D9" s="12" t="s">
        <v>14</v>
      </c>
      <c r="E9" s="12">
        <v>4</v>
      </c>
      <c r="F9" s="13">
        <f t="shared" si="0"/>
        <v>11.5294117647059</v>
      </c>
      <c r="G9" s="14">
        <f t="shared" si="1"/>
        <v>0.85</v>
      </c>
      <c r="H9" s="15">
        <v>9.8</v>
      </c>
      <c r="I9" s="15">
        <f t="shared" si="2"/>
        <v>39.2</v>
      </c>
      <c r="J9" s="11"/>
    </row>
    <row r="10" s="3" customFormat="1" ht="16" customHeight="1" spans="1:10">
      <c r="A10" s="11">
        <v>5</v>
      </c>
      <c r="B10" s="11" t="s">
        <v>54</v>
      </c>
      <c r="C10" s="11"/>
      <c r="D10" s="12" t="s">
        <v>14</v>
      </c>
      <c r="E10" s="12">
        <v>7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24.5</v>
      </c>
      <c r="J10" s="11"/>
    </row>
    <row r="11" s="3" customFormat="1" ht="16" customHeight="1" spans="1:10">
      <c r="A11" s="11">
        <v>6</v>
      </c>
      <c r="B11" s="11" t="s">
        <v>65</v>
      </c>
      <c r="C11" s="11"/>
      <c r="D11" s="12" t="s">
        <v>14</v>
      </c>
      <c r="E11" s="12">
        <v>7</v>
      </c>
      <c r="F11" s="13">
        <f t="shared" si="0"/>
        <v>17.4117647058824</v>
      </c>
      <c r="G11" s="14">
        <f t="shared" si="1"/>
        <v>0.85</v>
      </c>
      <c r="H11" s="15">
        <v>14.8</v>
      </c>
      <c r="I11" s="15">
        <f t="shared" si="2"/>
        <v>103.6</v>
      </c>
      <c r="J11" s="11"/>
    </row>
    <row r="12" s="3" customFormat="1" ht="16" customHeight="1" spans="1:10">
      <c r="A12" s="11">
        <v>7</v>
      </c>
      <c r="B12" s="11" t="s">
        <v>71</v>
      </c>
      <c r="C12" s="11"/>
      <c r="D12" s="12" t="s">
        <v>14</v>
      </c>
      <c r="E12" s="12">
        <v>3</v>
      </c>
      <c r="F12" s="13">
        <f t="shared" si="0"/>
        <v>25.8823529411765</v>
      </c>
      <c r="G12" s="14">
        <f t="shared" si="1"/>
        <v>0.85</v>
      </c>
      <c r="H12" s="15">
        <v>22</v>
      </c>
      <c r="I12" s="15">
        <f t="shared" si="2"/>
        <v>66</v>
      </c>
      <c r="J12" s="11"/>
    </row>
    <row r="13" s="3" customFormat="1" ht="16" customHeight="1" spans="1:10">
      <c r="A13" s="11">
        <v>8</v>
      </c>
      <c r="B13" s="16" t="s">
        <v>124</v>
      </c>
      <c r="C13" s="16" t="s">
        <v>125</v>
      </c>
      <c r="D13" s="17" t="s">
        <v>126</v>
      </c>
      <c r="E13" s="17">
        <v>4</v>
      </c>
      <c r="F13" s="13">
        <f t="shared" si="0"/>
        <v>15.9294117647059</v>
      </c>
      <c r="G13" s="14">
        <f t="shared" si="1"/>
        <v>0.85</v>
      </c>
      <c r="H13" s="15">
        <v>13.54</v>
      </c>
      <c r="I13" s="15">
        <f t="shared" si="2"/>
        <v>54.16</v>
      </c>
      <c r="J13" s="16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5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5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5"/>
      <c r="I16" s="15"/>
      <c r="J16" s="16"/>
    </row>
    <row r="17" s="3" customFormat="1" ht="16" customHeight="1" spans="1:10">
      <c r="A17" s="11">
        <v>12</v>
      </c>
      <c r="B17" s="16"/>
      <c r="C17" s="16"/>
      <c r="D17" s="17"/>
      <c r="E17" s="17"/>
      <c r="F17" s="13"/>
      <c r="G17" s="14"/>
      <c r="H17" s="15"/>
      <c r="I17" s="15"/>
      <c r="J17" s="16"/>
    </row>
    <row r="18" s="3" customFormat="1" ht="16" customHeight="1" spans="1:10">
      <c r="A18" s="11">
        <v>13</v>
      </c>
      <c r="B18" s="11"/>
      <c r="C18" s="11"/>
      <c r="D18" s="12"/>
      <c r="E18" s="12"/>
      <c r="F18" s="13"/>
      <c r="G18" s="14"/>
      <c r="H18" s="15"/>
      <c r="I18" s="15"/>
      <c r="J18" s="11"/>
    </row>
    <row r="19" s="3" customFormat="1" ht="16" customHeight="1" spans="1:10">
      <c r="A19" s="11">
        <v>14</v>
      </c>
      <c r="B19" s="16"/>
      <c r="C19" s="16"/>
      <c r="D19" s="17"/>
      <c r="E19" s="17"/>
      <c r="F19" s="13"/>
      <c r="G19" s="14"/>
      <c r="H19" s="15"/>
      <c r="I19" s="15"/>
      <c r="J19" s="16"/>
    </row>
    <row r="20" s="3" customFormat="1" ht="16" customHeight="1" spans="1:10">
      <c r="A20" s="11">
        <v>15</v>
      </c>
      <c r="B20" s="16"/>
      <c r="C20" s="16"/>
      <c r="D20" s="17"/>
      <c r="E20" s="17"/>
      <c r="F20" s="13"/>
      <c r="G20" s="14"/>
      <c r="H20" s="15"/>
      <c r="I20" s="15"/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5"/>
      <c r="I21" s="15"/>
      <c r="J21" s="16"/>
    </row>
    <row r="22" s="3" customFormat="1" ht="16" customHeight="1" spans="1:10">
      <c r="A22" s="11">
        <v>17</v>
      </c>
      <c r="B22" s="16"/>
      <c r="C22" s="16"/>
      <c r="D22" s="16"/>
      <c r="E22" s="17"/>
      <c r="F22" s="13"/>
      <c r="G22" s="14"/>
      <c r="H22" s="15"/>
      <c r="I22" s="15"/>
      <c r="J22" s="16"/>
    </row>
    <row r="23" s="3" customFormat="1" ht="16" customHeight="1" spans="1:10">
      <c r="A23" s="11">
        <v>18</v>
      </c>
      <c r="B23" s="16"/>
      <c r="C23" s="16"/>
      <c r="D23" s="17"/>
      <c r="E23" s="17"/>
      <c r="F23" s="13"/>
      <c r="G23" s="14"/>
      <c r="H23" s="15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5"/>
      <c r="I24" s="15"/>
      <c r="J24" s="16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6"/>
      <c r="E27" s="17"/>
      <c r="F27" s="13"/>
      <c r="G27" s="14"/>
      <c r="H27" s="15"/>
      <c r="I27" s="15"/>
      <c r="J27" s="16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55</v>
      </c>
      <c r="B33" s="19">
        <f>SUM(I6:I32)</f>
        <v>359.66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359.66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49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8" workbookViewId="0">
      <selection activeCell="F26" sqref="F2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>H6/0.85</f>
        <v>3.52941176470588</v>
      </c>
      <c r="G6" s="14">
        <f t="shared" ref="G6:G25" si="0">H6/F6</f>
        <v>0.85</v>
      </c>
      <c r="H6" s="15">
        <v>3</v>
      </c>
      <c r="I6" s="15">
        <f t="shared" ref="I6:I25" si="1">E6*H6</f>
        <v>18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6</v>
      </c>
      <c r="F7" s="13">
        <f t="shared" ref="F7:F25" si="2">H7/0.85</f>
        <v>4.11764705882353</v>
      </c>
      <c r="G7" s="14">
        <f t="shared" si="0"/>
        <v>0.85</v>
      </c>
      <c r="H7" s="15">
        <v>3.5</v>
      </c>
      <c r="I7" s="15">
        <f t="shared" si="1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2"/>
        <v>4.11764705882353</v>
      </c>
      <c r="G8" s="14">
        <f t="shared" si="0"/>
        <v>0.85</v>
      </c>
      <c r="H8" s="15">
        <v>3.5</v>
      </c>
      <c r="I8" s="15">
        <f t="shared" si="1"/>
        <v>17.5</v>
      </c>
      <c r="J8" s="11"/>
    </row>
    <row r="9" s="3" customFormat="1" ht="16" customHeight="1" spans="1:10">
      <c r="A9" s="11">
        <v>4</v>
      </c>
      <c r="B9" s="16" t="s">
        <v>57</v>
      </c>
      <c r="C9" s="16"/>
      <c r="D9" s="12" t="s">
        <v>14</v>
      </c>
      <c r="E9" s="12">
        <v>2</v>
      </c>
      <c r="F9" s="13">
        <f t="shared" si="2"/>
        <v>4.11764705882353</v>
      </c>
      <c r="G9" s="14">
        <f t="shared" si="0"/>
        <v>0.85</v>
      </c>
      <c r="H9" s="15">
        <v>3.5</v>
      </c>
      <c r="I9" s="15">
        <f t="shared" si="1"/>
        <v>7</v>
      </c>
      <c r="J9" s="11"/>
    </row>
    <row r="10" s="3" customFormat="1" ht="16" customHeight="1" spans="1:10">
      <c r="A10" s="11">
        <v>5</v>
      </c>
      <c r="B10" s="16" t="s">
        <v>66</v>
      </c>
      <c r="C10" s="16"/>
      <c r="D10" s="12" t="s">
        <v>14</v>
      </c>
      <c r="E10" s="12">
        <v>1</v>
      </c>
      <c r="F10" s="13">
        <f t="shared" si="2"/>
        <v>8</v>
      </c>
      <c r="G10" s="14">
        <f t="shared" si="0"/>
        <v>0.85</v>
      </c>
      <c r="H10" s="15">
        <v>6.8</v>
      </c>
      <c r="I10" s="15">
        <f t="shared" si="1"/>
        <v>6.8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2</v>
      </c>
      <c r="F11" s="13">
        <f t="shared" si="2"/>
        <v>9.17647058823529</v>
      </c>
      <c r="G11" s="14">
        <f t="shared" si="0"/>
        <v>0.85</v>
      </c>
      <c r="H11" s="15">
        <v>7.8</v>
      </c>
      <c r="I11" s="15">
        <f t="shared" si="1"/>
        <v>15.6</v>
      </c>
      <c r="J11" s="11"/>
    </row>
    <row r="12" s="3" customFormat="1" ht="16" customHeight="1" spans="1:10">
      <c r="A12" s="11">
        <v>7</v>
      </c>
      <c r="B12" s="11" t="s">
        <v>60</v>
      </c>
      <c r="C12" s="11"/>
      <c r="D12" s="12" t="s">
        <v>14</v>
      </c>
      <c r="E12" s="12">
        <v>2</v>
      </c>
      <c r="F12" s="13">
        <f t="shared" si="2"/>
        <v>5.29411764705882</v>
      </c>
      <c r="G12" s="14">
        <f t="shared" si="0"/>
        <v>0.85</v>
      </c>
      <c r="H12" s="15">
        <v>4.5</v>
      </c>
      <c r="I12" s="15">
        <f t="shared" si="1"/>
        <v>9</v>
      </c>
      <c r="J12" s="11"/>
    </row>
    <row r="13" s="3" customFormat="1" ht="16" customHeight="1" spans="1:10">
      <c r="A13" s="11">
        <v>8</v>
      </c>
      <c r="B13" s="11" t="s">
        <v>127</v>
      </c>
      <c r="C13" s="11"/>
      <c r="D13" s="12" t="s">
        <v>14</v>
      </c>
      <c r="E13" s="12">
        <v>14</v>
      </c>
      <c r="F13" s="13">
        <f t="shared" si="2"/>
        <v>14.1176470588235</v>
      </c>
      <c r="G13" s="14">
        <f t="shared" si="0"/>
        <v>0.85</v>
      </c>
      <c r="H13" s="15">
        <v>12</v>
      </c>
      <c r="I13" s="15">
        <f t="shared" si="1"/>
        <v>168</v>
      </c>
      <c r="J13" s="11"/>
    </row>
    <row r="14" s="3" customFormat="1" ht="16" customHeight="1" spans="1:10">
      <c r="A14" s="11">
        <v>9</v>
      </c>
      <c r="B14" s="16" t="s">
        <v>62</v>
      </c>
      <c r="C14" s="16"/>
      <c r="D14" s="17" t="s">
        <v>14</v>
      </c>
      <c r="E14" s="17">
        <v>6</v>
      </c>
      <c r="F14" s="13">
        <f t="shared" si="2"/>
        <v>6.47058823529412</v>
      </c>
      <c r="G14" s="14">
        <f t="shared" si="0"/>
        <v>0.85</v>
      </c>
      <c r="H14" s="18">
        <v>5.5</v>
      </c>
      <c r="I14" s="15">
        <f t="shared" si="1"/>
        <v>33</v>
      </c>
      <c r="J14" s="16"/>
    </row>
    <row r="15" s="3" customFormat="1" ht="16" customHeight="1" spans="1:10">
      <c r="A15" s="11">
        <v>10</v>
      </c>
      <c r="B15" s="16" t="s">
        <v>54</v>
      </c>
      <c r="C15" s="16"/>
      <c r="D15" s="17" t="s">
        <v>14</v>
      </c>
      <c r="E15" s="17">
        <v>15</v>
      </c>
      <c r="F15" s="13">
        <f t="shared" si="2"/>
        <v>4.11764705882353</v>
      </c>
      <c r="G15" s="14">
        <f t="shared" si="0"/>
        <v>0.85</v>
      </c>
      <c r="H15" s="18">
        <v>3.5</v>
      </c>
      <c r="I15" s="15">
        <f t="shared" si="1"/>
        <v>52.5</v>
      </c>
      <c r="J15" s="16"/>
    </row>
    <row r="16" s="3" customFormat="1" ht="16" customHeight="1" spans="1:10">
      <c r="A16" s="11">
        <v>11</v>
      </c>
      <c r="B16" s="16" t="s">
        <v>128</v>
      </c>
      <c r="C16" s="16"/>
      <c r="D16" s="17" t="s">
        <v>14</v>
      </c>
      <c r="E16" s="17">
        <v>14</v>
      </c>
      <c r="F16" s="13">
        <f t="shared" si="2"/>
        <v>11.5294117647059</v>
      </c>
      <c r="G16" s="14">
        <f t="shared" si="0"/>
        <v>0.85</v>
      </c>
      <c r="H16" s="18">
        <v>9.8</v>
      </c>
      <c r="I16" s="15">
        <f t="shared" si="1"/>
        <v>137.2</v>
      </c>
      <c r="J16" s="16"/>
    </row>
    <row r="17" s="3" customFormat="1" ht="16" customHeight="1" spans="1:10">
      <c r="A17" s="11">
        <v>12</v>
      </c>
      <c r="B17" s="16" t="s">
        <v>103</v>
      </c>
      <c r="C17" s="16"/>
      <c r="D17" s="17" t="s">
        <v>14</v>
      </c>
      <c r="E17" s="17">
        <v>18</v>
      </c>
      <c r="F17" s="13">
        <f t="shared" si="2"/>
        <v>4.11764705882353</v>
      </c>
      <c r="G17" s="14">
        <f t="shared" si="0"/>
        <v>0.85</v>
      </c>
      <c r="H17" s="18">
        <v>3.5</v>
      </c>
      <c r="I17" s="15">
        <f t="shared" si="1"/>
        <v>63</v>
      </c>
      <c r="J17" s="16"/>
    </row>
    <row r="18" s="3" customFormat="1" ht="16" customHeight="1" spans="1:10">
      <c r="A18" s="11">
        <v>13</v>
      </c>
      <c r="B18" s="11" t="s">
        <v>25</v>
      </c>
      <c r="C18" s="11"/>
      <c r="D18" s="12" t="s">
        <v>14</v>
      </c>
      <c r="E18" s="12">
        <v>7</v>
      </c>
      <c r="F18" s="13">
        <f t="shared" si="2"/>
        <v>19.7647058823529</v>
      </c>
      <c r="G18" s="14">
        <f t="shared" si="0"/>
        <v>0.85</v>
      </c>
      <c r="H18" s="15">
        <v>16.8</v>
      </c>
      <c r="I18" s="15">
        <f t="shared" si="1"/>
        <v>117.6</v>
      </c>
      <c r="J18" s="11"/>
    </row>
    <row r="19" s="3" customFormat="1" ht="16" customHeight="1" spans="1:10">
      <c r="A19" s="11">
        <v>14</v>
      </c>
      <c r="B19" s="16" t="s">
        <v>129</v>
      </c>
      <c r="C19" s="16"/>
      <c r="D19" s="17" t="s">
        <v>14</v>
      </c>
      <c r="E19" s="17">
        <v>8</v>
      </c>
      <c r="F19" s="13">
        <f t="shared" ref="F19:F28" si="3">H19/0.85</f>
        <v>33.8823529411765</v>
      </c>
      <c r="G19" s="14">
        <f t="shared" ref="G19:G28" si="4">H19/F19</f>
        <v>0.85</v>
      </c>
      <c r="H19" s="15">
        <v>28.8</v>
      </c>
      <c r="I19" s="15">
        <f t="shared" ref="I19:I28" si="5">E19*H19</f>
        <v>230.4</v>
      </c>
      <c r="J19" s="16"/>
    </row>
    <row r="20" s="3" customFormat="1" ht="16" customHeight="1" spans="1:10">
      <c r="A20" s="11">
        <v>15</v>
      </c>
      <c r="B20" s="16" t="s">
        <v>130</v>
      </c>
      <c r="C20" s="16" t="s">
        <v>38</v>
      </c>
      <c r="D20" s="17" t="s">
        <v>14</v>
      </c>
      <c r="E20" s="17">
        <v>2</v>
      </c>
      <c r="F20" s="13">
        <f t="shared" si="3"/>
        <v>18.8235294117647</v>
      </c>
      <c r="G20" s="14">
        <f t="shared" si="4"/>
        <v>0.85</v>
      </c>
      <c r="H20" s="15">
        <v>16</v>
      </c>
      <c r="I20" s="15">
        <f t="shared" si="5"/>
        <v>32</v>
      </c>
      <c r="J20" s="16"/>
    </row>
    <row r="21" s="3" customFormat="1" ht="16" customHeight="1" spans="1:10">
      <c r="A21" s="11">
        <v>16</v>
      </c>
      <c r="B21" s="16" t="s">
        <v>131</v>
      </c>
      <c r="C21" s="16"/>
      <c r="D21" s="16" t="s">
        <v>31</v>
      </c>
      <c r="E21" s="17">
        <v>4</v>
      </c>
      <c r="F21" s="13">
        <f t="shared" si="3"/>
        <v>22.3529411764706</v>
      </c>
      <c r="G21" s="14">
        <f t="shared" si="4"/>
        <v>0.85</v>
      </c>
      <c r="H21" s="15">
        <v>19</v>
      </c>
      <c r="I21" s="15">
        <f t="shared" si="5"/>
        <v>76</v>
      </c>
      <c r="J21" s="16"/>
    </row>
    <row r="22" s="3" customFormat="1" ht="16" customHeight="1" spans="1:10">
      <c r="A22" s="11">
        <v>17</v>
      </c>
      <c r="B22" s="16" t="s">
        <v>132</v>
      </c>
      <c r="C22" s="16" t="s">
        <v>133</v>
      </c>
      <c r="D22" s="17" t="s">
        <v>14</v>
      </c>
      <c r="E22" s="17">
        <v>6</v>
      </c>
      <c r="F22" s="13">
        <f t="shared" si="3"/>
        <v>9.41176470588235</v>
      </c>
      <c r="G22" s="14">
        <f t="shared" si="4"/>
        <v>0.85</v>
      </c>
      <c r="H22" s="15">
        <v>8</v>
      </c>
      <c r="I22" s="15">
        <f t="shared" si="5"/>
        <v>48</v>
      </c>
      <c r="J22" s="16"/>
    </row>
    <row r="23" s="3" customFormat="1" ht="16" customHeight="1" spans="1:10">
      <c r="A23" s="11">
        <v>18</v>
      </c>
      <c r="B23" s="16" t="s">
        <v>134</v>
      </c>
      <c r="C23" s="16"/>
      <c r="D23" s="17" t="s">
        <v>14</v>
      </c>
      <c r="E23" s="17">
        <v>5</v>
      </c>
      <c r="F23" s="13">
        <f t="shared" si="3"/>
        <v>103.529411764706</v>
      </c>
      <c r="G23" s="14">
        <f t="shared" si="4"/>
        <v>0.85</v>
      </c>
      <c r="H23" s="15">
        <v>88</v>
      </c>
      <c r="I23" s="15">
        <f t="shared" si="5"/>
        <v>440</v>
      </c>
      <c r="J23" s="16"/>
    </row>
    <row r="24" s="3" customFormat="1" ht="16" customHeight="1" spans="1:10">
      <c r="A24" s="11">
        <v>19</v>
      </c>
      <c r="B24" s="11" t="s">
        <v>135</v>
      </c>
      <c r="C24" s="11" t="s">
        <v>136</v>
      </c>
      <c r="D24" s="12" t="s">
        <v>137</v>
      </c>
      <c r="E24" s="12">
        <v>3</v>
      </c>
      <c r="F24" s="13">
        <f t="shared" si="3"/>
        <v>14.1176470588235</v>
      </c>
      <c r="G24" s="14">
        <f t="shared" si="4"/>
        <v>0.85</v>
      </c>
      <c r="H24" s="15">
        <v>12</v>
      </c>
      <c r="I24" s="15">
        <f t="shared" si="5"/>
        <v>36</v>
      </c>
      <c r="J24" s="11"/>
    </row>
    <row r="25" s="3" customFormat="1" ht="16" customHeight="1" spans="1:10">
      <c r="A25" s="11">
        <v>20</v>
      </c>
      <c r="B25" s="16" t="s">
        <v>138</v>
      </c>
      <c r="C25" s="16" t="s">
        <v>139</v>
      </c>
      <c r="D25" s="12" t="s">
        <v>14</v>
      </c>
      <c r="E25" s="12">
        <v>5</v>
      </c>
      <c r="F25" s="13">
        <f t="shared" si="3"/>
        <v>6.47058823529412</v>
      </c>
      <c r="G25" s="14">
        <f t="shared" si="4"/>
        <v>0.85</v>
      </c>
      <c r="H25" s="15">
        <v>5.5</v>
      </c>
      <c r="I25" s="15">
        <f t="shared" si="5"/>
        <v>27.5</v>
      </c>
      <c r="J25" s="11"/>
    </row>
    <row r="26" s="3" customFormat="1" ht="16" customHeight="1" spans="1:10">
      <c r="A26" s="11">
        <v>21</v>
      </c>
      <c r="B26" s="16" t="s">
        <v>140</v>
      </c>
      <c r="C26" s="16" t="s">
        <v>141</v>
      </c>
      <c r="D26" s="16" t="s">
        <v>41</v>
      </c>
      <c r="E26" s="17">
        <v>1</v>
      </c>
      <c r="F26" s="13">
        <f t="shared" si="3"/>
        <v>411.764705882353</v>
      </c>
      <c r="G26" s="14">
        <f t="shared" si="4"/>
        <v>0.85</v>
      </c>
      <c r="H26" s="15">
        <v>350</v>
      </c>
      <c r="I26" s="15">
        <f t="shared" si="5"/>
        <v>350</v>
      </c>
      <c r="J26" s="16"/>
    </row>
    <row r="27" s="3" customFormat="1" ht="16" customHeight="1" spans="1:10">
      <c r="A27" s="11">
        <v>22</v>
      </c>
      <c r="B27" s="11" t="s">
        <v>142</v>
      </c>
      <c r="C27" s="11" t="s">
        <v>143</v>
      </c>
      <c r="D27" s="16" t="s">
        <v>14</v>
      </c>
      <c r="E27" s="12">
        <v>5</v>
      </c>
      <c r="F27" s="13">
        <f t="shared" si="3"/>
        <v>5.76470588235294</v>
      </c>
      <c r="G27" s="14">
        <f t="shared" si="4"/>
        <v>0.85</v>
      </c>
      <c r="H27" s="15">
        <v>4.9</v>
      </c>
      <c r="I27" s="15">
        <f t="shared" si="5"/>
        <v>24.5</v>
      </c>
      <c r="J27" s="11"/>
    </row>
    <row r="28" s="3" customFormat="1" ht="16" customHeight="1" spans="1:10">
      <c r="A28" s="11">
        <v>23</v>
      </c>
      <c r="B28" s="11" t="s">
        <v>44</v>
      </c>
      <c r="C28" s="11" t="s">
        <v>45</v>
      </c>
      <c r="D28" s="16" t="s">
        <v>46</v>
      </c>
      <c r="E28" s="12">
        <v>75</v>
      </c>
      <c r="F28" s="13">
        <f t="shared" si="3"/>
        <v>4.11764705882353</v>
      </c>
      <c r="G28" s="14">
        <f t="shared" si="4"/>
        <v>0.85</v>
      </c>
      <c r="H28" s="15">
        <v>3.5</v>
      </c>
      <c r="I28" s="15">
        <f t="shared" si="5"/>
        <v>262.5</v>
      </c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8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8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8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8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8"/>
      <c r="I33" s="15"/>
      <c r="J33" s="11"/>
    </row>
    <row r="34" s="3" customFormat="1" customHeight="1" spans="1:10">
      <c r="A34" s="11" t="s">
        <v>55</v>
      </c>
      <c r="B34" s="19">
        <f>SUM(I6:I33)</f>
        <v>2193.1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48</v>
      </c>
      <c r="B35" s="22">
        <f>B34</f>
        <v>2193.1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49</v>
      </c>
      <c r="E36" s="4"/>
    </row>
  </sheetData>
  <mergeCells count="4">
    <mergeCell ref="A1:J1"/>
    <mergeCell ref="B34:J34"/>
    <mergeCell ref="B35:J35"/>
    <mergeCell ref="A36:J36"/>
  </mergeCells>
  <conditionalFormatting sqref="B6:B24">
    <cfRule type="duplicateValues" dxfId="0" priority="2"/>
  </conditionalFormatting>
  <conditionalFormatting sqref="B6:B33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2" workbookViewId="0">
      <selection activeCell="A23" sqref="$A23:$XFD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18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144</v>
      </c>
      <c r="C8" s="11"/>
      <c r="D8" s="12" t="s">
        <v>14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58</v>
      </c>
      <c r="C9" s="16"/>
      <c r="D9" s="12" t="s">
        <v>14</v>
      </c>
      <c r="E9" s="12">
        <v>16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56</v>
      </c>
      <c r="J9" s="11"/>
    </row>
    <row r="10" s="3" customFormat="1" ht="16" customHeight="1" spans="1:10">
      <c r="A10" s="11">
        <v>5</v>
      </c>
      <c r="B10" s="16" t="s">
        <v>18</v>
      </c>
      <c r="C10" s="16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21</v>
      </c>
      <c r="E11" s="12">
        <v>7</v>
      </c>
      <c r="F11" s="13">
        <f t="shared" si="0"/>
        <v>3.52941176470588</v>
      </c>
      <c r="G11" s="14">
        <f t="shared" si="1"/>
        <v>0.85</v>
      </c>
      <c r="H11" s="15">
        <v>3</v>
      </c>
      <c r="I11" s="15">
        <f t="shared" si="2"/>
        <v>21</v>
      </c>
      <c r="J11" s="11"/>
    </row>
    <row r="12" s="3" customFormat="1" ht="16" customHeight="1" spans="1:10">
      <c r="A12" s="11">
        <v>7</v>
      </c>
      <c r="B12" s="11" t="s">
        <v>60</v>
      </c>
      <c r="C12" s="11"/>
      <c r="D12" s="12" t="s">
        <v>14</v>
      </c>
      <c r="E12" s="12">
        <v>3</v>
      </c>
      <c r="F12" s="13">
        <f t="shared" si="0"/>
        <v>5.29411764705882</v>
      </c>
      <c r="G12" s="14">
        <f t="shared" si="1"/>
        <v>0.85</v>
      </c>
      <c r="H12" s="15">
        <v>4.5</v>
      </c>
      <c r="I12" s="15">
        <f t="shared" si="2"/>
        <v>13.5</v>
      </c>
      <c r="J12" s="11"/>
    </row>
    <row r="13" s="3" customFormat="1" ht="16" customHeight="1" spans="1:10">
      <c r="A13" s="11">
        <v>8</v>
      </c>
      <c r="B13" s="11" t="s">
        <v>53</v>
      </c>
      <c r="C13" s="11"/>
      <c r="D13" s="12" t="s">
        <v>14</v>
      </c>
      <c r="E13" s="12">
        <v>3</v>
      </c>
      <c r="F13" s="13">
        <f t="shared" si="0"/>
        <v>4.47058823529412</v>
      </c>
      <c r="G13" s="14">
        <f t="shared" si="1"/>
        <v>0.85</v>
      </c>
      <c r="H13" s="15">
        <v>3.8</v>
      </c>
      <c r="I13" s="15">
        <f t="shared" si="2"/>
        <v>11.4</v>
      </c>
      <c r="J13" s="11"/>
    </row>
    <row r="14" s="3" customFormat="1" ht="16" customHeight="1" spans="1:10">
      <c r="A14" s="11">
        <v>9</v>
      </c>
      <c r="B14" s="16" t="s">
        <v>145</v>
      </c>
      <c r="C14" s="16"/>
      <c r="D14" s="17" t="s">
        <v>14</v>
      </c>
      <c r="E14" s="17">
        <v>14</v>
      </c>
      <c r="F14" s="13">
        <f t="shared" si="0"/>
        <v>6.47058823529412</v>
      </c>
      <c r="G14" s="14">
        <f t="shared" si="1"/>
        <v>0.85</v>
      </c>
      <c r="H14" s="18">
        <v>5.5</v>
      </c>
      <c r="I14" s="15">
        <f t="shared" si="2"/>
        <v>77</v>
      </c>
      <c r="J14" s="16"/>
    </row>
    <row r="15" s="3" customFormat="1" ht="16" customHeight="1" spans="1:10">
      <c r="A15" s="11">
        <v>10</v>
      </c>
      <c r="B15" s="16" t="s">
        <v>99</v>
      </c>
      <c r="C15" s="16"/>
      <c r="D15" s="17" t="s">
        <v>14</v>
      </c>
      <c r="E15" s="17">
        <v>9.5</v>
      </c>
      <c r="F15" s="13">
        <f t="shared" si="0"/>
        <v>2.94117647058824</v>
      </c>
      <c r="G15" s="14">
        <f t="shared" si="1"/>
        <v>0.85</v>
      </c>
      <c r="H15" s="18">
        <v>2.5</v>
      </c>
      <c r="I15" s="15">
        <f t="shared" si="2"/>
        <v>23.75</v>
      </c>
      <c r="J15" s="16"/>
    </row>
    <row r="16" s="3" customFormat="1" ht="16" customHeight="1" spans="1:10">
      <c r="A16" s="11">
        <v>11</v>
      </c>
      <c r="B16" s="16" t="s">
        <v>80</v>
      </c>
      <c r="C16" s="16"/>
      <c r="D16" s="17" t="s">
        <v>14</v>
      </c>
      <c r="E16" s="17">
        <v>6</v>
      </c>
      <c r="F16" s="13">
        <f t="shared" si="0"/>
        <v>8</v>
      </c>
      <c r="G16" s="14">
        <f t="shared" si="1"/>
        <v>0.85</v>
      </c>
      <c r="H16" s="18">
        <v>6.8</v>
      </c>
      <c r="I16" s="15">
        <f t="shared" si="2"/>
        <v>40.8</v>
      </c>
      <c r="J16" s="16"/>
    </row>
    <row r="17" s="3" customFormat="1" ht="16" customHeight="1" spans="1:10">
      <c r="A17" s="11">
        <v>12</v>
      </c>
      <c r="B17" s="16" t="s">
        <v>82</v>
      </c>
      <c r="C17" s="16"/>
      <c r="D17" s="17" t="s">
        <v>14</v>
      </c>
      <c r="E17" s="17">
        <v>16</v>
      </c>
      <c r="F17" s="13">
        <f t="shared" si="0"/>
        <v>2.11764705882353</v>
      </c>
      <c r="G17" s="14">
        <f t="shared" si="1"/>
        <v>0.85</v>
      </c>
      <c r="H17" s="18">
        <v>1.8</v>
      </c>
      <c r="I17" s="15">
        <f t="shared" si="2"/>
        <v>28.8</v>
      </c>
      <c r="J17" s="16"/>
    </row>
    <row r="18" s="3" customFormat="1" ht="16" customHeight="1" spans="1:10">
      <c r="A18" s="11">
        <v>13</v>
      </c>
      <c r="B18" s="16" t="s">
        <v>62</v>
      </c>
      <c r="C18" s="16"/>
      <c r="D18" s="17" t="s">
        <v>14</v>
      </c>
      <c r="E18" s="17">
        <v>2</v>
      </c>
      <c r="F18" s="13">
        <f t="shared" si="0"/>
        <v>6.47058823529412</v>
      </c>
      <c r="G18" s="14">
        <f t="shared" si="1"/>
        <v>0.85</v>
      </c>
      <c r="H18" s="18">
        <v>5.5</v>
      </c>
      <c r="I18" s="15">
        <f t="shared" si="2"/>
        <v>11</v>
      </c>
      <c r="J18" s="16"/>
    </row>
    <row r="19" s="3" customFormat="1" ht="16" customHeight="1" spans="1:10">
      <c r="A19" s="11">
        <v>14</v>
      </c>
      <c r="B19" s="16" t="s">
        <v>146</v>
      </c>
      <c r="C19" s="16"/>
      <c r="D19" s="17" t="s">
        <v>14</v>
      </c>
      <c r="E19" s="17">
        <v>6</v>
      </c>
      <c r="F19" s="13">
        <f t="shared" si="0"/>
        <v>4.11764705882353</v>
      </c>
      <c r="G19" s="14">
        <f t="shared" si="1"/>
        <v>0.85</v>
      </c>
      <c r="H19" s="18">
        <v>3.5</v>
      </c>
      <c r="I19" s="15">
        <f t="shared" si="2"/>
        <v>21</v>
      </c>
      <c r="J19" s="16"/>
    </row>
    <row r="20" s="3" customFormat="1" ht="16" customHeight="1" spans="1:10">
      <c r="A20" s="11">
        <v>15</v>
      </c>
      <c r="B20" s="16" t="s">
        <v>147</v>
      </c>
      <c r="C20" s="16"/>
      <c r="D20" s="17" t="s">
        <v>14</v>
      </c>
      <c r="E20" s="17">
        <v>13.62</v>
      </c>
      <c r="F20" s="13">
        <f t="shared" si="0"/>
        <v>6.82352941176471</v>
      </c>
      <c r="G20" s="14">
        <f t="shared" si="1"/>
        <v>0.85</v>
      </c>
      <c r="H20" s="18">
        <v>5.8</v>
      </c>
      <c r="I20" s="15">
        <f t="shared" si="2"/>
        <v>78.996</v>
      </c>
      <c r="J20" s="16"/>
    </row>
    <row r="21" s="3" customFormat="1" ht="16" customHeight="1" spans="1:10">
      <c r="A21" s="11">
        <v>16</v>
      </c>
      <c r="B21" s="16" t="s">
        <v>148</v>
      </c>
      <c r="C21" s="16"/>
      <c r="D21" s="17" t="s">
        <v>14</v>
      </c>
      <c r="E21" s="17">
        <v>5</v>
      </c>
      <c r="F21" s="13">
        <f t="shared" si="0"/>
        <v>8</v>
      </c>
      <c r="G21" s="14">
        <f t="shared" si="1"/>
        <v>0.85</v>
      </c>
      <c r="H21" s="18">
        <v>6.8</v>
      </c>
      <c r="I21" s="15">
        <f t="shared" si="2"/>
        <v>34</v>
      </c>
      <c r="J21" s="16"/>
    </row>
    <row r="22" s="3" customFormat="1" ht="16" customHeight="1" spans="1:10">
      <c r="A22" s="11">
        <v>17</v>
      </c>
      <c r="B22" s="16" t="s">
        <v>25</v>
      </c>
      <c r="C22" s="16"/>
      <c r="D22" s="16" t="s">
        <v>14</v>
      </c>
      <c r="E22" s="17">
        <v>2</v>
      </c>
      <c r="F22" s="13">
        <f t="shared" si="0"/>
        <v>19.7647058823529</v>
      </c>
      <c r="G22" s="14">
        <f t="shared" si="1"/>
        <v>0.85</v>
      </c>
      <c r="H22" s="18">
        <v>16.8</v>
      </c>
      <c r="I22" s="15">
        <f t="shared" si="2"/>
        <v>33.6</v>
      </c>
      <c r="J22" s="16"/>
    </row>
    <row r="23" s="3" customFormat="1" ht="16" customHeight="1" spans="1:10">
      <c r="A23" s="11">
        <v>19</v>
      </c>
      <c r="B23" s="16" t="s">
        <v>27</v>
      </c>
      <c r="C23" s="16"/>
      <c r="D23" s="17" t="s">
        <v>14</v>
      </c>
      <c r="E23" s="17">
        <v>5</v>
      </c>
      <c r="F23" s="13">
        <f>H23/0.85</f>
        <v>25.8823529411765</v>
      </c>
      <c r="G23" s="14">
        <f>H23/F23</f>
        <v>0.85</v>
      </c>
      <c r="H23" s="18">
        <v>22</v>
      </c>
      <c r="I23" s="15">
        <f>E23*H23</f>
        <v>110</v>
      </c>
      <c r="J23" s="16"/>
    </row>
    <row r="24" s="3" customFormat="1" ht="16" customHeight="1" spans="1:10">
      <c r="A24" s="11">
        <v>20</v>
      </c>
      <c r="B24" s="11" t="s">
        <v>149</v>
      </c>
      <c r="C24" s="11"/>
      <c r="D24" s="12" t="s">
        <v>150</v>
      </c>
      <c r="E24" s="12">
        <v>6</v>
      </c>
      <c r="F24" s="13">
        <f>H24/0.85</f>
        <v>34.1176470588235</v>
      </c>
      <c r="G24" s="14">
        <f>H24/F24</f>
        <v>0.85</v>
      </c>
      <c r="H24" s="18">
        <v>29</v>
      </c>
      <c r="I24" s="15">
        <f>E24*H24</f>
        <v>174</v>
      </c>
      <c r="J24" s="11"/>
    </row>
    <row r="25" s="3" customFormat="1" ht="16" customHeight="1" spans="1:10">
      <c r="A25" s="11">
        <v>21</v>
      </c>
      <c r="B25" s="16" t="s">
        <v>93</v>
      </c>
      <c r="C25" s="16" t="s">
        <v>94</v>
      </c>
      <c r="D25" s="12" t="s">
        <v>31</v>
      </c>
      <c r="E25" s="12">
        <v>2</v>
      </c>
      <c r="F25" s="13">
        <f>H25/0.85</f>
        <v>205.882352941176</v>
      </c>
      <c r="G25" s="14">
        <f>H25/F25</f>
        <v>0.85</v>
      </c>
      <c r="H25" s="18">
        <v>175</v>
      </c>
      <c r="I25" s="15">
        <f>E25*H25</f>
        <v>350</v>
      </c>
      <c r="J25" s="11"/>
    </row>
    <row r="26" s="3" customFormat="1" ht="16" customHeight="1" spans="1:10">
      <c r="A26" s="11">
        <v>22</v>
      </c>
      <c r="B26" s="16" t="s">
        <v>44</v>
      </c>
      <c r="C26" s="16" t="s">
        <v>45</v>
      </c>
      <c r="D26" s="16" t="s">
        <v>46</v>
      </c>
      <c r="E26" s="17">
        <v>50</v>
      </c>
      <c r="F26" s="13">
        <f>H26/0.85</f>
        <v>4.11764705882353</v>
      </c>
      <c r="G26" s="14">
        <f>H26/F26</f>
        <v>0.85</v>
      </c>
      <c r="H26" s="18">
        <v>3.5</v>
      </c>
      <c r="I26" s="15">
        <f>E26*H26</f>
        <v>175</v>
      </c>
      <c r="J26" s="16"/>
    </row>
    <row r="27" s="3" customFormat="1" ht="16" customHeight="1" spans="1:10">
      <c r="A27" s="11">
        <v>23</v>
      </c>
      <c r="B27" s="11"/>
      <c r="C27" s="11"/>
      <c r="D27" s="16"/>
      <c r="E27" s="12"/>
      <c r="F27" s="13"/>
      <c r="G27" s="14"/>
      <c r="H27" s="18"/>
      <c r="I27" s="15"/>
      <c r="J27" s="11"/>
    </row>
    <row r="28" s="3" customFormat="1" ht="16" customHeight="1" spans="1:10">
      <c r="A28" s="11">
        <v>24</v>
      </c>
      <c r="B28" s="11"/>
      <c r="C28" s="11"/>
      <c r="D28" s="11"/>
      <c r="E28" s="12"/>
      <c r="F28" s="13"/>
      <c r="G28" s="14"/>
      <c r="H28" s="18"/>
      <c r="I28" s="15"/>
      <c r="J28" s="11"/>
    </row>
    <row r="29" s="3" customFormat="1" ht="16" customHeight="1" spans="1:10">
      <c r="A29" s="11">
        <v>25</v>
      </c>
      <c r="B29" s="11"/>
      <c r="C29" s="11"/>
      <c r="D29" s="11"/>
      <c r="E29" s="12"/>
      <c r="F29" s="13"/>
      <c r="G29" s="14"/>
      <c r="H29" s="18"/>
      <c r="I29" s="15"/>
      <c r="J29" s="11"/>
    </row>
    <row r="30" s="3" customFormat="1" ht="16" customHeight="1" spans="1:10">
      <c r="A30" s="11">
        <v>26</v>
      </c>
      <c r="B30" s="11"/>
      <c r="C30" s="11"/>
      <c r="D30" s="11"/>
      <c r="E30" s="12"/>
      <c r="F30" s="13"/>
      <c r="G30" s="14"/>
      <c r="H30" s="18"/>
      <c r="I30" s="15"/>
      <c r="J30" s="11"/>
    </row>
    <row r="31" s="3" customFormat="1" customHeight="1" spans="1:10">
      <c r="A31" s="11">
        <v>27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55</v>
      </c>
      <c r="B32" s="19">
        <f>SUM(I6:I31)</f>
        <v>1339.746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48</v>
      </c>
      <c r="B33" s="22">
        <f>B32</f>
        <v>1339.746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49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4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4" workbookViewId="0">
      <selection activeCell="E22" sqref="E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7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21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151</v>
      </c>
      <c r="C8" s="11"/>
      <c r="D8" s="12" t="s">
        <v>14</v>
      </c>
      <c r="E8" s="12">
        <v>5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30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14</v>
      </c>
      <c r="E9" s="12">
        <v>3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6</v>
      </c>
      <c r="J9" s="11"/>
    </row>
    <row r="10" s="3" customFormat="1" ht="16" customHeight="1" spans="1:10">
      <c r="A10" s="11">
        <v>5</v>
      </c>
      <c r="B10" s="11" t="s">
        <v>18</v>
      </c>
      <c r="C10" s="11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19</v>
      </c>
      <c r="C11" s="11"/>
      <c r="D11" s="12" t="s">
        <v>14</v>
      </c>
      <c r="E11" s="12">
        <v>3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10.5</v>
      </c>
      <c r="J11" s="11"/>
    </row>
    <row r="12" s="3" customFormat="1" ht="16" customHeight="1" spans="1:10">
      <c r="A12" s="11">
        <v>7</v>
      </c>
      <c r="B12" s="16" t="s">
        <v>59</v>
      </c>
      <c r="C12" s="16"/>
      <c r="D12" s="17" t="s">
        <v>14</v>
      </c>
      <c r="E12" s="17">
        <v>16</v>
      </c>
      <c r="F12" s="13">
        <f t="shared" si="0"/>
        <v>11.5294117647059</v>
      </c>
      <c r="G12" s="14">
        <f t="shared" si="1"/>
        <v>0.85</v>
      </c>
      <c r="H12" s="18">
        <v>9.8</v>
      </c>
      <c r="I12" s="15">
        <f t="shared" si="2"/>
        <v>156.8</v>
      </c>
      <c r="J12" s="16"/>
    </row>
    <row r="13" s="3" customFormat="1" ht="16" customHeight="1" spans="1:10">
      <c r="A13" s="11">
        <v>8</v>
      </c>
      <c r="B13" s="16" t="s">
        <v>53</v>
      </c>
      <c r="C13" s="16"/>
      <c r="D13" s="17" t="s">
        <v>14</v>
      </c>
      <c r="E13" s="17">
        <v>6</v>
      </c>
      <c r="F13" s="13">
        <f t="shared" ref="F13:F25" si="3">H13/0.85</f>
        <v>4.47058823529412</v>
      </c>
      <c r="G13" s="14">
        <f t="shared" ref="G13:G25" si="4">H13/F13</f>
        <v>0.849999999999999</v>
      </c>
      <c r="H13" s="18">
        <v>3.8</v>
      </c>
      <c r="I13" s="15">
        <f t="shared" ref="I13:I25" si="5">E13*H13</f>
        <v>22.8</v>
      </c>
      <c r="J13" s="16"/>
    </row>
    <row r="14" s="3" customFormat="1" ht="16" customHeight="1" spans="1:10">
      <c r="A14" s="11">
        <v>9</v>
      </c>
      <c r="B14" s="16" t="s">
        <v>113</v>
      </c>
      <c r="C14" s="16"/>
      <c r="D14" s="17" t="s">
        <v>14</v>
      </c>
      <c r="E14" s="17">
        <v>15</v>
      </c>
      <c r="F14" s="13">
        <f t="shared" si="3"/>
        <v>5.64705882352941</v>
      </c>
      <c r="G14" s="14">
        <f t="shared" si="4"/>
        <v>0.85</v>
      </c>
      <c r="H14" s="18">
        <v>4.8</v>
      </c>
      <c r="I14" s="15">
        <f t="shared" si="5"/>
        <v>72</v>
      </c>
      <c r="J14" s="16"/>
    </row>
    <row r="15" s="3" customFormat="1" ht="16" customHeight="1" spans="1:10">
      <c r="A15" s="11">
        <v>10</v>
      </c>
      <c r="B15" s="16" t="s">
        <v>152</v>
      </c>
      <c r="C15" s="16"/>
      <c r="D15" s="17" t="s">
        <v>14</v>
      </c>
      <c r="E15" s="17">
        <v>8</v>
      </c>
      <c r="F15" s="13">
        <f t="shared" si="3"/>
        <v>6.82352941176471</v>
      </c>
      <c r="G15" s="14">
        <f t="shared" si="4"/>
        <v>0.849999999999999</v>
      </c>
      <c r="H15" s="18">
        <v>5.8</v>
      </c>
      <c r="I15" s="15">
        <f t="shared" si="5"/>
        <v>46.4</v>
      </c>
      <c r="J15" s="16"/>
    </row>
    <row r="16" s="3" customFormat="1" ht="16" customHeight="1" spans="1:10">
      <c r="A16" s="11">
        <v>11</v>
      </c>
      <c r="B16" s="16" t="s">
        <v>100</v>
      </c>
      <c r="C16" s="16"/>
      <c r="D16" s="17" t="s">
        <v>14</v>
      </c>
      <c r="E16" s="17">
        <v>8</v>
      </c>
      <c r="F16" s="13">
        <f t="shared" si="3"/>
        <v>2.35294117647059</v>
      </c>
      <c r="G16" s="14">
        <f t="shared" si="4"/>
        <v>0.849999999999999</v>
      </c>
      <c r="H16" s="18">
        <v>2</v>
      </c>
      <c r="I16" s="15">
        <f t="shared" si="5"/>
        <v>16</v>
      </c>
      <c r="J16" s="16"/>
    </row>
    <row r="17" s="3" customFormat="1" ht="16" customHeight="1" spans="1:10">
      <c r="A17" s="11">
        <v>12</v>
      </c>
      <c r="B17" s="16" t="s">
        <v>61</v>
      </c>
      <c r="C17" s="16"/>
      <c r="D17" s="17" t="s">
        <v>14</v>
      </c>
      <c r="E17" s="17">
        <v>15</v>
      </c>
      <c r="F17" s="13">
        <f t="shared" si="3"/>
        <v>5.64705882352941</v>
      </c>
      <c r="G17" s="14">
        <f t="shared" si="4"/>
        <v>0.85</v>
      </c>
      <c r="H17" s="18">
        <v>4.8</v>
      </c>
      <c r="I17" s="15">
        <f t="shared" si="5"/>
        <v>72</v>
      </c>
      <c r="J17" s="16"/>
    </row>
    <row r="18" s="3" customFormat="1" ht="16" customHeight="1" spans="1:10">
      <c r="A18" s="11">
        <v>13</v>
      </c>
      <c r="B18" s="11" t="s">
        <v>115</v>
      </c>
      <c r="C18" s="11"/>
      <c r="D18" s="12" t="s">
        <v>14</v>
      </c>
      <c r="E18" s="12">
        <v>13.1</v>
      </c>
      <c r="F18" s="13">
        <f t="shared" si="3"/>
        <v>6.47058823529412</v>
      </c>
      <c r="G18" s="14">
        <f t="shared" si="4"/>
        <v>0.85</v>
      </c>
      <c r="H18" s="18">
        <v>5.5</v>
      </c>
      <c r="I18" s="15">
        <f t="shared" si="5"/>
        <v>72.05</v>
      </c>
      <c r="J18" s="11"/>
    </row>
    <row r="19" s="3" customFormat="1" ht="16" customHeight="1" spans="1:10">
      <c r="A19" s="11">
        <v>14</v>
      </c>
      <c r="B19" s="16" t="s">
        <v>26</v>
      </c>
      <c r="C19" s="16"/>
      <c r="D19" s="16" t="s">
        <v>14</v>
      </c>
      <c r="E19" s="17">
        <v>3</v>
      </c>
      <c r="F19" s="13">
        <f t="shared" si="3"/>
        <v>17.4117647058824</v>
      </c>
      <c r="G19" s="14">
        <f t="shared" si="4"/>
        <v>0.849999999999998</v>
      </c>
      <c r="H19" s="18">
        <v>14.8</v>
      </c>
      <c r="I19" s="15">
        <f t="shared" si="5"/>
        <v>44.4</v>
      </c>
      <c r="J19" s="16"/>
    </row>
    <row r="20" s="3" customFormat="1" ht="16" customHeight="1" spans="1:10">
      <c r="A20" s="11">
        <v>15</v>
      </c>
      <c r="B20" s="11" t="s">
        <v>129</v>
      </c>
      <c r="C20" s="11"/>
      <c r="D20" s="16" t="s">
        <v>14</v>
      </c>
      <c r="E20" s="12">
        <v>6</v>
      </c>
      <c r="F20" s="13">
        <f t="shared" si="3"/>
        <v>33.8823529411765</v>
      </c>
      <c r="G20" s="14">
        <f t="shared" si="4"/>
        <v>0.849999999999999</v>
      </c>
      <c r="H20" s="18">
        <v>28.8</v>
      </c>
      <c r="I20" s="15">
        <f t="shared" si="5"/>
        <v>172.8</v>
      </c>
      <c r="J20" s="11"/>
    </row>
    <row r="21" s="3" customFormat="1" ht="16" customHeight="1" spans="1:10">
      <c r="A21" s="11">
        <v>16</v>
      </c>
      <c r="B21" s="11" t="s">
        <v>28</v>
      </c>
      <c r="C21" s="11"/>
      <c r="D21" s="11" t="s">
        <v>14</v>
      </c>
      <c r="E21" s="12">
        <v>6.8</v>
      </c>
      <c r="F21" s="13">
        <f t="shared" si="3"/>
        <v>16.2352941176471</v>
      </c>
      <c r="G21" s="14">
        <f t="shared" si="4"/>
        <v>0.85</v>
      </c>
      <c r="H21" s="18">
        <v>13.8</v>
      </c>
      <c r="I21" s="15">
        <f t="shared" si="5"/>
        <v>93.84</v>
      </c>
      <c r="J21" s="11"/>
    </row>
    <row r="22" s="3" customFormat="1" ht="16" customHeight="1" spans="1:10">
      <c r="A22" s="11">
        <v>17</v>
      </c>
      <c r="B22" s="11" t="s">
        <v>153</v>
      </c>
      <c r="C22" s="11" t="s">
        <v>154</v>
      </c>
      <c r="D22" s="11" t="s">
        <v>76</v>
      </c>
      <c r="E22" s="12">
        <v>1</v>
      </c>
      <c r="F22" s="13">
        <f t="shared" si="3"/>
        <v>64.7058823529412</v>
      </c>
      <c r="G22" s="14">
        <f t="shared" si="4"/>
        <v>0.85</v>
      </c>
      <c r="H22" s="18">
        <v>55</v>
      </c>
      <c r="I22" s="15">
        <f t="shared" si="5"/>
        <v>55</v>
      </c>
      <c r="J22" s="11"/>
    </row>
    <row r="23" s="3" customFormat="1" ht="16" customHeight="1" spans="1:10">
      <c r="A23" s="11">
        <v>18</v>
      </c>
      <c r="B23" s="11" t="s">
        <v>155</v>
      </c>
      <c r="C23" s="11"/>
      <c r="D23" s="11" t="s">
        <v>46</v>
      </c>
      <c r="E23" s="12">
        <v>62</v>
      </c>
      <c r="F23" s="13">
        <f t="shared" si="3"/>
        <v>4.11764705882353</v>
      </c>
      <c r="G23" s="14">
        <f t="shared" si="4"/>
        <v>0.85</v>
      </c>
      <c r="H23" s="18">
        <v>3.5</v>
      </c>
      <c r="I23" s="15">
        <f t="shared" si="5"/>
        <v>217</v>
      </c>
      <c r="J23" s="11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55</v>
      </c>
      <c r="B32" s="19">
        <f>SUM(I6:I31)</f>
        <v>1149.49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48</v>
      </c>
      <c r="B33" s="22">
        <f>B32</f>
        <v>1149.49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49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18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5" workbookViewId="0">
      <selection activeCell="A23" sqref="$A23:$XFD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16" si="0">H6/0.85</f>
        <v>3.52941176470588</v>
      </c>
      <c r="G6" s="14">
        <f t="shared" ref="G6:G16" si="1">H6/F6</f>
        <v>0.85</v>
      </c>
      <c r="H6" s="15">
        <v>3</v>
      </c>
      <c r="I6" s="15">
        <f t="shared" ref="I6:I16" si="2">E6*H6</f>
        <v>18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156</v>
      </c>
      <c r="C9" s="16"/>
      <c r="D9" s="12" t="s">
        <v>14</v>
      </c>
      <c r="E9" s="12">
        <v>11</v>
      </c>
      <c r="F9" s="13">
        <f t="shared" si="0"/>
        <v>23.5294117647059</v>
      </c>
      <c r="G9" s="14">
        <f t="shared" si="1"/>
        <v>0.85</v>
      </c>
      <c r="H9" s="15">
        <v>20</v>
      </c>
      <c r="I9" s="15">
        <f t="shared" si="2"/>
        <v>220</v>
      </c>
      <c r="J9" s="11"/>
    </row>
    <row r="10" s="3" customFormat="1" ht="16" customHeight="1" spans="1:10">
      <c r="A10" s="11">
        <v>5</v>
      </c>
      <c r="B10" s="11" t="s">
        <v>17</v>
      </c>
      <c r="C10" s="11"/>
      <c r="D10" s="12" t="s">
        <v>14</v>
      </c>
      <c r="E10" s="12">
        <v>9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18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6" t="s">
        <v>112</v>
      </c>
      <c r="C12" s="16"/>
      <c r="D12" s="17" t="s">
        <v>14</v>
      </c>
      <c r="E12" s="17">
        <v>10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25</v>
      </c>
      <c r="J12" s="16"/>
    </row>
    <row r="13" s="3" customFormat="1" ht="16" customHeight="1" spans="1:10">
      <c r="A13" s="11">
        <v>8</v>
      </c>
      <c r="B13" s="16" t="s">
        <v>157</v>
      </c>
      <c r="C13" s="16"/>
      <c r="D13" s="17" t="s">
        <v>14</v>
      </c>
      <c r="E13" s="17">
        <v>19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85.5</v>
      </c>
      <c r="J13" s="16"/>
    </row>
    <row r="14" s="3" customFormat="1" ht="16" customHeight="1" spans="1:10">
      <c r="A14" s="11">
        <v>9</v>
      </c>
      <c r="B14" s="16" t="s">
        <v>19</v>
      </c>
      <c r="C14" s="16"/>
      <c r="D14" s="17" t="s">
        <v>14</v>
      </c>
      <c r="E14" s="17">
        <v>3</v>
      </c>
      <c r="F14" s="13">
        <f t="shared" si="0"/>
        <v>4.11764705882353</v>
      </c>
      <c r="G14" s="14">
        <f t="shared" si="1"/>
        <v>0.85</v>
      </c>
      <c r="H14" s="18">
        <v>3.5</v>
      </c>
      <c r="I14" s="15">
        <f t="shared" si="2"/>
        <v>10.5</v>
      </c>
      <c r="J14" s="16"/>
    </row>
    <row r="15" s="3" customFormat="1" ht="16" customHeight="1" spans="1:10">
      <c r="A15" s="11">
        <v>10</v>
      </c>
      <c r="B15" s="16" t="s">
        <v>20</v>
      </c>
      <c r="C15" s="16"/>
      <c r="D15" s="17" t="s">
        <v>21</v>
      </c>
      <c r="E15" s="17">
        <v>7</v>
      </c>
      <c r="F15" s="13">
        <f t="shared" si="0"/>
        <v>3.52941176470588</v>
      </c>
      <c r="G15" s="14">
        <f t="shared" si="1"/>
        <v>0.85</v>
      </c>
      <c r="H15" s="18">
        <v>3</v>
      </c>
      <c r="I15" s="15">
        <f t="shared" si="2"/>
        <v>21</v>
      </c>
      <c r="J15" s="16"/>
    </row>
    <row r="16" s="3" customFormat="1" ht="16" customHeight="1" spans="1:10">
      <c r="A16" s="11">
        <v>11</v>
      </c>
      <c r="B16" s="16" t="s">
        <v>99</v>
      </c>
      <c r="C16" s="16"/>
      <c r="D16" s="17" t="s">
        <v>14</v>
      </c>
      <c r="E16" s="17">
        <v>7</v>
      </c>
      <c r="F16" s="13">
        <f t="shared" si="0"/>
        <v>2.94117647058824</v>
      </c>
      <c r="G16" s="14">
        <f t="shared" si="1"/>
        <v>0.85</v>
      </c>
      <c r="H16" s="18">
        <v>2.5</v>
      </c>
      <c r="I16" s="15">
        <f t="shared" si="2"/>
        <v>17.5</v>
      </c>
      <c r="J16" s="16"/>
    </row>
    <row r="17" s="3" customFormat="1" ht="16" customHeight="1" spans="1:10">
      <c r="A17" s="11">
        <v>12</v>
      </c>
      <c r="B17" s="16" t="s">
        <v>158</v>
      </c>
      <c r="C17" s="16" t="s">
        <v>159</v>
      </c>
      <c r="D17" s="17" t="s">
        <v>14</v>
      </c>
      <c r="E17" s="17">
        <v>5</v>
      </c>
      <c r="F17" s="13">
        <f t="shared" ref="F17:F28" si="3">H17/0.85</f>
        <v>13.8823529411765</v>
      </c>
      <c r="G17" s="14">
        <f t="shared" ref="G17:G28" si="4">H17/F17</f>
        <v>0.85</v>
      </c>
      <c r="H17" s="18">
        <v>11.8</v>
      </c>
      <c r="I17" s="15">
        <f t="shared" ref="I17:I28" si="5">E17*H17</f>
        <v>59</v>
      </c>
      <c r="J17" s="16"/>
    </row>
    <row r="18" s="3" customFormat="1" ht="16" customHeight="1" spans="1:10">
      <c r="A18" s="11">
        <v>13</v>
      </c>
      <c r="B18" s="11" t="s">
        <v>81</v>
      </c>
      <c r="C18" s="11"/>
      <c r="D18" s="12" t="s">
        <v>14</v>
      </c>
      <c r="E18" s="12">
        <v>2</v>
      </c>
      <c r="F18" s="13">
        <f t="shared" si="3"/>
        <v>12.7058823529412</v>
      </c>
      <c r="G18" s="14">
        <f t="shared" si="4"/>
        <v>0.85</v>
      </c>
      <c r="H18" s="18">
        <v>10.8</v>
      </c>
      <c r="I18" s="15">
        <f t="shared" si="5"/>
        <v>21.6</v>
      </c>
      <c r="J18" s="11"/>
    </row>
    <row r="19" s="3" customFormat="1" ht="16" customHeight="1" spans="1:10">
      <c r="A19" s="11">
        <v>14</v>
      </c>
      <c r="B19" s="16" t="s">
        <v>82</v>
      </c>
      <c r="C19" s="16"/>
      <c r="D19" s="16" t="s">
        <v>14</v>
      </c>
      <c r="E19" s="17">
        <v>8</v>
      </c>
      <c r="F19" s="13">
        <f t="shared" si="3"/>
        <v>2.11764705882353</v>
      </c>
      <c r="G19" s="14">
        <f t="shared" si="4"/>
        <v>0.85</v>
      </c>
      <c r="H19" s="18">
        <v>1.8</v>
      </c>
      <c r="I19" s="15">
        <f t="shared" si="5"/>
        <v>14.4</v>
      </c>
      <c r="J19" s="16"/>
    </row>
    <row r="20" s="3" customFormat="1" ht="16" customHeight="1" spans="1:10">
      <c r="A20" s="11">
        <v>15</v>
      </c>
      <c r="B20" s="11" t="s">
        <v>54</v>
      </c>
      <c r="C20" s="11"/>
      <c r="D20" s="16" t="s">
        <v>14</v>
      </c>
      <c r="E20" s="12">
        <v>15</v>
      </c>
      <c r="F20" s="13">
        <f t="shared" si="3"/>
        <v>4.11764705882353</v>
      </c>
      <c r="G20" s="14">
        <f t="shared" si="4"/>
        <v>0.85</v>
      </c>
      <c r="H20" s="18">
        <v>3.5</v>
      </c>
      <c r="I20" s="15">
        <f t="shared" si="5"/>
        <v>52.5</v>
      </c>
      <c r="J20" s="11"/>
    </row>
    <row r="21" s="3" customFormat="1" ht="16" customHeight="1" spans="1:10">
      <c r="A21" s="11">
        <v>16</v>
      </c>
      <c r="B21" s="11" t="s">
        <v>63</v>
      </c>
      <c r="C21" s="11" t="s">
        <v>64</v>
      </c>
      <c r="D21" s="11" t="s">
        <v>41</v>
      </c>
      <c r="E21" s="12">
        <v>1</v>
      </c>
      <c r="F21" s="13">
        <f t="shared" si="3"/>
        <v>352.941176470588</v>
      </c>
      <c r="G21" s="14">
        <f t="shared" si="4"/>
        <v>0.85</v>
      </c>
      <c r="H21" s="18">
        <v>300</v>
      </c>
      <c r="I21" s="15">
        <f t="shared" si="5"/>
        <v>300</v>
      </c>
      <c r="J21" s="11"/>
    </row>
    <row r="22" s="3" customFormat="1" ht="16" customHeight="1" spans="1:10">
      <c r="A22" s="11">
        <v>17</v>
      </c>
      <c r="B22" s="11" t="s">
        <v>69</v>
      </c>
      <c r="C22" s="11"/>
      <c r="D22" s="11" t="s">
        <v>14</v>
      </c>
      <c r="E22" s="12">
        <v>3</v>
      </c>
      <c r="F22" s="13">
        <f t="shared" si="3"/>
        <v>16.2352941176471</v>
      </c>
      <c r="G22" s="14">
        <f t="shared" si="4"/>
        <v>0.85</v>
      </c>
      <c r="H22" s="18">
        <v>13.8</v>
      </c>
      <c r="I22" s="15">
        <f t="shared" si="5"/>
        <v>41.4</v>
      </c>
      <c r="J22" s="11"/>
    </row>
    <row r="23" s="3" customFormat="1" customHeight="1" spans="1:10">
      <c r="A23" s="11">
        <v>19</v>
      </c>
      <c r="B23" s="13" t="s">
        <v>105</v>
      </c>
      <c r="C23" s="13"/>
      <c r="D23" s="13" t="s">
        <v>14</v>
      </c>
      <c r="E23" s="12">
        <v>10</v>
      </c>
      <c r="F23" s="13">
        <f>H23/0.85</f>
        <v>5.76470588235294</v>
      </c>
      <c r="G23" s="14">
        <f>H23/F23</f>
        <v>0.85</v>
      </c>
      <c r="H23" s="18">
        <v>4.9</v>
      </c>
      <c r="I23" s="15">
        <f>E23*H23</f>
        <v>49</v>
      </c>
      <c r="J23" s="13"/>
    </row>
    <row r="24" s="3" customFormat="1" customHeight="1" spans="1:10">
      <c r="A24" s="11">
        <v>20</v>
      </c>
      <c r="B24" s="13" t="s">
        <v>160</v>
      </c>
      <c r="C24" s="13" t="s">
        <v>161</v>
      </c>
      <c r="D24" s="13" t="s">
        <v>41</v>
      </c>
      <c r="E24" s="12">
        <v>1</v>
      </c>
      <c r="F24" s="13">
        <f>H24/0.85</f>
        <v>170.588235294118</v>
      </c>
      <c r="G24" s="14">
        <f>H24/F24</f>
        <v>0.85</v>
      </c>
      <c r="H24" s="18">
        <v>145</v>
      </c>
      <c r="I24" s="15">
        <f>E24*H24</f>
        <v>145</v>
      </c>
      <c r="J24" s="13"/>
    </row>
    <row r="25" s="3" customFormat="1" customHeight="1" spans="1:10">
      <c r="A25" s="11">
        <v>21</v>
      </c>
      <c r="B25" s="13" t="s">
        <v>162</v>
      </c>
      <c r="C25" s="13"/>
      <c r="D25" s="13" t="s">
        <v>150</v>
      </c>
      <c r="E25" s="12">
        <v>5</v>
      </c>
      <c r="F25" s="13">
        <f>H25/0.85</f>
        <v>30.5882352941176</v>
      </c>
      <c r="G25" s="14">
        <f>H25/F25</f>
        <v>0.85</v>
      </c>
      <c r="H25" s="18">
        <v>26</v>
      </c>
      <c r="I25" s="15">
        <f>E25*H25</f>
        <v>130</v>
      </c>
      <c r="J25" s="13"/>
    </row>
    <row r="26" s="3" customFormat="1" customHeight="1" spans="1:10">
      <c r="A26" s="11">
        <v>22</v>
      </c>
      <c r="B26" s="13" t="s">
        <v>142</v>
      </c>
      <c r="C26" s="13" t="s">
        <v>143</v>
      </c>
      <c r="D26" s="13" t="s">
        <v>14</v>
      </c>
      <c r="E26" s="12">
        <v>5</v>
      </c>
      <c r="F26" s="13">
        <f>H26/0.85</f>
        <v>5.76470588235294</v>
      </c>
      <c r="G26" s="14">
        <f>H26/F26</f>
        <v>0.85</v>
      </c>
      <c r="H26" s="18">
        <v>4.9</v>
      </c>
      <c r="I26" s="15">
        <f>E26*H26</f>
        <v>24.5</v>
      </c>
      <c r="J26" s="13"/>
    </row>
    <row r="27" s="3" customFormat="1" customHeight="1" spans="1:10">
      <c r="A27" s="11">
        <v>23</v>
      </c>
      <c r="B27" s="13" t="s">
        <v>155</v>
      </c>
      <c r="C27" s="13"/>
      <c r="D27" s="13" t="s">
        <v>46</v>
      </c>
      <c r="E27" s="12">
        <v>62</v>
      </c>
      <c r="F27" s="13">
        <f>H27/0.85</f>
        <v>4.11764705882353</v>
      </c>
      <c r="G27" s="14">
        <f>H27/F27</f>
        <v>0.85</v>
      </c>
      <c r="H27" s="18">
        <v>3.5</v>
      </c>
      <c r="I27" s="15">
        <f>E27*H27</f>
        <v>217</v>
      </c>
      <c r="J27" s="13"/>
    </row>
    <row r="28" s="3" customFormat="1" customHeight="1" spans="1:10">
      <c r="A28" s="11">
        <v>24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25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26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27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55</v>
      </c>
      <c r="B32" s="19">
        <f>SUM(I6:I31)</f>
        <v>1531.8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48</v>
      </c>
      <c r="B33" s="22">
        <f>B32</f>
        <v>1531.8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49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3" workbookViewId="0">
      <selection activeCell="F20" sqref="F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7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21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17.5</v>
      </c>
      <c r="J7" s="11"/>
    </row>
    <row r="8" s="3" customFormat="1" ht="16" customHeight="1" spans="1:10">
      <c r="A8" s="11">
        <v>3</v>
      </c>
      <c r="B8" s="11" t="s">
        <v>53</v>
      </c>
      <c r="C8" s="11"/>
      <c r="D8" s="12" t="s">
        <v>14</v>
      </c>
      <c r="E8" s="12">
        <v>8</v>
      </c>
      <c r="F8" s="13">
        <f>H8/0.85</f>
        <v>4.47058823529412</v>
      </c>
      <c r="G8" s="14">
        <f>H8/F8</f>
        <v>0.85</v>
      </c>
      <c r="H8" s="15">
        <v>3.8</v>
      </c>
      <c r="I8" s="15">
        <f>E8*H8</f>
        <v>30.4</v>
      </c>
      <c r="J8" s="11"/>
    </row>
    <row r="9" s="3" customFormat="1" ht="16" customHeight="1" spans="1:10">
      <c r="A9" s="11">
        <v>4</v>
      </c>
      <c r="B9" s="11" t="s">
        <v>145</v>
      </c>
      <c r="C9" s="11"/>
      <c r="D9" s="12" t="s">
        <v>14</v>
      </c>
      <c r="E9" s="12">
        <v>15</v>
      </c>
      <c r="F9" s="13">
        <f t="shared" ref="F9:F23" si="0">H9/0.85</f>
        <v>6.47058823529412</v>
      </c>
      <c r="G9" s="14">
        <f t="shared" ref="G9:G23" si="1">H9/F9</f>
        <v>0.85</v>
      </c>
      <c r="H9" s="15">
        <v>5.5</v>
      </c>
      <c r="I9" s="15">
        <f t="shared" ref="I9:I23" si="2">E9*H9</f>
        <v>82.5</v>
      </c>
      <c r="J9" s="11"/>
    </row>
    <row r="10" s="3" customFormat="1" ht="16" customHeight="1" spans="1:10">
      <c r="A10" s="11">
        <v>5</v>
      </c>
      <c r="B10" s="11" t="s">
        <v>81</v>
      </c>
      <c r="C10" s="11"/>
      <c r="D10" s="12" t="s">
        <v>14</v>
      </c>
      <c r="E10" s="12">
        <v>5</v>
      </c>
      <c r="F10" s="13">
        <f t="shared" si="0"/>
        <v>12.7058823529412</v>
      </c>
      <c r="G10" s="14">
        <f t="shared" si="1"/>
        <v>0.85</v>
      </c>
      <c r="H10" s="15">
        <v>10.8</v>
      </c>
      <c r="I10" s="15">
        <f t="shared" si="2"/>
        <v>54</v>
      </c>
      <c r="J10" s="11"/>
    </row>
    <row r="11" s="3" customFormat="1" ht="16" customHeight="1" spans="1:10">
      <c r="A11" s="11">
        <v>6</v>
      </c>
      <c r="B11" s="16" t="s">
        <v>24</v>
      </c>
      <c r="C11" s="16"/>
      <c r="D11" s="17" t="s">
        <v>14</v>
      </c>
      <c r="E11" s="17">
        <v>3</v>
      </c>
      <c r="F11" s="13">
        <f t="shared" si="0"/>
        <v>5.88235294117647</v>
      </c>
      <c r="G11" s="14">
        <f t="shared" si="1"/>
        <v>0.85</v>
      </c>
      <c r="H11" s="18">
        <v>5</v>
      </c>
      <c r="I11" s="15">
        <f t="shared" si="2"/>
        <v>15</v>
      </c>
      <c r="J11" s="16"/>
    </row>
    <row r="12" s="3" customFormat="1" ht="16" customHeight="1" spans="1:10">
      <c r="A12" s="11">
        <v>7</v>
      </c>
      <c r="B12" s="16" t="s">
        <v>146</v>
      </c>
      <c r="C12" s="16"/>
      <c r="D12" s="17" t="s">
        <v>14</v>
      </c>
      <c r="E12" s="17">
        <v>13</v>
      </c>
      <c r="F12" s="13">
        <f t="shared" si="0"/>
        <v>4.11764705882353</v>
      </c>
      <c r="G12" s="14">
        <f t="shared" si="1"/>
        <v>0.85</v>
      </c>
      <c r="H12" s="18">
        <v>3.5</v>
      </c>
      <c r="I12" s="15">
        <f t="shared" si="2"/>
        <v>45.5</v>
      </c>
      <c r="J12" s="16"/>
    </row>
    <row r="13" s="3" customFormat="1" ht="16" customHeight="1" spans="1:10">
      <c r="A13" s="11">
        <v>8</v>
      </c>
      <c r="B13" s="16" t="s">
        <v>68</v>
      </c>
      <c r="C13" s="16"/>
      <c r="D13" s="17" t="s">
        <v>14</v>
      </c>
      <c r="E13" s="17">
        <v>5</v>
      </c>
      <c r="F13" s="13">
        <f t="shared" si="0"/>
        <v>8</v>
      </c>
      <c r="G13" s="14">
        <f t="shared" si="1"/>
        <v>0.85</v>
      </c>
      <c r="H13" s="18">
        <v>6.8</v>
      </c>
      <c r="I13" s="15">
        <f t="shared" si="2"/>
        <v>34</v>
      </c>
      <c r="J13" s="16"/>
    </row>
    <row r="14" s="3" customFormat="1" ht="16" customHeight="1" spans="1:10">
      <c r="A14" s="11">
        <v>9</v>
      </c>
      <c r="B14" s="16" t="s">
        <v>25</v>
      </c>
      <c r="C14" s="16"/>
      <c r="D14" s="17" t="s">
        <v>14</v>
      </c>
      <c r="E14" s="17">
        <v>8</v>
      </c>
      <c r="F14" s="13">
        <f t="shared" si="0"/>
        <v>19.7647058823529</v>
      </c>
      <c r="G14" s="14">
        <f t="shared" si="1"/>
        <v>0.85</v>
      </c>
      <c r="H14" s="18">
        <v>16.8</v>
      </c>
      <c r="I14" s="15">
        <f t="shared" si="2"/>
        <v>134.4</v>
      </c>
      <c r="J14" s="16"/>
    </row>
    <row r="15" s="3" customFormat="1" ht="16" customHeight="1" spans="1:10">
      <c r="A15" s="11">
        <v>10</v>
      </c>
      <c r="B15" s="16" t="s">
        <v>71</v>
      </c>
      <c r="C15" s="16"/>
      <c r="D15" s="17" t="s">
        <v>14</v>
      </c>
      <c r="E15" s="17">
        <v>5</v>
      </c>
      <c r="F15" s="13">
        <f t="shared" si="0"/>
        <v>25.8823529411765</v>
      </c>
      <c r="G15" s="14">
        <f t="shared" si="1"/>
        <v>0.85</v>
      </c>
      <c r="H15" s="18">
        <v>22</v>
      </c>
      <c r="I15" s="15">
        <f t="shared" si="2"/>
        <v>110</v>
      </c>
      <c r="J15" s="16"/>
    </row>
    <row r="16" s="3" customFormat="1" ht="16" customHeight="1" spans="1:10">
      <c r="A16" s="11">
        <v>11</v>
      </c>
      <c r="B16" s="16" t="s">
        <v>84</v>
      </c>
      <c r="C16" s="16"/>
      <c r="D16" s="17" t="s">
        <v>14</v>
      </c>
      <c r="E16" s="17">
        <v>5</v>
      </c>
      <c r="F16" s="13">
        <f t="shared" si="0"/>
        <v>21.7647058823529</v>
      </c>
      <c r="G16" s="14">
        <f t="shared" si="1"/>
        <v>0.85</v>
      </c>
      <c r="H16" s="18">
        <v>18.5</v>
      </c>
      <c r="I16" s="15">
        <f t="shared" si="2"/>
        <v>92.5</v>
      </c>
      <c r="J16" s="16"/>
    </row>
    <row r="17" s="3" customFormat="1" ht="16" customHeight="1" spans="1:10">
      <c r="A17" s="11">
        <v>12</v>
      </c>
      <c r="B17" s="11" t="s">
        <v>163</v>
      </c>
      <c r="C17" s="11"/>
      <c r="D17" s="12" t="s">
        <v>14</v>
      </c>
      <c r="E17" s="12">
        <v>5</v>
      </c>
      <c r="F17" s="13">
        <f t="shared" si="0"/>
        <v>5.88235294117647</v>
      </c>
      <c r="G17" s="14">
        <f t="shared" si="1"/>
        <v>0.85</v>
      </c>
      <c r="H17" s="18">
        <v>5</v>
      </c>
      <c r="I17" s="15">
        <f t="shared" si="2"/>
        <v>25</v>
      </c>
      <c r="J17" s="11"/>
    </row>
    <row r="18" s="3" customFormat="1" ht="16" customHeight="1" spans="1:10">
      <c r="A18" s="11">
        <v>13</v>
      </c>
      <c r="B18" s="16" t="s">
        <v>164</v>
      </c>
      <c r="C18" s="16" t="s">
        <v>165</v>
      </c>
      <c r="D18" s="16" t="s">
        <v>41</v>
      </c>
      <c r="E18" s="17">
        <v>1</v>
      </c>
      <c r="F18" s="13">
        <f t="shared" si="0"/>
        <v>240</v>
      </c>
      <c r="G18" s="14">
        <f t="shared" si="1"/>
        <v>0.85</v>
      </c>
      <c r="H18" s="18">
        <v>204</v>
      </c>
      <c r="I18" s="15">
        <f t="shared" si="2"/>
        <v>204</v>
      </c>
      <c r="J18" s="16"/>
    </row>
    <row r="19" s="3" customFormat="1" ht="16" customHeight="1" spans="1:10">
      <c r="A19" s="11">
        <v>14</v>
      </c>
      <c r="B19" s="11" t="s">
        <v>166</v>
      </c>
      <c r="C19" s="11" t="s">
        <v>38</v>
      </c>
      <c r="D19" s="16" t="s">
        <v>14</v>
      </c>
      <c r="E19" s="12">
        <v>7</v>
      </c>
      <c r="F19" s="13">
        <f t="shared" si="0"/>
        <v>30.5882352941176</v>
      </c>
      <c r="G19" s="14">
        <f t="shared" si="1"/>
        <v>0.85</v>
      </c>
      <c r="H19" s="18">
        <v>26</v>
      </c>
      <c r="I19" s="15">
        <f t="shared" si="2"/>
        <v>182</v>
      </c>
      <c r="J19" s="11"/>
    </row>
    <row r="20" s="3" customFormat="1" ht="16" customHeight="1" spans="1:10">
      <c r="A20" s="11">
        <v>15</v>
      </c>
      <c r="B20" s="11" t="s">
        <v>167</v>
      </c>
      <c r="C20" s="11" t="s">
        <v>168</v>
      </c>
      <c r="D20" s="11" t="s">
        <v>31</v>
      </c>
      <c r="E20" s="12">
        <v>3</v>
      </c>
      <c r="F20" s="13">
        <f t="shared" si="0"/>
        <v>30.5882352941176</v>
      </c>
      <c r="G20" s="14">
        <f t="shared" si="1"/>
        <v>0.85</v>
      </c>
      <c r="H20" s="18">
        <v>26</v>
      </c>
      <c r="I20" s="15">
        <f t="shared" si="2"/>
        <v>78</v>
      </c>
      <c r="J20" s="11"/>
    </row>
    <row r="21" s="3" customFormat="1" ht="16" customHeight="1" spans="1:10">
      <c r="A21" s="11">
        <v>16</v>
      </c>
      <c r="B21" s="11" t="s">
        <v>155</v>
      </c>
      <c r="C21" s="11"/>
      <c r="D21" s="11" t="s">
        <v>46</v>
      </c>
      <c r="E21" s="12">
        <v>60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210</v>
      </c>
      <c r="J21" s="11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55</v>
      </c>
      <c r="B32" s="19">
        <f>SUM(I6:I31)</f>
        <v>1335.8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48</v>
      </c>
      <c r="B33" s="22">
        <f>B32</f>
        <v>1335.8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49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0" workbookViewId="0">
      <selection activeCell="G28" sqref="G2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7</v>
      </c>
      <c r="F6" s="13">
        <f t="shared" ref="F6:F29" si="0">H6/0.85</f>
        <v>3.52941176470588</v>
      </c>
      <c r="G6" s="14">
        <f t="shared" ref="G6:G29" si="1">H6/F6</f>
        <v>0.85</v>
      </c>
      <c r="H6" s="15">
        <v>3</v>
      </c>
      <c r="I6" s="15">
        <f t="shared" ref="I6:I29" si="2">E6*H6</f>
        <v>21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108</v>
      </c>
      <c r="C8" s="11"/>
      <c r="D8" s="12" t="s">
        <v>14</v>
      </c>
      <c r="E8" s="12">
        <v>3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10.5</v>
      </c>
      <c r="J8" s="11"/>
    </row>
    <row r="9" s="3" customFormat="1" ht="16" customHeight="1" spans="1:10">
      <c r="A9" s="11">
        <v>4</v>
      </c>
      <c r="B9" s="16" t="s">
        <v>15</v>
      </c>
      <c r="C9" s="16"/>
      <c r="D9" s="12" t="s">
        <v>14</v>
      </c>
      <c r="E9" s="12">
        <v>5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17.5</v>
      </c>
      <c r="J9" s="11"/>
    </row>
    <row r="10" s="3" customFormat="1" ht="16" customHeight="1" spans="1:10">
      <c r="A10" s="11">
        <v>5</v>
      </c>
      <c r="B10" s="11" t="s">
        <v>79</v>
      </c>
      <c r="C10" s="11"/>
      <c r="D10" s="12" t="s">
        <v>14</v>
      </c>
      <c r="E10" s="12">
        <v>12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93.6</v>
      </c>
      <c r="J10" s="11"/>
    </row>
    <row r="11" s="3" customFormat="1" ht="16" customHeight="1" spans="1:10">
      <c r="A11" s="11">
        <v>6</v>
      </c>
      <c r="B11" s="11" t="s">
        <v>169</v>
      </c>
      <c r="C11" s="11"/>
      <c r="D11" s="12" t="s">
        <v>14</v>
      </c>
      <c r="E11" s="12">
        <v>5</v>
      </c>
      <c r="F11" s="13">
        <f t="shared" si="0"/>
        <v>21.1764705882353</v>
      </c>
      <c r="G11" s="14">
        <f t="shared" si="1"/>
        <v>0.85</v>
      </c>
      <c r="H11" s="15">
        <v>18</v>
      </c>
      <c r="I11" s="15">
        <f t="shared" si="2"/>
        <v>90</v>
      </c>
      <c r="J11" s="11"/>
    </row>
    <row r="12" s="3" customFormat="1" ht="16" customHeight="1" spans="1:10">
      <c r="A12" s="11">
        <v>7</v>
      </c>
      <c r="B12" s="16" t="s">
        <v>112</v>
      </c>
      <c r="C12" s="16"/>
      <c r="D12" s="17" t="s">
        <v>14</v>
      </c>
      <c r="E12" s="17">
        <v>5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12.5</v>
      </c>
      <c r="J12" s="16"/>
    </row>
    <row r="13" s="3" customFormat="1" ht="16" customHeight="1" spans="1:10">
      <c r="A13" s="11">
        <v>8</v>
      </c>
      <c r="B13" s="16" t="s">
        <v>20</v>
      </c>
      <c r="C13" s="16"/>
      <c r="D13" s="17" t="s">
        <v>21</v>
      </c>
      <c r="E13" s="17">
        <v>5</v>
      </c>
      <c r="F13" s="13">
        <f t="shared" si="0"/>
        <v>3.52941176470588</v>
      </c>
      <c r="G13" s="14">
        <f t="shared" si="1"/>
        <v>0.85</v>
      </c>
      <c r="H13" s="18">
        <v>3</v>
      </c>
      <c r="I13" s="15">
        <f t="shared" si="2"/>
        <v>15</v>
      </c>
      <c r="J13" s="16"/>
    </row>
    <row r="14" s="3" customFormat="1" ht="16" customHeight="1" spans="1:10">
      <c r="A14" s="11">
        <v>9</v>
      </c>
      <c r="B14" s="16" t="s">
        <v>53</v>
      </c>
      <c r="C14" s="16"/>
      <c r="D14" s="17" t="s">
        <v>14</v>
      </c>
      <c r="E14" s="17">
        <v>5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19</v>
      </c>
      <c r="J14" s="16"/>
    </row>
    <row r="15" s="3" customFormat="1" ht="16" customHeight="1" spans="1:10">
      <c r="A15" s="11">
        <v>10</v>
      </c>
      <c r="B15" s="16" t="s">
        <v>99</v>
      </c>
      <c r="C15" s="16"/>
      <c r="D15" s="17" t="s">
        <v>14</v>
      </c>
      <c r="E15" s="17">
        <v>19</v>
      </c>
      <c r="F15" s="13">
        <f t="shared" si="0"/>
        <v>2.94117647058824</v>
      </c>
      <c r="G15" s="14">
        <f t="shared" si="1"/>
        <v>0.85</v>
      </c>
      <c r="H15" s="18">
        <v>2.5</v>
      </c>
      <c r="I15" s="15">
        <f t="shared" si="2"/>
        <v>47.5</v>
      </c>
      <c r="J15" s="16"/>
    </row>
    <row r="16" s="3" customFormat="1" ht="16" customHeight="1" spans="1:10">
      <c r="A16" s="11">
        <v>11</v>
      </c>
      <c r="B16" s="16" t="s">
        <v>100</v>
      </c>
      <c r="C16" s="16"/>
      <c r="D16" s="17" t="s">
        <v>14</v>
      </c>
      <c r="E16" s="17">
        <v>5.4</v>
      </c>
      <c r="F16" s="13">
        <f t="shared" si="0"/>
        <v>2.35294117647059</v>
      </c>
      <c r="G16" s="14">
        <f t="shared" si="1"/>
        <v>0.85</v>
      </c>
      <c r="H16" s="18">
        <v>2</v>
      </c>
      <c r="I16" s="15">
        <f t="shared" si="2"/>
        <v>10.8</v>
      </c>
      <c r="J16" s="16"/>
    </row>
    <row r="17" s="3" customFormat="1" ht="16" customHeight="1" spans="1:10">
      <c r="A17" s="11">
        <v>12</v>
      </c>
      <c r="B17" s="16" t="s">
        <v>101</v>
      </c>
      <c r="C17" s="16" t="s">
        <v>102</v>
      </c>
      <c r="D17" s="17" t="s">
        <v>14</v>
      </c>
      <c r="E17" s="17">
        <v>15</v>
      </c>
      <c r="F17" s="13">
        <f t="shared" si="0"/>
        <v>5.29411764705882</v>
      </c>
      <c r="G17" s="14">
        <f t="shared" si="1"/>
        <v>0.85</v>
      </c>
      <c r="H17" s="18">
        <v>4.5</v>
      </c>
      <c r="I17" s="15">
        <f t="shared" si="2"/>
        <v>67.5</v>
      </c>
      <c r="J17" s="16"/>
    </row>
    <row r="18" s="3" customFormat="1" ht="16" customHeight="1" spans="1:10">
      <c r="A18" s="11">
        <v>13</v>
      </c>
      <c r="B18" s="16" t="s">
        <v>54</v>
      </c>
      <c r="C18" s="16"/>
      <c r="D18" s="16" t="s">
        <v>14</v>
      </c>
      <c r="E18" s="17">
        <v>6</v>
      </c>
      <c r="F18" s="13">
        <f t="shared" si="0"/>
        <v>4.11764705882353</v>
      </c>
      <c r="G18" s="14">
        <f t="shared" si="1"/>
        <v>0.85</v>
      </c>
      <c r="H18" s="18">
        <v>3.5</v>
      </c>
      <c r="I18" s="15">
        <f t="shared" si="2"/>
        <v>21</v>
      </c>
      <c r="J18" s="16"/>
    </row>
    <row r="19" s="3" customFormat="1" ht="16" customHeight="1" spans="1:10">
      <c r="A19" s="11">
        <v>14</v>
      </c>
      <c r="B19" s="11" t="s">
        <v>170</v>
      </c>
      <c r="C19" s="11"/>
      <c r="D19" s="16" t="s">
        <v>14</v>
      </c>
      <c r="E19" s="12">
        <v>28</v>
      </c>
      <c r="F19" s="13">
        <f t="shared" si="0"/>
        <v>10</v>
      </c>
      <c r="G19" s="14">
        <f t="shared" si="1"/>
        <v>0.85</v>
      </c>
      <c r="H19" s="18">
        <v>8.5</v>
      </c>
      <c r="I19" s="15">
        <f t="shared" si="2"/>
        <v>238</v>
      </c>
      <c r="J19" s="11"/>
    </row>
    <row r="20" s="3" customFormat="1" ht="16" customHeight="1" spans="1:10">
      <c r="A20" s="11">
        <v>15</v>
      </c>
      <c r="B20" s="11" t="s">
        <v>103</v>
      </c>
      <c r="C20" s="11"/>
      <c r="D20" s="11" t="s">
        <v>14</v>
      </c>
      <c r="E20" s="12">
        <v>8</v>
      </c>
      <c r="F20" s="13">
        <f t="shared" si="0"/>
        <v>4.11764705882353</v>
      </c>
      <c r="G20" s="14">
        <f t="shared" si="1"/>
        <v>0.85</v>
      </c>
      <c r="H20" s="18">
        <v>3.5</v>
      </c>
      <c r="I20" s="15">
        <f t="shared" si="2"/>
        <v>28</v>
      </c>
      <c r="J20" s="11"/>
    </row>
    <row r="21" s="3" customFormat="1" ht="16" customHeight="1" spans="1:10">
      <c r="A21" s="11">
        <v>16</v>
      </c>
      <c r="B21" s="11" t="s">
        <v>25</v>
      </c>
      <c r="C21" s="11"/>
      <c r="D21" s="11" t="s">
        <v>14</v>
      </c>
      <c r="E21" s="12">
        <v>5</v>
      </c>
      <c r="F21" s="13">
        <f t="shared" si="0"/>
        <v>19.7647058823529</v>
      </c>
      <c r="G21" s="14">
        <f t="shared" si="1"/>
        <v>0.85</v>
      </c>
      <c r="H21" s="18">
        <v>16.8</v>
      </c>
      <c r="I21" s="15">
        <f t="shared" si="2"/>
        <v>84</v>
      </c>
      <c r="J21" s="11"/>
    </row>
    <row r="22" s="3" customFormat="1" ht="16" customHeight="1" spans="1:10">
      <c r="A22" s="11">
        <v>17</v>
      </c>
      <c r="B22" s="11" t="s">
        <v>71</v>
      </c>
      <c r="C22" s="11"/>
      <c r="D22" s="11" t="s">
        <v>14</v>
      </c>
      <c r="E22" s="12">
        <v>5</v>
      </c>
      <c r="F22" s="13">
        <f t="shared" si="0"/>
        <v>25.8823529411765</v>
      </c>
      <c r="G22" s="14">
        <f t="shared" si="1"/>
        <v>0.85</v>
      </c>
      <c r="H22" s="18">
        <v>22</v>
      </c>
      <c r="I22" s="15">
        <f t="shared" si="2"/>
        <v>110</v>
      </c>
      <c r="J22" s="11"/>
    </row>
    <row r="23" s="3" customFormat="1" ht="16" customHeight="1" spans="1:10">
      <c r="A23" s="11">
        <v>18</v>
      </c>
      <c r="B23" s="11" t="s">
        <v>129</v>
      </c>
      <c r="C23" s="11"/>
      <c r="D23" s="11" t="s">
        <v>14</v>
      </c>
      <c r="E23" s="12">
        <v>8</v>
      </c>
      <c r="F23" s="13">
        <f t="shared" si="0"/>
        <v>33.8823529411765</v>
      </c>
      <c r="G23" s="14">
        <f t="shared" si="1"/>
        <v>0.85</v>
      </c>
      <c r="H23" s="18">
        <v>28.8</v>
      </c>
      <c r="I23" s="15">
        <f t="shared" si="2"/>
        <v>230.4</v>
      </c>
      <c r="J23" s="11"/>
    </row>
    <row r="24" s="3" customFormat="1" customHeight="1" spans="1:10">
      <c r="A24" s="11">
        <v>19</v>
      </c>
      <c r="B24" s="13" t="s">
        <v>171</v>
      </c>
      <c r="C24" s="13" t="s">
        <v>172</v>
      </c>
      <c r="D24" s="13" t="s">
        <v>173</v>
      </c>
      <c r="E24" s="12">
        <v>4</v>
      </c>
      <c r="F24" s="13">
        <f t="shared" si="0"/>
        <v>19.7647058823529</v>
      </c>
      <c r="G24" s="14">
        <f t="shared" si="1"/>
        <v>0.85</v>
      </c>
      <c r="H24" s="18">
        <v>16.8</v>
      </c>
      <c r="I24" s="15">
        <f t="shared" si="2"/>
        <v>67.2</v>
      </c>
      <c r="J24" s="13"/>
    </row>
    <row r="25" s="3" customFormat="1" customHeight="1" spans="1:10">
      <c r="A25" s="11">
        <v>20</v>
      </c>
      <c r="B25" s="13" t="s">
        <v>174</v>
      </c>
      <c r="C25" s="13"/>
      <c r="D25" s="13" t="s">
        <v>41</v>
      </c>
      <c r="E25" s="12">
        <v>1</v>
      </c>
      <c r="F25" s="13">
        <f t="shared" si="0"/>
        <v>197.647058823529</v>
      </c>
      <c r="G25" s="14">
        <f t="shared" si="1"/>
        <v>0.85</v>
      </c>
      <c r="H25" s="18">
        <v>168</v>
      </c>
      <c r="I25" s="15">
        <f t="shared" si="2"/>
        <v>168</v>
      </c>
      <c r="J25" s="13"/>
    </row>
    <row r="26" s="3" customFormat="1" customHeight="1" spans="1:10">
      <c r="A26" s="11">
        <v>21</v>
      </c>
      <c r="B26" s="13" t="s">
        <v>175</v>
      </c>
      <c r="C26" s="13" t="s">
        <v>176</v>
      </c>
      <c r="D26" s="13" t="s">
        <v>14</v>
      </c>
      <c r="E26" s="12">
        <v>8</v>
      </c>
      <c r="F26" s="13">
        <f t="shared" si="0"/>
        <v>8</v>
      </c>
      <c r="G26" s="14">
        <f t="shared" si="1"/>
        <v>0.85</v>
      </c>
      <c r="H26" s="18">
        <v>6.8</v>
      </c>
      <c r="I26" s="15">
        <f t="shared" si="2"/>
        <v>54.4</v>
      </c>
      <c r="J26" s="13"/>
    </row>
    <row r="27" s="3" customFormat="1" customHeight="1" spans="1:10">
      <c r="A27" s="11">
        <v>22</v>
      </c>
      <c r="B27" s="13" t="s">
        <v>37</v>
      </c>
      <c r="C27" s="13" t="s">
        <v>38</v>
      </c>
      <c r="D27" s="13" t="s">
        <v>14</v>
      </c>
      <c r="E27" s="12">
        <v>5</v>
      </c>
      <c r="F27" s="13">
        <f t="shared" si="0"/>
        <v>5.29411764705882</v>
      </c>
      <c r="G27" s="14">
        <f t="shared" si="1"/>
        <v>0.85</v>
      </c>
      <c r="H27" s="18">
        <v>4.5</v>
      </c>
      <c r="I27" s="15">
        <f t="shared" si="2"/>
        <v>22.5</v>
      </c>
      <c r="J27" s="13"/>
    </row>
    <row r="28" s="3" customFormat="1" customHeight="1" spans="1:10">
      <c r="A28" s="11">
        <v>23</v>
      </c>
      <c r="B28" s="13" t="s">
        <v>134</v>
      </c>
      <c r="C28" s="13"/>
      <c r="D28" s="13" t="s">
        <v>14</v>
      </c>
      <c r="E28" s="12">
        <v>4</v>
      </c>
      <c r="F28" s="13">
        <f t="shared" si="0"/>
        <v>103.529411764706</v>
      </c>
      <c r="G28" s="14">
        <f t="shared" si="1"/>
        <v>0.85</v>
      </c>
      <c r="H28" s="18">
        <v>88</v>
      </c>
      <c r="I28" s="15">
        <f t="shared" si="2"/>
        <v>352</v>
      </c>
      <c r="J28" s="13"/>
    </row>
    <row r="29" s="3" customFormat="1" customHeight="1" spans="1:10">
      <c r="A29" s="11">
        <v>24</v>
      </c>
      <c r="B29" s="13" t="s">
        <v>155</v>
      </c>
      <c r="C29" s="13"/>
      <c r="D29" s="13" t="s">
        <v>46</v>
      </c>
      <c r="E29" s="12">
        <v>40</v>
      </c>
      <c r="F29" s="13">
        <f t="shared" si="0"/>
        <v>4.11764705882353</v>
      </c>
      <c r="G29" s="14">
        <f t="shared" si="1"/>
        <v>0.85</v>
      </c>
      <c r="H29" s="18">
        <v>3.5</v>
      </c>
      <c r="I29" s="15">
        <f t="shared" si="2"/>
        <v>140</v>
      </c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 t="s">
        <v>55</v>
      </c>
      <c r="B31" s="19">
        <f>SUM(I6:I30)</f>
        <v>1941.4</v>
      </c>
      <c r="C31" s="20"/>
      <c r="D31" s="20"/>
      <c r="E31" s="21"/>
      <c r="F31" s="20"/>
      <c r="G31" s="20"/>
      <c r="H31" s="20"/>
      <c r="I31" s="20"/>
      <c r="J31" s="24"/>
    </row>
    <row r="32" s="3" customFormat="1" customHeight="1" spans="1:10">
      <c r="A32" s="11" t="s">
        <v>48</v>
      </c>
      <c r="B32" s="22">
        <f>B31</f>
        <v>1941.4</v>
      </c>
      <c r="C32" s="23"/>
      <c r="D32" s="23"/>
      <c r="E32" s="21"/>
      <c r="F32" s="23"/>
      <c r="G32" s="23"/>
      <c r="H32" s="23"/>
      <c r="I32" s="23"/>
      <c r="J32" s="25"/>
    </row>
    <row r="33" s="3" customFormat="1" customHeight="1" spans="1:5">
      <c r="A33" s="3" t="s">
        <v>49</v>
      </c>
      <c r="E33" s="4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6" workbookViewId="0">
      <selection activeCell="J26" sqref="J2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45188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144</v>
      </c>
      <c r="C8" s="11"/>
      <c r="D8" s="12" t="s">
        <v>14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6" t="s">
        <v>110</v>
      </c>
      <c r="C9" s="16"/>
      <c r="D9" s="12" t="s">
        <v>14</v>
      </c>
      <c r="E9" s="12">
        <v>5</v>
      </c>
      <c r="F9" s="13">
        <f t="shared" si="0"/>
        <v>15.0588235294118</v>
      </c>
      <c r="G9" s="14">
        <f t="shared" si="1"/>
        <v>0.85</v>
      </c>
      <c r="H9" s="15">
        <v>12.8</v>
      </c>
      <c r="I9" s="15">
        <f t="shared" si="2"/>
        <v>64</v>
      </c>
      <c r="J9" s="11"/>
    </row>
    <row r="10" s="3" customFormat="1" ht="16" customHeight="1" spans="1:10">
      <c r="A10" s="11">
        <v>5</v>
      </c>
      <c r="B10" s="11" t="s">
        <v>17</v>
      </c>
      <c r="C10" s="11"/>
      <c r="D10" s="12" t="s">
        <v>14</v>
      </c>
      <c r="E10" s="12">
        <v>9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18</v>
      </c>
      <c r="J10" s="11"/>
    </row>
    <row r="11" s="3" customFormat="1" ht="16" customHeight="1" spans="1:10">
      <c r="A11" s="11">
        <v>6</v>
      </c>
      <c r="B11" s="11" t="s">
        <v>96</v>
      </c>
      <c r="C11" s="11"/>
      <c r="D11" s="12" t="s">
        <v>14</v>
      </c>
      <c r="E11" s="12">
        <v>10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35</v>
      </c>
      <c r="J11" s="11"/>
    </row>
    <row r="12" s="3" customFormat="1" ht="16" customHeight="1" spans="1:10">
      <c r="A12" s="11">
        <v>7</v>
      </c>
      <c r="B12" s="16" t="s">
        <v>18</v>
      </c>
      <c r="C12" s="16"/>
      <c r="D12" s="17" t="s">
        <v>14</v>
      </c>
      <c r="E12" s="17">
        <v>3</v>
      </c>
      <c r="F12" s="13">
        <f t="shared" si="0"/>
        <v>9.17647058823529</v>
      </c>
      <c r="G12" s="14">
        <f t="shared" si="1"/>
        <v>0.85</v>
      </c>
      <c r="H12" s="18">
        <v>7.8</v>
      </c>
      <c r="I12" s="15">
        <f t="shared" si="2"/>
        <v>23.4</v>
      </c>
      <c r="J12" s="16"/>
    </row>
    <row r="13" s="3" customFormat="1" ht="16" customHeight="1" spans="1:10">
      <c r="A13" s="11">
        <v>8</v>
      </c>
      <c r="B13" s="16" t="s">
        <v>60</v>
      </c>
      <c r="C13" s="16"/>
      <c r="D13" s="17" t="s">
        <v>14</v>
      </c>
      <c r="E13" s="17">
        <v>3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13.5</v>
      </c>
      <c r="J13" s="16"/>
    </row>
    <row r="14" s="3" customFormat="1" ht="16" customHeight="1" spans="1:10">
      <c r="A14" s="11">
        <v>9</v>
      </c>
      <c r="B14" s="16" t="s">
        <v>67</v>
      </c>
      <c r="C14" s="16"/>
      <c r="D14" s="17" t="s">
        <v>14</v>
      </c>
      <c r="E14" s="17">
        <v>19</v>
      </c>
      <c r="F14" s="13">
        <f t="shared" si="0"/>
        <v>2.94117647058824</v>
      </c>
      <c r="G14" s="14">
        <f t="shared" si="1"/>
        <v>0.85</v>
      </c>
      <c r="H14" s="18">
        <v>2.5</v>
      </c>
      <c r="I14" s="15">
        <f t="shared" si="2"/>
        <v>47.5</v>
      </c>
      <c r="J14" s="16"/>
    </row>
    <row r="15" s="3" customFormat="1" ht="16" customHeight="1" spans="1:10">
      <c r="A15" s="11">
        <v>10</v>
      </c>
      <c r="B15" s="16" t="s">
        <v>81</v>
      </c>
      <c r="C15" s="16"/>
      <c r="D15" s="17" t="s">
        <v>14</v>
      </c>
      <c r="E15" s="17">
        <v>2</v>
      </c>
      <c r="F15" s="13">
        <f t="shared" si="0"/>
        <v>12.7058823529412</v>
      </c>
      <c r="G15" s="14">
        <f t="shared" si="1"/>
        <v>0.85</v>
      </c>
      <c r="H15" s="18">
        <v>10.8</v>
      </c>
      <c r="I15" s="15">
        <f t="shared" si="2"/>
        <v>21.6</v>
      </c>
      <c r="J15" s="16"/>
    </row>
    <row r="16" s="3" customFormat="1" ht="16" customHeight="1" spans="1:10">
      <c r="A16" s="11">
        <v>11</v>
      </c>
      <c r="B16" s="16" t="s">
        <v>100</v>
      </c>
      <c r="C16" s="16"/>
      <c r="D16" s="17" t="s">
        <v>14</v>
      </c>
      <c r="E16" s="17">
        <v>17</v>
      </c>
      <c r="F16" s="13">
        <f t="shared" si="0"/>
        <v>2.35294117647059</v>
      </c>
      <c r="G16" s="14">
        <f t="shared" si="1"/>
        <v>0.85</v>
      </c>
      <c r="H16" s="18">
        <v>2</v>
      </c>
      <c r="I16" s="15">
        <f t="shared" si="2"/>
        <v>34</v>
      </c>
      <c r="J16" s="16"/>
    </row>
    <row r="17" s="3" customFormat="1" ht="16" customHeight="1" spans="1:10">
      <c r="A17" s="11">
        <v>12</v>
      </c>
      <c r="B17" s="16" t="s">
        <v>177</v>
      </c>
      <c r="C17" s="16"/>
      <c r="D17" s="17" t="s">
        <v>14</v>
      </c>
      <c r="E17" s="17">
        <v>13</v>
      </c>
      <c r="F17" s="13">
        <f t="shared" si="0"/>
        <v>8</v>
      </c>
      <c r="G17" s="14">
        <f t="shared" si="1"/>
        <v>0.85</v>
      </c>
      <c r="H17" s="18">
        <v>6.8</v>
      </c>
      <c r="I17" s="15">
        <f t="shared" si="2"/>
        <v>88.4</v>
      </c>
      <c r="J17" s="16"/>
    </row>
    <row r="18" s="3" customFormat="1" ht="16" customHeight="1" spans="1:10">
      <c r="A18" s="11">
        <v>13</v>
      </c>
      <c r="B18" s="16" t="s">
        <v>103</v>
      </c>
      <c r="C18" s="16"/>
      <c r="D18" s="16" t="s">
        <v>14</v>
      </c>
      <c r="E18" s="17">
        <v>6</v>
      </c>
      <c r="F18" s="13">
        <f t="shared" si="0"/>
        <v>4.11764705882353</v>
      </c>
      <c r="G18" s="14">
        <f t="shared" si="1"/>
        <v>0.85</v>
      </c>
      <c r="H18" s="18">
        <v>3.5</v>
      </c>
      <c r="I18" s="15">
        <f t="shared" si="2"/>
        <v>21</v>
      </c>
      <c r="J18" s="16"/>
    </row>
    <row r="19" s="3" customFormat="1" ht="16" customHeight="1" spans="1:10">
      <c r="A19" s="11">
        <v>14</v>
      </c>
      <c r="B19" s="11" t="s">
        <v>25</v>
      </c>
      <c r="C19" s="11"/>
      <c r="D19" s="16" t="s">
        <v>14</v>
      </c>
      <c r="E19" s="12">
        <v>4</v>
      </c>
      <c r="F19" s="13">
        <f t="shared" si="0"/>
        <v>19.7647058823529</v>
      </c>
      <c r="G19" s="14">
        <f t="shared" si="1"/>
        <v>0.85</v>
      </c>
      <c r="H19" s="18">
        <v>16.8</v>
      </c>
      <c r="I19" s="15">
        <f t="shared" si="2"/>
        <v>67.2</v>
      </c>
      <c r="J19" s="11"/>
    </row>
    <row r="20" s="3" customFormat="1" ht="16" customHeight="1" spans="1:10">
      <c r="A20" s="11">
        <v>15</v>
      </c>
      <c r="B20" s="11" t="s">
        <v>84</v>
      </c>
      <c r="C20" s="11"/>
      <c r="D20" s="11" t="s">
        <v>14</v>
      </c>
      <c r="E20" s="12">
        <v>5</v>
      </c>
      <c r="F20" s="13">
        <f t="shared" si="0"/>
        <v>21.7647058823529</v>
      </c>
      <c r="G20" s="14">
        <f t="shared" si="1"/>
        <v>0.85</v>
      </c>
      <c r="H20" s="18">
        <v>18.5</v>
      </c>
      <c r="I20" s="15">
        <f t="shared" si="2"/>
        <v>92.5</v>
      </c>
      <c r="J20" s="11"/>
    </row>
    <row r="21" s="3" customFormat="1" ht="16" customHeight="1" spans="1:10">
      <c r="A21" s="11">
        <v>16</v>
      </c>
      <c r="B21" s="11" t="s">
        <v>104</v>
      </c>
      <c r="C21" s="11"/>
      <c r="D21" s="11" t="s">
        <v>14</v>
      </c>
      <c r="E21" s="12">
        <v>5.8</v>
      </c>
      <c r="F21" s="13">
        <f t="shared" si="0"/>
        <v>23.5294117647059</v>
      </c>
      <c r="G21" s="14">
        <f t="shared" si="1"/>
        <v>0.85</v>
      </c>
      <c r="H21" s="18">
        <v>20</v>
      </c>
      <c r="I21" s="15">
        <f t="shared" si="2"/>
        <v>116</v>
      </c>
      <c r="J21" s="11"/>
    </row>
    <row r="22" s="3" customFormat="1" ht="16" customHeight="1" spans="1:10">
      <c r="A22" s="11">
        <v>17</v>
      </c>
      <c r="B22" s="11" t="s">
        <v>178</v>
      </c>
      <c r="C22" s="11" t="s">
        <v>179</v>
      </c>
      <c r="D22" s="11" t="s">
        <v>31</v>
      </c>
      <c r="E22" s="12">
        <v>2</v>
      </c>
      <c r="F22" s="13">
        <f t="shared" si="0"/>
        <v>52.9411764705882</v>
      </c>
      <c r="G22" s="14">
        <f t="shared" si="1"/>
        <v>0.85</v>
      </c>
      <c r="H22" s="18">
        <v>45</v>
      </c>
      <c r="I22" s="15">
        <f t="shared" si="2"/>
        <v>90</v>
      </c>
      <c r="J22" s="11"/>
    </row>
    <row r="23" s="3" customFormat="1" ht="16" customHeight="1" spans="1:10">
      <c r="A23" s="11">
        <v>18</v>
      </c>
      <c r="B23" s="11" t="s">
        <v>105</v>
      </c>
      <c r="C23" s="11"/>
      <c r="D23" s="11" t="s">
        <v>14</v>
      </c>
      <c r="E23" s="12">
        <v>8</v>
      </c>
      <c r="F23" s="13">
        <f t="shared" si="0"/>
        <v>5.76470588235294</v>
      </c>
      <c r="G23" s="14">
        <f t="shared" si="1"/>
        <v>0.85</v>
      </c>
      <c r="H23" s="18">
        <v>4.9</v>
      </c>
      <c r="I23" s="15">
        <f t="shared" si="2"/>
        <v>39.2</v>
      </c>
      <c r="J23" s="11"/>
    </row>
    <row r="24" s="3" customFormat="1" customHeight="1" spans="1:10">
      <c r="A24" s="11">
        <v>19</v>
      </c>
      <c r="B24" s="13" t="s">
        <v>140</v>
      </c>
      <c r="C24" s="13" t="s">
        <v>141</v>
      </c>
      <c r="D24" s="13" t="s">
        <v>41</v>
      </c>
      <c r="E24" s="12">
        <v>2</v>
      </c>
      <c r="F24" s="13">
        <f t="shared" si="0"/>
        <v>411.764705882353</v>
      </c>
      <c r="G24" s="14">
        <f t="shared" si="1"/>
        <v>0.85</v>
      </c>
      <c r="H24" s="18">
        <v>350</v>
      </c>
      <c r="I24" s="15">
        <f t="shared" si="2"/>
        <v>700</v>
      </c>
      <c r="J24" s="13"/>
    </row>
    <row r="25" s="3" customFormat="1" customHeight="1" spans="1:10">
      <c r="A25" s="11">
        <v>20</v>
      </c>
      <c r="B25" s="13" t="s">
        <v>155</v>
      </c>
      <c r="C25" s="13"/>
      <c r="D25" s="13" t="s">
        <v>46</v>
      </c>
      <c r="E25" s="12">
        <v>70</v>
      </c>
      <c r="F25" s="13">
        <f t="shared" si="0"/>
        <v>4.11764705882353</v>
      </c>
      <c r="G25" s="14">
        <f t="shared" si="1"/>
        <v>0.85</v>
      </c>
      <c r="H25" s="18">
        <v>3.5</v>
      </c>
      <c r="I25" s="15">
        <f t="shared" si="2"/>
        <v>245</v>
      </c>
      <c r="J25" s="13"/>
    </row>
    <row r="26" s="3" customFormat="1" customHeight="1" spans="1:10">
      <c r="A26" s="11">
        <v>21</v>
      </c>
      <c r="B26" s="13" t="s">
        <v>134</v>
      </c>
      <c r="C26" s="13"/>
      <c r="D26" s="13" t="s">
        <v>14</v>
      </c>
      <c r="E26" s="12">
        <v>4</v>
      </c>
      <c r="F26" s="13">
        <f t="shared" si="0"/>
        <v>103.529411764706</v>
      </c>
      <c r="G26" s="14">
        <f t="shared" si="1"/>
        <v>0.85</v>
      </c>
      <c r="H26" s="18">
        <v>88</v>
      </c>
      <c r="I26" s="15">
        <f t="shared" si="2"/>
        <v>352</v>
      </c>
      <c r="J26" s="26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55</v>
      </c>
      <c r="B33" s="19">
        <f>SUM(I6:I32)</f>
        <v>2107.8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2107.8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49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0" workbookViewId="0">
      <selection activeCell="G20" sqref="F20:G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45189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31" si="0">H6/0.85</f>
        <v>3.52941176470588</v>
      </c>
      <c r="G6" s="14">
        <f t="shared" ref="G6:G31" si="1">H6/F6</f>
        <v>0.85</v>
      </c>
      <c r="H6" s="15">
        <v>3</v>
      </c>
      <c r="I6" s="15">
        <f t="shared" ref="I6:I31" si="2">E6*H6</f>
        <v>18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151</v>
      </c>
      <c r="C8" s="11"/>
      <c r="D8" s="12" t="s">
        <v>14</v>
      </c>
      <c r="E8" s="12">
        <v>4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24</v>
      </c>
      <c r="J8" s="11"/>
    </row>
    <row r="9" s="3" customFormat="1" ht="16" customHeight="1" spans="1:10">
      <c r="A9" s="11">
        <v>4</v>
      </c>
      <c r="B9" s="16" t="s">
        <v>66</v>
      </c>
      <c r="C9" s="16"/>
      <c r="D9" s="12" t="s">
        <v>14</v>
      </c>
      <c r="E9" s="12">
        <v>1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6.8</v>
      </c>
      <c r="J9" s="11"/>
    </row>
    <row r="10" s="3" customFormat="1" ht="16" customHeight="1" spans="1:10">
      <c r="A10" s="11">
        <v>5</v>
      </c>
      <c r="B10" s="11" t="s">
        <v>17</v>
      </c>
      <c r="C10" s="11"/>
      <c r="D10" s="12" t="s">
        <v>14</v>
      </c>
      <c r="E10" s="12">
        <v>10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20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6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46.8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11</v>
      </c>
      <c r="F12" s="13">
        <f t="shared" si="0"/>
        <v>3.52941176470588</v>
      </c>
      <c r="G12" s="14">
        <f t="shared" si="1"/>
        <v>0.85</v>
      </c>
      <c r="H12" s="18">
        <v>3</v>
      </c>
      <c r="I12" s="15">
        <f t="shared" si="2"/>
        <v>33</v>
      </c>
      <c r="J12" s="16"/>
    </row>
    <row r="13" s="3" customFormat="1" ht="16" customHeight="1" spans="1:10">
      <c r="A13" s="11">
        <v>8</v>
      </c>
      <c r="B13" s="16" t="s">
        <v>60</v>
      </c>
      <c r="C13" s="16"/>
      <c r="D13" s="17" t="s">
        <v>14</v>
      </c>
      <c r="E13" s="17">
        <v>6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27</v>
      </c>
      <c r="J13" s="16"/>
    </row>
    <row r="14" s="3" customFormat="1" ht="16" customHeight="1" spans="1:10">
      <c r="A14" s="11">
        <v>9</v>
      </c>
      <c r="B14" s="16" t="s">
        <v>53</v>
      </c>
      <c r="C14" s="16"/>
      <c r="D14" s="17" t="s">
        <v>14</v>
      </c>
      <c r="E14" s="17">
        <v>17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64.6</v>
      </c>
      <c r="J14" s="16"/>
    </row>
    <row r="15" s="3" customFormat="1" ht="16" customHeight="1" spans="1:10">
      <c r="A15" s="11">
        <v>10</v>
      </c>
      <c r="B15" s="16" t="s">
        <v>158</v>
      </c>
      <c r="C15" s="16" t="s">
        <v>159</v>
      </c>
      <c r="D15" s="17" t="s">
        <v>14</v>
      </c>
      <c r="E15" s="17">
        <v>10</v>
      </c>
      <c r="F15" s="13">
        <f t="shared" si="0"/>
        <v>13.8823529411765</v>
      </c>
      <c r="G15" s="14">
        <f t="shared" si="1"/>
        <v>0.85</v>
      </c>
      <c r="H15" s="18">
        <v>11.8</v>
      </c>
      <c r="I15" s="15">
        <f t="shared" si="2"/>
        <v>118</v>
      </c>
      <c r="J15" s="16"/>
    </row>
    <row r="16" s="3" customFormat="1" ht="16" customHeight="1" spans="1:10">
      <c r="A16" s="11">
        <v>11</v>
      </c>
      <c r="B16" s="11" t="s">
        <v>82</v>
      </c>
      <c r="C16" s="11"/>
      <c r="D16" s="16" t="s">
        <v>14</v>
      </c>
      <c r="E16" s="12">
        <v>6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21</v>
      </c>
      <c r="J16" s="16"/>
    </row>
    <row r="17" s="3" customFormat="1" ht="16" customHeight="1" spans="1:10">
      <c r="A17" s="11">
        <v>12</v>
      </c>
      <c r="B17" s="11" t="s">
        <v>61</v>
      </c>
      <c r="C17" s="11"/>
      <c r="D17" s="11" t="s">
        <v>14</v>
      </c>
      <c r="E17" s="12">
        <v>16.5</v>
      </c>
      <c r="F17" s="13">
        <f t="shared" si="0"/>
        <v>5.64705882352941</v>
      </c>
      <c r="G17" s="14">
        <f t="shared" si="1"/>
        <v>0.85</v>
      </c>
      <c r="H17" s="18">
        <v>4.8</v>
      </c>
      <c r="I17" s="15">
        <f t="shared" si="2"/>
        <v>79.2</v>
      </c>
      <c r="J17" s="16"/>
    </row>
    <row r="18" s="3" customFormat="1" ht="16" customHeight="1" spans="1:10">
      <c r="A18" s="11">
        <v>13</v>
      </c>
      <c r="B18" s="11" t="s">
        <v>62</v>
      </c>
      <c r="C18" s="11"/>
      <c r="D18" s="11" t="s">
        <v>14</v>
      </c>
      <c r="E18" s="12">
        <v>3</v>
      </c>
      <c r="F18" s="13">
        <f t="shared" si="0"/>
        <v>6.47058823529412</v>
      </c>
      <c r="G18" s="14">
        <f t="shared" si="1"/>
        <v>0.85</v>
      </c>
      <c r="H18" s="18">
        <v>5.5</v>
      </c>
      <c r="I18" s="15">
        <f t="shared" si="2"/>
        <v>16.5</v>
      </c>
      <c r="J18" s="11"/>
    </row>
    <row r="19" s="3" customFormat="1" ht="16" customHeight="1" spans="1:10">
      <c r="A19" s="11">
        <v>14</v>
      </c>
      <c r="B19" s="11" t="s">
        <v>114</v>
      </c>
      <c r="C19" s="11"/>
      <c r="D19" s="11" t="s">
        <v>14</v>
      </c>
      <c r="E19" s="12">
        <v>6.6</v>
      </c>
      <c r="F19" s="13">
        <f t="shared" si="0"/>
        <v>10</v>
      </c>
      <c r="G19" s="14">
        <f t="shared" si="1"/>
        <v>0.85</v>
      </c>
      <c r="H19" s="18">
        <v>8.5</v>
      </c>
      <c r="I19" s="15">
        <f t="shared" si="2"/>
        <v>56.1</v>
      </c>
      <c r="J19" s="11"/>
    </row>
    <row r="20" s="3" customFormat="1" ht="16" customHeight="1" spans="1:10">
      <c r="A20" s="11">
        <v>15</v>
      </c>
      <c r="B20" s="11" t="s">
        <v>115</v>
      </c>
      <c r="C20" s="11"/>
      <c r="D20" s="11" t="s">
        <v>14</v>
      </c>
      <c r="E20" s="12">
        <v>11</v>
      </c>
      <c r="F20" s="13">
        <f t="shared" si="0"/>
        <v>6.47058823529412</v>
      </c>
      <c r="G20" s="14">
        <f t="shared" si="1"/>
        <v>0.85</v>
      </c>
      <c r="H20" s="18">
        <v>5.5</v>
      </c>
      <c r="I20" s="15">
        <f t="shared" si="2"/>
        <v>60.5</v>
      </c>
      <c r="J20" s="11"/>
    </row>
    <row r="21" s="3" customFormat="1" ht="16" customHeight="1" spans="1:10">
      <c r="A21" s="11">
        <v>16</v>
      </c>
      <c r="B21" s="13" t="s">
        <v>63</v>
      </c>
      <c r="C21" s="13" t="s">
        <v>64</v>
      </c>
      <c r="D21" s="13" t="s">
        <v>41</v>
      </c>
      <c r="E21" s="12">
        <v>1</v>
      </c>
      <c r="F21" s="13">
        <f t="shared" si="0"/>
        <v>352.941176470588</v>
      </c>
      <c r="G21" s="14">
        <f t="shared" si="1"/>
        <v>0.85</v>
      </c>
      <c r="H21" s="18">
        <v>300</v>
      </c>
      <c r="I21" s="15">
        <f t="shared" si="2"/>
        <v>300</v>
      </c>
      <c r="J21" s="11"/>
    </row>
    <row r="22" s="3" customFormat="1" ht="16" customHeight="1" spans="1:10">
      <c r="A22" s="11">
        <v>17</v>
      </c>
      <c r="B22" s="13" t="s">
        <v>25</v>
      </c>
      <c r="C22" s="13"/>
      <c r="D22" s="13" t="s">
        <v>14</v>
      </c>
      <c r="E22" s="12">
        <v>15</v>
      </c>
      <c r="F22" s="13">
        <f t="shared" si="0"/>
        <v>19.7647058823529</v>
      </c>
      <c r="G22" s="14">
        <f t="shared" si="1"/>
        <v>0.85</v>
      </c>
      <c r="H22" s="18">
        <v>16.8</v>
      </c>
      <c r="I22" s="15">
        <f t="shared" si="2"/>
        <v>252</v>
      </c>
      <c r="J22" s="11"/>
    </row>
    <row r="23" s="3" customFormat="1" customHeight="1" spans="1:10">
      <c r="A23" s="11">
        <v>18</v>
      </c>
      <c r="B23" s="13" t="s">
        <v>26</v>
      </c>
      <c r="C23" s="13"/>
      <c r="D23" s="13" t="s">
        <v>14</v>
      </c>
      <c r="E23" s="12">
        <v>7</v>
      </c>
      <c r="F23" s="13">
        <f t="shared" si="0"/>
        <v>17.4117647058824</v>
      </c>
      <c r="G23" s="14">
        <f t="shared" si="1"/>
        <v>0.85</v>
      </c>
      <c r="H23" s="18">
        <v>14.8</v>
      </c>
      <c r="I23" s="15">
        <f t="shared" si="2"/>
        <v>103.6</v>
      </c>
      <c r="J23" s="13"/>
    </row>
    <row r="24" s="3" customFormat="1" customHeight="1" spans="1:10">
      <c r="A24" s="11">
        <v>19</v>
      </c>
      <c r="B24" s="13" t="s">
        <v>178</v>
      </c>
      <c r="C24" s="13" t="s">
        <v>179</v>
      </c>
      <c r="D24" s="13" t="s">
        <v>41</v>
      </c>
      <c r="E24" s="12">
        <v>1</v>
      </c>
      <c r="F24" s="13">
        <f t="shared" si="0"/>
        <v>529.411764705882</v>
      </c>
      <c r="G24" s="14">
        <f t="shared" si="1"/>
        <v>0.85</v>
      </c>
      <c r="H24" s="18">
        <v>450</v>
      </c>
      <c r="I24" s="15">
        <f t="shared" si="2"/>
        <v>450</v>
      </c>
      <c r="J24" s="13"/>
    </row>
    <row r="25" s="3" customFormat="1" customHeight="1" spans="1:10">
      <c r="A25" s="11">
        <v>20</v>
      </c>
      <c r="B25" s="13" t="s">
        <v>180</v>
      </c>
      <c r="C25" s="13" t="s">
        <v>38</v>
      </c>
      <c r="D25" s="13" t="s">
        <v>14</v>
      </c>
      <c r="E25" s="12">
        <v>3</v>
      </c>
      <c r="F25" s="13">
        <f t="shared" si="0"/>
        <v>76.4705882352941</v>
      </c>
      <c r="G25" s="14">
        <f t="shared" si="1"/>
        <v>0.85</v>
      </c>
      <c r="H25" s="18">
        <v>65</v>
      </c>
      <c r="I25" s="15">
        <f t="shared" si="2"/>
        <v>195</v>
      </c>
      <c r="J25" s="13"/>
    </row>
    <row r="26" s="3" customFormat="1" customHeight="1" spans="1:10">
      <c r="A26" s="11">
        <v>21</v>
      </c>
      <c r="B26" s="13" t="s">
        <v>77</v>
      </c>
      <c r="C26" s="13" t="s">
        <v>78</v>
      </c>
      <c r="D26" s="13" t="s">
        <v>31</v>
      </c>
      <c r="E26" s="12">
        <v>10</v>
      </c>
      <c r="F26" s="13">
        <f t="shared" si="0"/>
        <v>2.35294117647059</v>
      </c>
      <c r="G26" s="14">
        <f t="shared" si="1"/>
        <v>0.85</v>
      </c>
      <c r="H26" s="18">
        <v>2</v>
      </c>
      <c r="I26" s="15">
        <f t="shared" si="2"/>
        <v>20</v>
      </c>
      <c r="J26" s="13"/>
    </row>
    <row r="27" s="3" customFormat="1" customHeight="1" spans="1:10">
      <c r="A27" s="11">
        <v>22</v>
      </c>
      <c r="B27" s="13" t="s">
        <v>181</v>
      </c>
      <c r="C27" s="13"/>
      <c r="D27" s="13" t="s">
        <v>14</v>
      </c>
      <c r="E27" s="12">
        <v>5</v>
      </c>
      <c r="F27" s="13">
        <f t="shared" si="0"/>
        <v>103.529411764706</v>
      </c>
      <c r="G27" s="14">
        <f t="shared" si="1"/>
        <v>0.85</v>
      </c>
      <c r="H27" s="18">
        <v>88</v>
      </c>
      <c r="I27" s="15">
        <f t="shared" si="2"/>
        <v>440</v>
      </c>
      <c r="J27" s="13"/>
    </row>
    <row r="28" s="3" customFormat="1" customHeight="1" spans="1:10">
      <c r="A28" s="11">
        <v>23</v>
      </c>
      <c r="B28" s="13" t="s">
        <v>89</v>
      </c>
      <c r="C28" s="13" t="s">
        <v>90</v>
      </c>
      <c r="D28" s="13" t="s">
        <v>41</v>
      </c>
      <c r="E28" s="12">
        <v>1</v>
      </c>
      <c r="F28" s="13">
        <f t="shared" si="0"/>
        <v>64.7058823529412</v>
      </c>
      <c r="G28" s="14">
        <f t="shared" si="1"/>
        <v>0.85</v>
      </c>
      <c r="H28" s="18">
        <v>55</v>
      </c>
      <c r="I28" s="15">
        <f t="shared" si="2"/>
        <v>55</v>
      </c>
      <c r="J28" s="13"/>
    </row>
    <row r="29" s="3" customFormat="1" customHeight="1" spans="1:10">
      <c r="A29" s="11">
        <v>24</v>
      </c>
      <c r="B29" s="13" t="s">
        <v>42</v>
      </c>
      <c r="C29" s="13" t="s">
        <v>43</v>
      </c>
      <c r="D29" s="13" t="s">
        <v>31</v>
      </c>
      <c r="E29" s="12">
        <v>1</v>
      </c>
      <c r="F29" s="13">
        <f t="shared" si="0"/>
        <v>103.529411764706</v>
      </c>
      <c r="G29" s="14">
        <f t="shared" si="1"/>
        <v>0.85</v>
      </c>
      <c r="H29" s="18">
        <v>88</v>
      </c>
      <c r="I29" s="15">
        <f t="shared" si="2"/>
        <v>88</v>
      </c>
      <c r="J29" s="13"/>
    </row>
    <row r="30" s="3" customFormat="1" customHeight="1" spans="1:10">
      <c r="A30" s="11">
        <v>25</v>
      </c>
      <c r="B30" s="13" t="s">
        <v>155</v>
      </c>
      <c r="C30" s="13"/>
      <c r="D30" s="13" t="s">
        <v>46</v>
      </c>
      <c r="E30" s="12">
        <v>50</v>
      </c>
      <c r="F30" s="13">
        <f t="shared" si="0"/>
        <v>4.11764705882353</v>
      </c>
      <c r="G30" s="14">
        <f t="shared" si="1"/>
        <v>0.85</v>
      </c>
      <c r="H30" s="18">
        <v>3.5</v>
      </c>
      <c r="I30" s="15">
        <f t="shared" si="2"/>
        <v>175</v>
      </c>
      <c r="J30" s="13"/>
    </row>
    <row r="31" s="3" customFormat="1" customHeight="1" spans="1:10">
      <c r="A31" s="11">
        <v>26</v>
      </c>
      <c r="B31" s="16"/>
      <c r="C31" s="16"/>
      <c r="D31" s="17"/>
      <c r="E31" s="17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6"/>
      <c r="C32" s="16"/>
      <c r="D32" s="17"/>
      <c r="E32" s="17"/>
      <c r="F32" s="13"/>
      <c r="G32" s="14"/>
      <c r="H32" s="18"/>
      <c r="I32" s="15"/>
      <c r="J32" s="13"/>
    </row>
    <row r="33" s="3" customFormat="1" customHeight="1" spans="1:10">
      <c r="A33" s="11" t="s">
        <v>55</v>
      </c>
      <c r="B33" s="19">
        <f>SUM(I6:I32)</f>
        <v>2691.1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2691.1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49</v>
      </c>
      <c r="E35" s="4"/>
    </row>
  </sheetData>
  <sortState ref="A12:I33">
    <sortCondition ref="A12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8" workbookViewId="0">
      <selection activeCell="F28" sqref="F2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29" si="0">H6/0.85</f>
        <v>3.52941176470588</v>
      </c>
      <c r="G6" s="14">
        <f t="shared" ref="G6:G29" si="1">H6/F6</f>
        <v>0.850000000000001</v>
      </c>
      <c r="H6" s="15">
        <v>3</v>
      </c>
      <c r="I6" s="15">
        <f t="shared" ref="I6:I29" si="2">E6*H6</f>
        <v>18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2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7</v>
      </c>
      <c r="J7" s="11"/>
    </row>
    <row r="8" s="3" customFormat="1" ht="16" customHeight="1" spans="1:10">
      <c r="A8" s="11">
        <v>3</v>
      </c>
      <c r="B8" s="11" t="s">
        <v>57</v>
      </c>
      <c r="C8" s="11"/>
      <c r="D8" s="12" t="s">
        <v>14</v>
      </c>
      <c r="E8" s="12">
        <v>1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3.5</v>
      </c>
      <c r="J8" s="11"/>
    </row>
    <row r="9" s="3" customFormat="1" ht="16" customHeight="1" spans="1:10">
      <c r="A9" s="11">
        <v>4</v>
      </c>
      <c r="B9" s="16" t="s">
        <v>182</v>
      </c>
      <c r="C9" s="16"/>
      <c r="D9" s="12" t="s">
        <v>14</v>
      </c>
      <c r="E9" s="12">
        <v>3</v>
      </c>
      <c r="F9" s="13">
        <f t="shared" si="0"/>
        <v>2.94117647058824</v>
      </c>
      <c r="G9" s="14">
        <f t="shared" si="1"/>
        <v>0.849999999999999</v>
      </c>
      <c r="H9" s="15">
        <v>2.5</v>
      </c>
      <c r="I9" s="15">
        <f t="shared" si="2"/>
        <v>7.5</v>
      </c>
      <c r="J9" s="11"/>
    </row>
    <row r="10" s="3" customFormat="1" ht="16" customHeight="1" spans="1:10">
      <c r="A10" s="11">
        <v>5</v>
      </c>
      <c r="B10" s="11" t="s">
        <v>18</v>
      </c>
      <c r="C10" s="11"/>
      <c r="D10" s="12" t="s">
        <v>14</v>
      </c>
      <c r="E10" s="12">
        <v>3.1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24.18</v>
      </c>
      <c r="J10" s="11"/>
    </row>
    <row r="11" s="3" customFormat="1" ht="16" customHeight="1" spans="1:10">
      <c r="A11" s="11">
        <v>6</v>
      </c>
      <c r="B11" s="11" t="s">
        <v>60</v>
      </c>
      <c r="C11" s="11"/>
      <c r="D11" s="12" t="s">
        <v>14</v>
      </c>
      <c r="E11" s="12">
        <v>3</v>
      </c>
      <c r="F11" s="13">
        <f t="shared" si="0"/>
        <v>5.29411764705882</v>
      </c>
      <c r="G11" s="14">
        <f t="shared" si="1"/>
        <v>0.850000000000001</v>
      </c>
      <c r="H11" s="15">
        <v>4.5</v>
      </c>
      <c r="I11" s="15">
        <f t="shared" si="2"/>
        <v>13.5</v>
      </c>
      <c r="J11" s="11"/>
    </row>
    <row r="12" s="3" customFormat="1" ht="16" customHeight="1" spans="1:10">
      <c r="A12" s="11">
        <v>7</v>
      </c>
      <c r="B12" s="16" t="s">
        <v>53</v>
      </c>
      <c r="C12" s="16"/>
      <c r="D12" s="17" t="s">
        <v>14</v>
      </c>
      <c r="E12" s="17">
        <v>5</v>
      </c>
      <c r="F12" s="13">
        <f t="shared" si="0"/>
        <v>4.47058823529412</v>
      </c>
      <c r="G12" s="14">
        <f t="shared" si="1"/>
        <v>0.849999999999999</v>
      </c>
      <c r="H12" s="18">
        <v>3.8</v>
      </c>
      <c r="I12" s="15">
        <f t="shared" si="2"/>
        <v>19</v>
      </c>
      <c r="J12" s="16"/>
    </row>
    <row r="13" s="3" customFormat="1" ht="16" customHeight="1" spans="1:10">
      <c r="A13" s="11">
        <v>8</v>
      </c>
      <c r="B13" s="16" t="s">
        <v>98</v>
      </c>
      <c r="C13" s="16"/>
      <c r="D13" s="17" t="s">
        <v>14</v>
      </c>
      <c r="E13" s="17">
        <v>8.2</v>
      </c>
      <c r="F13" s="13">
        <f t="shared" si="0"/>
        <v>4.47058823529412</v>
      </c>
      <c r="G13" s="14">
        <f t="shared" si="1"/>
        <v>0.849999999999999</v>
      </c>
      <c r="H13" s="18">
        <v>3.8</v>
      </c>
      <c r="I13" s="15">
        <f t="shared" si="2"/>
        <v>31.16</v>
      </c>
      <c r="J13" s="16"/>
    </row>
    <row r="14" s="3" customFormat="1" ht="16" customHeight="1" spans="1:10">
      <c r="A14" s="11">
        <v>9</v>
      </c>
      <c r="B14" s="16" t="s">
        <v>99</v>
      </c>
      <c r="C14" s="16"/>
      <c r="D14" s="17" t="s">
        <v>14</v>
      </c>
      <c r="E14" s="17">
        <v>7.4</v>
      </c>
      <c r="F14" s="13">
        <f t="shared" si="0"/>
        <v>2.94117647058824</v>
      </c>
      <c r="G14" s="14">
        <f t="shared" si="1"/>
        <v>0.849999999999999</v>
      </c>
      <c r="H14" s="18">
        <v>2.5</v>
      </c>
      <c r="I14" s="15">
        <f t="shared" si="2"/>
        <v>18.5</v>
      </c>
      <c r="J14" s="16"/>
    </row>
    <row r="15" s="3" customFormat="1" ht="16" customHeight="1" spans="1:10">
      <c r="A15" s="11">
        <v>10</v>
      </c>
      <c r="B15" s="16" t="s">
        <v>113</v>
      </c>
      <c r="C15" s="16"/>
      <c r="D15" s="17" t="s">
        <v>14</v>
      </c>
      <c r="E15" s="17">
        <v>20.9</v>
      </c>
      <c r="F15" s="13">
        <f t="shared" si="0"/>
        <v>5.64705882352941</v>
      </c>
      <c r="G15" s="14">
        <f t="shared" si="1"/>
        <v>0.85</v>
      </c>
      <c r="H15" s="18">
        <v>4.8</v>
      </c>
      <c r="I15" s="15">
        <f t="shared" si="2"/>
        <v>100.32</v>
      </c>
      <c r="J15" s="16"/>
    </row>
    <row r="16" s="3" customFormat="1" ht="16" customHeight="1" spans="1:10">
      <c r="A16" s="11">
        <v>11</v>
      </c>
      <c r="B16" s="16" t="s">
        <v>123</v>
      </c>
      <c r="C16" s="16"/>
      <c r="D16" s="17" t="s">
        <v>14</v>
      </c>
      <c r="E16" s="17">
        <v>6</v>
      </c>
      <c r="F16" s="13">
        <f t="shared" si="0"/>
        <v>11.5294117647059</v>
      </c>
      <c r="G16" s="14">
        <f t="shared" si="1"/>
        <v>0.849999999999999</v>
      </c>
      <c r="H16" s="18">
        <v>9.8</v>
      </c>
      <c r="I16" s="15">
        <f t="shared" si="2"/>
        <v>58.8</v>
      </c>
      <c r="J16" s="16"/>
    </row>
    <row r="17" s="3" customFormat="1" ht="16" customHeight="1" spans="1:10">
      <c r="A17" s="11">
        <v>12</v>
      </c>
      <c r="B17" s="16" t="s">
        <v>183</v>
      </c>
      <c r="C17" s="16"/>
      <c r="D17" s="17" t="s">
        <v>14</v>
      </c>
      <c r="E17" s="17">
        <v>7</v>
      </c>
      <c r="F17" s="13">
        <f t="shared" si="0"/>
        <v>6.47058823529412</v>
      </c>
      <c r="G17" s="14">
        <f t="shared" si="1"/>
        <v>0.85</v>
      </c>
      <c r="H17" s="18">
        <v>5.5</v>
      </c>
      <c r="I17" s="15">
        <f t="shared" si="2"/>
        <v>38.5</v>
      </c>
      <c r="J17" s="16"/>
    </row>
    <row r="18" s="3" customFormat="1" ht="16" customHeight="1" spans="1:10">
      <c r="A18" s="11">
        <v>13</v>
      </c>
      <c r="B18" s="11" t="s">
        <v>62</v>
      </c>
      <c r="C18" s="11"/>
      <c r="D18" s="12" t="s">
        <v>14</v>
      </c>
      <c r="E18" s="12">
        <v>3</v>
      </c>
      <c r="F18" s="13">
        <f t="shared" si="0"/>
        <v>6.47058823529412</v>
      </c>
      <c r="G18" s="14">
        <f t="shared" si="1"/>
        <v>0.85</v>
      </c>
      <c r="H18" s="18">
        <v>5.5</v>
      </c>
      <c r="I18" s="15">
        <f t="shared" si="2"/>
        <v>16.5</v>
      </c>
      <c r="J18" s="11"/>
    </row>
    <row r="19" s="3" customFormat="1" ht="16" customHeight="1" spans="1:10">
      <c r="A19" s="11">
        <v>14</v>
      </c>
      <c r="B19" s="16" t="s">
        <v>54</v>
      </c>
      <c r="C19" s="16"/>
      <c r="D19" s="16" t="s">
        <v>14</v>
      </c>
      <c r="E19" s="17">
        <v>17</v>
      </c>
      <c r="F19" s="13">
        <f t="shared" si="0"/>
        <v>4.11764705882353</v>
      </c>
      <c r="G19" s="14">
        <f t="shared" si="1"/>
        <v>0.85</v>
      </c>
      <c r="H19" s="18">
        <v>3.5</v>
      </c>
      <c r="I19" s="15">
        <f t="shared" si="2"/>
        <v>59.5</v>
      </c>
      <c r="J19" s="16"/>
    </row>
    <row r="20" s="3" customFormat="1" ht="16" customHeight="1" spans="1:10">
      <c r="A20" s="11">
        <v>15</v>
      </c>
      <c r="B20" s="11" t="s">
        <v>184</v>
      </c>
      <c r="C20" s="11"/>
      <c r="D20" s="11" t="s">
        <v>14</v>
      </c>
      <c r="E20" s="12">
        <v>9.96</v>
      </c>
      <c r="F20" s="13">
        <f t="shared" si="0"/>
        <v>8</v>
      </c>
      <c r="G20" s="14">
        <f t="shared" si="1"/>
        <v>0.85</v>
      </c>
      <c r="H20" s="18">
        <v>6.8</v>
      </c>
      <c r="I20" s="15">
        <f t="shared" si="2"/>
        <v>67.728</v>
      </c>
      <c r="J20" s="11"/>
    </row>
    <row r="21" s="3" customFormat="1" ht="16" customHeight="1" spans="1:10">
      <c r="A21" s="11">
        <v>16</v>
      </c>
      <c r="B21" s="11" t="s">
        <v>185</v>
      </c>
      <c r="C21" s="11"/>
      <c r="D21" s="11" t="s">
        <v>14</v>
      </c>
      <c r="E21" s="12">
        <v>5</v>
      </c>
      <c r="F21" s="13">
        <f t="shared" si="0"/>
        <v>8</v>
      </c>
      <c r="G21" s="14">
        <f t="shared" si="1"/>
        <v>0.85</v>
      </c>
      <c r="H21" s="18">
        <v>6.8</v>
      </c>
      <c r="I21" s="15">
        <f t="shared" si="2"/>
        <v>34</v>
      </c>
      <c r="J21" s="11"/>
    </row>
    <row r="22" s="3" customFormat="1" ht="16" customHeight="1" spans="1:10">
      <c r="A22" s="11">
        <v>17</v>
      </c>
      <c r="B22" s="11" t="s">
        <v>65</v>
      </c>
      <c r="C22" s="11"/>
      <c r="D22" s="11" t="s">
        <v>14</v>
      </c>
      <c r="E22" s="12">
        <v>5</v>
      </c>
      <c r="F22" s="13">
        <f t="shared" si="0"/>
        <v>17.4117647058824</v>
      </c>
      <c r="G22" s="14">
        <f t="shared" si="1"/>
        <v>0.849999999999998</v>
      </c>
      <c r="H22" s="18">
        <v>14.8</v>
      </c>
      <c r="I22" s="15">
        <f t="shared" si="2"/>
        <v>74</v>
      </c>
      <c r="J22" s="11"/>
    </row>
    <row r="23" s="3" customFormat="1" ht="16" customHeight="1" spans="1:10">
      <c r="A23" s="11">
        <v>18</v>
      </c>
      <c r="B23" s="11" t="s">
        <v>25</v>
      </c>
      <c r="C23" s="11"/>
      <c r="D23" s="11" t="s">
        <v>14</v>
      </c>
      <c r="E23" s="12">
        <v>2</v>
      </c>
      <c r="F23" s="13">
        <f t="shared" si="0"/>
        <v>19.7647058823529</v>
      </c>
      <c r="G23" s="14">
        <f t="shared" si="1"/>
        <v>0.850000000000002</v>
      </c>
      <c r="H23" s="18">
        <v>16.8</v>
      </c>
      <c r="I23" s="15">
        <f t="shared" si="2"/>
        <v>33.6</v>
      </c>
      <c r="J23" s="11"/>
    </row>
    <row r="24" s="3" customFormat="1" customHeight="1" spans="1:10">
      <c r="A24" s="11">
        <v>19</v>
      </c>
      <c r="B24" s="13" t="s">
        <v>26</v>
      </c>
      <c r="C24" s="13"/>
      <c r="D24" s="13" t="s">
        <v>14</v>
      </c>
      <c r="E24" s="12">
        <v>3</v>
      </c>
      <c r="F24" s="13">
        <f t="shared" si="0"/>
        <v>17.4117647058824</v>
      </c>
      <c r="G24" s="14">
        <f t="shared" si="1"/>
        <v>0.849999999999998</v>
      </c>
      <c r="H24" s="18">
        <v>14.8</v>
      </c>
      <c r="I24" s="15">
        <f t="shared" si="2"/>
        <v>44.4</v>
      </c>
      <c r="J24" s="13"/>
    </row>
    <row r="25" s="3" customFormat="1" customHeight="1" spans="1:10">
      <c r="A25" s="11">
        <v>20</v>
      </c>
      <c r="B25" s="13" t="s">
        <v>84</v>
      </c>
      <c r="C25" s="13"/>
      <c r="D25" s="13" t="s">
        <v>14</v>
      </c>
      <c r="E25" s="12">
        <v>6</v>
      </c>
      <c r="F25" s="13">
        <f t="shared" si="0"/>
        <v>21.7647058823529</v>
      </c>
      <c r="G25" s="14">
        <f t="shared" si="1"/>
        <v>0.85</v>
      </c>
      <c r="H25" s="18">
        <v>18.5</v>
      </c>
      <c r="I25" s="15">
        <f t="shared" si="2"/>
        <v>111</v>
      </c>
      <c r="J25" s="13"/>
    </row>
    <row r="26" s="3" customFormat="1" customHeight="1" spans="1:10">
      <c r="A26" s="11">
        <v>21</v>
      </c>
      <c r="B26" s="13" t="s">
        <v>163</v>
      </c>
      <c r="C26" s="13"/>
      <c r="D26" s="13" t="s">
        <v>14</v>
      </c>
      <c r="E26" s="12">
        <v>15</v>
      </c>
      <c r="F26" s="13">
        <f t="shared" si="0"/>
        <v>5.88235294117647</v>
      </c>
      <c r="G26" s="14">
        <f t="shared" si="1"/>
        <v>0.85</v>
      </c>
      <c r="H26" s="18">
        <v>5</v>
      </c>
      <c r="I26" s="15">
        <f t="shared" si="2"/>
        <v>75</v>
      </c>
      <c r="J26" s="13"/>
    </row>
    <row r="27" s="3" customFormat="1" customHeight="1" spans="1:10">
      <c r="A27" s="11">
        <v>22</v>
      </c>
      <c r="B27" s="13" t="s">
        <v>28</v>
      </c>
      <c r="C27" s="13"/>
      <c r="D27" s="13" t="s">
        <v>14</v>
      </c>
      <c r="E27" s="12">
        <v>18</v>
      </c>
      <c r="F27" s="13">
        <v>13.2</v>
      </c>
      <c r="G27" s="14">
        <f t="shared" si="1"/>
        <v>1.04545454545455</v>
      </c>
      <c r="H27" s="18">
        <v>13.8</v>
      </c>
      <c r="I27" s="15">
        <f t="shared" si="2"/>
        <v>248.4</v>
      </c>
      <c r="J27" s="13"/>
    </row>
    <row r="28" s="3" customFormat="1" customHeight="1" spans="1:10">
      <c r="A28" s="11">
        <v>23</v>
      </c>
      <c r="B28" s="13" t="s">
        <v>181</v>
      </c>
      <c r="C28" s="13"/>
      <c r="D28" s="13" t="s">
        <v>14</v>
      </c>
      <c r="E28" s="12">
        <v>3</v>
      </c>
      <c r="F28" s="13">
        <f t="shared" si="0"/>
        <v>103.529411764706</v>
      </c>
      <c r="G28" s="14">
        <f t="shared" si="1"/>
        <v>0.849999999999999</v>
      </c>
      <c r="H28" s="18">
        <v>88</v>
      </c>
      <c r="I28" s="15">
        <f t="shared" si="2"/>
        <v>264</v>
      </c>
      <c r="J28" s="13"/>
    </row>
    <row r="29" s="3" customFormat="1" customHeight="1" spans="1:10">
      <c r="A29" s="11">
        <v>24</v>
      </c>
      <c r="B29" s="13" t="s">
        <v>155</v>
      </c>
      <c r="C29" s="13"/>
      <c r="D29" s="13" t="s">
        <v>46</v>
      </c>
      <c r="E29" s="12">
        <v>55</v>
      </c>
      <c r="F29" s="13">
        <f t="shared" si="0"/>
        <v>4.11764705882353</v>
      </c>
      <c r="G29" s="14">
        <f t="shared" si="1"/>
        <v>0.85</v>
      </c>
      <c r="H29" s="18">
        <v>3.5</v>
      </c>
      <c r="I29" s="15">
        <f t="shared" si="2"/>
        <v>192.5</v>
      </c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3"/>
      <c r="H30" s="13"/>
      <c r="I30" s="13"/>
      <c r="J30" s="13"/>
    </row>
    <row r="31" s="3" customFormat="1" customHeight="1" spans="1:10">
      <c r="A31" s="11" t="s">
        <v>55</v>
      </c>
      <c r="B31" s="19">
        <f>SUM(I6:I30)</f>
        <v>1560.588</v>
      </c>
      <c r="C31" s="20"/>
      <c r="D31" s="20"/>
      <c r="E31" s="21"/>
      <c r="F31" s="20"/>
      <c r="G31" s="20"/>
      <c r="H31" s="20"/>
      <c r="I31" s="20"/>
      <c r="J31" s="24"/>
    </row>
    <row r="32" s="3" customFormat="1" customHeight="1" spans="1:10">
      <c r="A32" s="11" t="s">
        <v>48</v>
      </c>
      <c r="B32" s="22">
        <f>B31</f>
        <v>1560.588</v>
      </c>
      <c r="C32" s="23"/>
      <c r="D32" s="23"/>
      <c r="E32" s="21"/>
      <c r="F32" s="23"/>
      <c r="G32" s="23"/>
      <c r="H32" s="23"/>
      <c r="I32" s="23"/>
      <c r="J32" s="25"/>
    </row>
    <row r="33" s="3" customFormat="1" customHeight="1" spans="1:5">
      <c r="A33" s="3" t="s">
        <v>49</v>
      </c>
      <c r="E33" s="4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6" workbookViewId="0">
      <selection activeCell="F21" sqref="F2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5" width="11.6666666666667" style="3" customWidth="1"/>
    <col min="16306" max="16306" width="11.6666666666667" style="3"/>
    <col min="16307" max="16312" width="11" style="3"/>
    <col min="16313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29" si="0">H6/0.85</f>
        <v>3.52941176470588</v>
      </c>
      <c r="G6" s="14">
        <f t="shared" ref="G6:G29" si="1">H6/F6</f>
        <v>0.85</v>
      </c>
      <c r="H6" s="15">
        <v>3</v>
      </c>
      <c r="I6" s="15">
        <f t="shared" ref="I6:I29" si="2">E6*H6</f>
        <v>18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186</v>
      </c>
      <c r="C8" s="11"/>
      <c r="D8" s="12" t="s">
        <v>14</v>
      </c>
      <c r="E8" s="12">
        <v>5</v>
      </c>
      <c r="F8" s="13">
        <f t="shared" si="0"/>
        <v>6.82352941176471</v>
      </c>
      <c r="G8" s="14">
        <f t="shared" si="1"/>
        <v>0.85</v>
      </c>
      <c r="H8" s="15">
        <v>5.8</v>
      </c>
      <c r="I8" s="15">
        <f t="shared" si="2"/>
        <v>29</v>
      </c>
      <c r="J8" s="11"/>
    </row>
    <row r="9" s="3" customFormat="1" ht="16" customHeight="1" spans="1:10">
      <c r="A9" s="11">
        <v>4</v>
      </c>
      <c r="B9" s="16" t="s">
        <v>182</v>
      </c>
      <c r="C9" s="16"/>
      <c r="D9" s="12" t="s">
        <v>14</v>
      </c>
      <c r="E9" s="12">
        <v>10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25</v>
      </c>
      <c r="J9" s="11"/>
    </row>
    <row r="10" s="3" customFormat="1" ht="16" customHeight="1" spans="1:10">
      <c r="A10" s="11">
        <v>5</v>
      </c>
      <c r="B10" s="11" t="s">
        <v>18</v>
      </c>
      <c r="C10" s="11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112</v>
      </c>
      <c r="C11" s="11"/>
      <c r="D11" s="12" t="s">
        <v>14</v>
      </c>
      <c r="E11" s="12">
        <v>2</v>
      </c>
      <c r="F11" s="13">
        <f t="shared" si="0"/>
        <v>2.94117647058824</v>
      </c>
      <c r="G11" s="14">
        <f t="shared" si="1"/>
        <v>0.85</v>
      </c>
      <c r="H11" s="15">
        <v>2.5</v>
      </c>
      <c r="I11" s="15">
        <f t="shared" si="2"/>
        <v>5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7</v>
      </c>
      <c r="F12" s="13">
        <f t="shared" si="0"/>
        <v>3.52941176470588</v>
      </c>
      <c r="G12" s="14">
        <f t="shared" si="1"/>
        <v>0.85</v>
      </c>
      <c r="H12" s="18">
        <v>3</v>
      </c>
      <c r="I12" s="15">
        <f t="shared" si="2"/>
        <v>21</v>
      </c>
      <c r="J12" s="16"/>
    </row>
    <row r="13" s="3" customFormat="1" ht="16" customHeight="1" spans="1:10">
      <c r="A13" s="11">
        <v>8</v>
      </c>
      <c r="B13" s="16" t="s">
        <v>60</v>
      </c>
      <c r="C13" s="16"/>
      <c r="D13" s="17" t="s">
        <v>14</v>
      </c>
      <c r="E13" s="17">
        <v>3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13.5</v>
      </c>
      <c r="J13" s="16"/>
    </row>
    <row r="14" s="3" customFormat="1" ht="16" customHeight="1" spans="1:10">
      <c r="A14" s="11">
        <v>9</v>
      </c>
      <c r="B14" s="16" t="s">
        <v>145</v>
      </c>
      <c r="C14" s="16"/>
      <c r="D14" s="17" t="s">
        <v>14</v>
      </c>
      <c r="E14" s="17">
        <v>13</v>
      </c>
      <c r="F14" s="13">
        <f t="shared" si="0"/>
        <v>6.47058823529412</v>
      </c>
      <c r="G14" s="14">
        <f t="shared" si="1"/>
        <v>0.85</v>
      </c>
      <c r="H14" s="18">
        <v>5.5</v>
      </c>
      <c r="I14" s="15">
        <f t="shared" si="2"/>
        <v>71.5</v>
      </c>
      <c r="J14" s="16"/>
    </row>
    <row r="15" s="3" customFormat="1" ht="16" customHeight="1" spans="1:10">
      <c r="A15" s="11">
        <v>10</v>
      </c>
      <c r="B15" s="16" t="s">
        <v>98</v>
      </c>
      <c r="C15" s="16"/>
      <c r="D15" s="17" t="s">
        <v>14</v>
      </c>
      <c r="E15" s="17">
        <v>15</v>
      </c>
      <c r="F15" s="13">
        <f t="shared" si="0"/>
        <v>4.47058823529412</v>
      </c>
      <c r="G15" s="14">
        <f t="shared" si="1"/>
        <v>0.85</v>
      </c>
      <c r="H15" s="18">
        <v>3.8</v>
      </c>
      <c r="I15" s="15">
        <f t="shared" si="2"/>
        <v>57</v>
      </c>
      <c r="J15" s="16"/>
    </row>
    <row r="16" s="3" customFormat="1" ht="16" customHeight="1" spans="1:10">
      <c r="A16" s="11">
        <v>11</v>
      </c>
      <c r="B16" s="16" t="s">
        <v>22</v>
      </c>
      <c r="C16" s="16"/>
      <c r="D16" s="17" t="s">
        <v>14</v>
      </c>
      <c r="E16" s="17">
        <v>3</v>
      </c>
      <c r="F16" s="13">
        <f t="shared" si="0"/>
        <v>3.29411764705882</v>
      </c>
      <c r="G16" s="14">
        <f t="shared" si="1"/>
        <v>0.85</v>
      </c>
      <c r="H16" s="18">
        <v>2.8</v>
      </c>
      <c r="I16" s="15">
        <f t="shared" si="2"/>
        <v>8.4</v>
      </c>
      <c r="J16" s="16"/>
    </row>
    <row r="17" s="3" customFormat="1" ht="16" customHeight="1" spans="1:10">
      <c r="A17" s="11">
        <v>12</v>
      </c>
      <c r="B17" s="16" t="s">
        <v>80</v>
      </c>
      <c r="C17" s="16"/>
      <c r="D17" s="17" t="s">
        <v>14</v>
      </c>
      <c r="E17" s="17">
        <v>4</v>
      </c>
      <c r="F17" s="13">
        <f t="shared" si="0"/>
        <v>8</v>
      </c>
      <c r="G17" s="14">
        <f t="shared" si="1"/>
        <v>0.85</v>
      </c>
      <c r="H17" s="18">
        <v>6.8</v>
      </c>
      <c r="I17" s="15">
        <f t="shared" si="2"/>
        <v>27.2</v>
      </c>
      <c r="J17" s="16"/>
    </row>
    <row r="18" s="3" customFormat="1" ht="16" customHeight="1" spans="1:10">
      <c r="A18" s="11">
        <v>13</v>
      </c>
      <c r="B18" s="11" t="s">
        <v>82</v>
      </c>
      <c r="C18" s="11"/>
      <c r="D18" s="16" t="s">
        <v>14</v>
      </c>
      <c r="E18" s="12">
        <v>6</v>
      </c>
      <c r="F18" s="13">
        <f t="shared" si="0"/>
        <v>4.11764705882353</v>
      </c>
      <c r="G18" s="14">
        <f t="shared" si="1"/>
        <v>0.85</v>
      </c>
      <c r="H18" s="18">
        <v>3.5</v>
      </c>
      <c r="I18" s="15">
        <f t="shared" si="2"/>
        <v>21</v>
      </c>
      <c r="J18" s="11"/>
    </row>
    <row r="19" s="3" customFormat="1" ht="16" customHeight="1" spans="1:10">
      <c r="A19" s="11">
        <v>14</v>
      </c>
      <c r="B19" s="11" t="s">
        <v>24</v>
      </c>
      <c r="C19" s="11"/>
      <c r="D19" s="11" t="s">
        <v>14</v>
      </c>
      <c r="E19" s="12">
        <v>11</v>
      </c>
      <c r="F19" s="13">
        <f t="shared" si="0"/>
        <v>5.88235294117647</v>
      </c>
      <c r="G19" s="14">
        <f t="shared" si="1"/>
        <v>0.85</v>
      </c>
      <c r="H19" s="18">
        <v>5</v>
      </c>
      <c r="I19" s="15">
        <f t="shared" si="2"/>
        <v>55</v>
      </c>
      <c r="J19" s="11"/>
    </row>
    <row r="20" s="3" customFormat="1" ht="16" customHeight="1" spans="1:10">
      <c r="A20" s="11">
        <v>15</v>
      </c>
      <c r="B20" s="11" t="s">
        <v>128</v>
      </c>
      <c r="C20" s="11"/>
      <c r="D20" s="11" t="s">
        <v>14</v>
      </c>
      <c r="E20" s="12">
        <v>38.2</v>
      </c>
      <c r="F20" s="13">
        <f t="shared" si="0"/>
        <v>11.5294117647059</v>
      </c>
      <c r="G20" s="14">
        <f t="shared" si="1"/>
        <v>0.85</v>
      </c>
      <c r="H20" s="18">
        <v>9.8</v>
      </c>
      <c r="I20" s="15">
        <f t="shared" si="2"/>
        <v>374.36</v>
      </c>
      <c r="J20" s="11"/>
    </row>
    <row r="21" s="3" customFormat="1" ht="16" customHeight="1" spans="1:10">
      <c r="A21" s="11">
        <v>16</v>
      </c>
      <c r="B21" s="11" t="s">
        <v>70</v>
      </c>
      <c r="C21" s="11"/>
      <c r="D21" s="11" t="s">
        <v>14</v>
      </c>
      <c r="E21" s="12">
        <v>8</v>
      </c>
      <c r="F21" s="13">
        <f t="shared" si="0"/>
        <v>24.4705882352941</v>
      </c>
      <c r="G21" s="14">
        <f t="shared" si="1"/>
        <v>0.85</v>
      </c>
      <c r="H21" s="18">
        <v>20.8</v>
      </c>
      <c r="I21" s="15">
        <f t="shared" si="2"/>
        <v>166.4</v>
      </c>
      <c r="J21" s="11"/>
    </row>
    <row r="22" s="3" customFormat="1" customHeight="1" spans="1:10">
      <c r="A22" s="11">
        <v>17</v>
      </c>
      <c r="B22" s="13" t="s">
        <v>25</v>
      </c>
      <c r="C22" s="13"/>
      <c r="D22" s="13" t="s">
        <v>14</v>
      </c>
      <c r="E22" s="12">
        <v>3</v>
      </c>
      <c r="F22" s="13">
        <f t="shared" ref="F22:F29" si="3">H22/0.85</f>
        <v>19.7647058823529</v>
      </c>
      <c r="G22" s="14">
        <f t="shared" ref="G22:G29" si="4">H22/F22</f>
        <v>0.85</v>
      </c>
      <c r="H22" s="18">
        <v>16.8</v>
      </c>
      <c r="I22" s="15">
        <f t="shared" ref="I22:I29" si="5">E22*H22</f>
        <v>50.4</v>
      </c>
      <c r="J22" s="13"/>
    </row>
    <row r="23" s="3" customFormat="1" customHeight="1" spans="1:10">
      <c r="A23" s="11">
        <v>18</v>
      </c>
      <c r="B23" s="13" t="s">
        <v>84</v>
      </c>
      <c r="C23" s="13"/>
      <c r="D23" s="13" t="s">
        <v>14</v>
      </c>
      <c r="E23" s="12">
        <v>5</v>
      </c>
      <c r="F23" s="13">
        <f t="shared" si="3"/>
        <v>21.7647058823529</v>
      </c>
      <c r="G23" s="14">
        <f t="shared" si="4"/>
        <v>0.85</v>
      </c>
      <c r="H23" s="18">
        <v>18.5</v>
      </c>
      <c r="I23" s="15">
        <f t="shared" si="5"/>
        <v>92.5</v>
      </c>
      <c r="J23" s="13"/>
    </row>
    <row r="24" s="3" customFormat="1" customHeight="1" spans="1:10">
      <c r="A24" s="11">
        <v>19</v>
      </c>
      <c r="B24" s="13" t="s">
        <v>116</v>
      </c>
      <c r="C24" s="13" t="s">
        <v>117</v>
      </c>
      <c r="D24" s="13" t="s">
        <v>41</v>
      </c>
      <c r="E24" s="12">
        <v>1</v>
      </c>
      <c r="F24" s="13">
        <f t="shared" si="3"/>
        <v>141.176470588235</v>
      </c>
      <c r="G24" s="14">
        <f t="shared" si="4"/>
        <v>0.85</v>
      </c>
      <c r="H24" s="18">
        <v>120</v>
      </c>
      <c r="I24" s="15">
        <f t="shared" si="5"/>
        <v>120</v>
      </c>
      <c r="J24" s="13"/>
    </row>
    <row r="25" s="3" customFormat="1" customHeight="1" spans="1:10">
      <c r="A25" s="11">
        <v>20</v>
      </c>
      <c r="B25" s="13" t="s">
        <v>187</v>
      </c>
      <c r="C25" s="13" t="s">
        <v>188</v>
      </c>
      <c r="D25" s="13" t="s">
        <v>14</v>
      </c>
      <c r="E25" s="12">
        <v>5</v>
      </c>
      <c r="F25" s="13">
        <f t="shared" si="3"/>
        <v>11.5294117647059</v>
      </c>
      <c r="G25" s="14">
        <f t="shared" si="4"/>
        <v>0.85</v>
      </c>
      <c r="H25" s="18">
        <v>9.8</v>
      </c>
      <c r="I25" s="15">
        <f t="shared" si="5"/>
        <v>49</v>
      </c>
      <c r="J25" s="13"/>
    </row>
    <row r="26" s="3" customFormat="1" customHeight="1" spans="1:10">
      <c r="A26" s="11">
        <v>21</v>
      </c>
      <c r="B26" s="13" t="s">
        <v>189</v>
      </c>
      <c r="C26" s="13" t="s">
        <v>190</v>
      </c>
      <c r="D26" s="13" t="s">
        <v>126</v>
      </c>
      <c r="E26" s="12">
        <v>10</v>
      </c>
      <c r="F26" s="13">
        <f t="shared" si="3"/>
        <v>8</v>
      </c>
      <c r="G26" s="14">
        <f t="shared" si="4"/>
        <v>0.85</v>
      </c>
      <c r="H26" s="18">
        <v>6.8</v>
      </c>
      <c r="I26" s="15">
        <f t="shared" si="5"/>
        <v>68</v>
      </c>
      <c r="J26" s="13"/>
    </row>
    <row r="27" s="3" customFormat="1" customHeight="1" spans="1:10">
      <c r="A27" s="11">
        <v>22</v>
      </c>
      <c r="B27" s="13" t="s">
        <v>93</v>
      </c>
      <c r="C27" s="13" t="s">
        <v>94</v>
      </c>
      <c r="D27" s="13" t="s">
        <v>31</v>
      </c>
      <c r="E27" s="12">
        <v>2</v>
      </c>
      <c r="F27" s="13">
        <f t="shared" si="3"/>
        <v>205.882352941176</v>
      </c>
      <c r="G27" s="14">
        <f t="shared" si="4"/>
        <v>0.85</v>
      </c>
      <c r="H27" s="18">
        <v>175</v>
      </c>
      <c r="I27" s="15">
        <f t="shared" si="5"/>
        <v>350</v>
      </c>
      <c r="J27" s="13"/>
    </row>
    <row r="28" s="3" customFormat="1" customHeight="1" spans="1:10">
      <c r="A28" s="11">
        <v>23</v>
      </c>
      <c r="B28" s="13" t="s">
        <v>155</v>
      </c>
      <c r="C28" s="13"/>
      <c r="D28" s="13" t="s">
        <v>46</v>
      </c>
      <c r="E28" s="12">
        <v>65</v>
      </c>
      <c r="F28" s="13">
        <f t="shared" si="3"/>
        <v>4.11764705882353</v>
      </c>
      <c r="G28" s="14">
        <f t="shared" si="4"/>
        <v>0.85</v>
      </c>
      <c r="H28" s="18">
        <v>3.5</v>
      </c>
      <c r="I28" s="15">
        <f t="shared" si="5"/>
        <v>227.5</v>
      </c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 t="s">
        <v>55</v>
      </c>
      <c r="B30" s="19">
        <f>SUM(I6:I29)</f>
        <v>1890.66</v>
      </c>
      <c r="C30" s="20"/>
      <c r="D30" s="20"/>
      <c r="E30" s="21"/>
      <c r="F30" s="20"/>
      <c r="G30" s="20"/>
      <c r="H30" s="20"/>
      <c r="I30" s="20"/>
      <c r="J30" s="24"/>
    </row>
    <row r="31" s="3" customFormat="1" customHeight="1" spans="1:10">
      <c r="A31" s="11" t="s">
        <v>48</v>
      </c>
      <c r="B31" s="22">
        <f>B30</f>
        <v>1890.66</v>
      </c>
      <c r="C31" s="23"/>
      <c r="D31" s="23"/>
      <c r="E31" s="21"/>
      <c r="F31" s="23"/>
      <c r="G31" s="23"/>
      <c r="H31" s="23"/>
      <c r="I31" s="23"/>
      <c r="J31" s="25"/>
    </row>
    <row r="32" s="3" customFormat="1" customHeight="1" spans="1:5">
      <c r="A32" s="3" t="s">
        <v>49</v>
      </c>
      <c r="E32" s="4"/>
    </row>
  </sheetData>
  <mergeCells count="4">
    <mergeCell ref="A1:J1"/>
    <mergeCell ref="B30:J30"/>
    <mergeCell ref="B31:J31"/>
    <mergeCell ref="A32:J32"/>
  </mergeCells>
  <conditionalFormatting sqref="B6:B29">
    <cfRule type="duplicateValues" dxfId="0" priority="2"/>
  </conditionalFormatting>
  <conditionalFormatting sqref="B1:B29 B32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2" workbookViewId="0">
      <selection activeCell="E15" sqref="E15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18" si="0">H6/0.85</f>
        <v>3.52941176470588</v>
      </c>
      <c r="G6" s="14">
        <f t="shared" ref="G6:G18" si="1">H6/F6</f>
        <v>0.85</v>
      </c>
      <c r="H6" s="15">
        <v>3</v>
      </c>
      <c r="I6" s="15">
        <f t="shared" ref="I6:I18" si="2"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191</v>
      </c>
      <c r="C8" s="11"/>
      <c r="D8" s="12" t="s">
        <v>14</v>
      </c>
      <c r="E8" s="12">
        <v>4</v>
      </c>
      <c r="F8" s="13">
        <f t="shared" si="0"/>
        <v>9.17647058823529</v>
      </c>
      <c r="G8" s="14">
        <f t="shared" si="1"/>
        <v>0.85</v>
      </c>
      <c r="H8" s="15">
        <v>7.8</v>
      </c>
      <c r="I8" s="15">
        <f t="shared" si="2"/>
        <v>31.2</v>
      </c>
      <c r="J8" s="11"/>
    </row>
    <row r="9" s="3" customFormat="1" ht="16" customHeight="1" spans="1:10">
      <c r="A9" s="11">
        <v>4</v>
      </c>
      <c r="B9" s="16" t="s">
        <v>182</v>
      </c>
      <c r="C9" s="16"/>
      <c r="D9" s="12" t="s">
        <v>14</v>
      </c>
      <c r="E9" s="12">
        <v>2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5</v>
      </c>
      <c r="J9" s="11"/>
    </row>
    <row r="10" s="3" customFormat="1" ht="16" customHeight="1" spans="1:10">
      <c r="A10" s="11">
        <v>5</v>
      </c>
      <c r="B10" s="11" t="s">
        <v>82</v>
      </c>
      <c r="C10" s="11"/>
      <c r="D10" s="12" t="s">
        <v>14</v>
      </c>
      <c r="E10" s="12">
        <v>12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42</v>
      </c>
      <c r="J10" s="11"/>
    </row>
    <row r="11" s="3" customFormat="1" ht="16" customHeight="1" spans="1:10">
      <c r="A11" s="11">
        <v>6</v>
      </c>
      <c r="B11" s="16" t="s">
        <v>62</v>
      </c>
      <c r="C11" s="16"/>
      <c r="D11" s="17" t="s">
        <v>14</v>
      </c>
      <c r="E11" s="17">
        <v>3</v>
      </c>
      <c r="F11" s="13">
        <f t="shared" si="0"/>
        <v>6.47058823529412</v>
      </c>
      <c r="G11" s="14">
        <f t="shared" si="1"/>
        <v>0.85</v>
      </c>
      <c r="H11" s="18">
        <v>5.5</v>
      </c>
      <c r="I11" s="15">
        <f t="shared" si="2"/>
        <v>16.5</v>
      </c>
      <c r="J11" s="16"/>
    </row>
    <row r="12" s="3" customFormat="1" ht="16" customHeight="1" spans="1:10">
      <c r="A12" s="11">
        <v>7</v>
      </c>
      <c r="B12" s="16" t="s">
        <v>185</v>
      </c>
      <c r="C12" s="16"/>
      <c r="D12" s="17" t="s">
        <v>14</v>
      </c>
      <c r="E12" s="17">
        <v>3</v>
      </c>
      <c r="F12" s="13">
        <f t="shared" si="0"/>
        <v>8</v>
      </c>
      <c r="G12" s="14">
        <f t="shared" si="1"/>
        <v>0.85</v>
      </c>
      <c r="H12" s="18">
        <v>6.8</v>
      </c>
      <c r="I12" s="15">
        <f t="shared" si="2"/>
        <v>20.4</v>
      </c>
      <c r="J12" s="16"/>
    </row>
    <row r="13" s="3" customFormat="1" ht="16" customHeight="1" spans="1:10">
      <c r="A13" s="11">
        <v>8</v>
      </c>
      <c r="B13" s="16" t="s">
        <v>163</v>
      </c>
      <c r="C13" s="16"/>
      <c r="D13" s="17" t="s">
        <v>14</v>
      </c>
      <c r="E13" s="17">
        <v>6</v>
      </c>
      <c r="F13" s="13">
        <f t="shared" si="0"/>
        <v>5.88235294117647</v>
      </c>
      <c r="G13" s="14">
        <f t="shared" si="1"/>
        <v>0.85</v>
      </c>
      <c r="H13" s="18">
        <v>5</v>
      </c>
      <c r="I13" s="15">
        <f t="shared" si="2"/>
        <v>30</v>
      </c>
      <c r="J13" s="16"/>
    </row>
    <row r="14" s="3" customFormat="1" ht="16" customHeight="1" spans="1:10">
      <c r="A14" s="11">
        <v>9</v>
      </c>
      <c r="B14" s="16" t="s">
        <v>192</v>
      </c>
      <c r="C14" s="16" t="s">
        <v>38</v>
      </c>
      <c r="D14" s="17" t="s">
        <v>14</v>
      </c>
      <c r="E14" s="17">
        <v>5</v>
      </c>
      <c r="F14" s="13">
        <f t="shared" si="0"/>
        <v>14.1176470588235</v>
      </c>
      <c r="G14" s="14">
        <f t="shared" si="1"/>
        <v>0.85</v>
      </c>
      <c r="H14" s="18">
        <v>12</v>
      </c>
      <c r="I14" s="15">
        <f t="shared" si="2"/>
        <v>60</v>
      </c>
      <c r="J14" s="16"/>
    </row>
    <row r="15" s="3" customFormat="1" ht="16" customHeight="1" spans="1:10">
      <c r="A15" s="11">
        <v>10</v>
      </c>
      <c r="B15" s="16" t="s">
        <v>181</v>
      </c>
      <c r="C15" s="16"/>
      <c r="D15" s="17" t="s">
        <v>14</v>
      </c>
      <c r="E15" s="17">
        <v>3</v>
      </c>
      <c r="F15" s="13">
        <f t="shared" si="0"/>
        <v>103.529411764706</v>
      </c>
      <c r="G15" s="14">
        <f t="shared" si="1"/>
        <v>0.85</v>
      </c>
      <c r="H15" s="18">
        <v>88</v>
      </c>
      <c r="I15" s="15">
        <f t="shared" si="2"/>
        <v>264</v>
      </c>
      <c r="J15" s="16"/>
    </row>
    <row r="16" s="3" customFormat="1" ht="16" customHeight="1" spans="1:10">
      <c r="A16" s="11">
        <v>11</v>
      </c>
      <c r="B16" s="11" t="s">
        <v>162</v>
      </c>
      <c r="C16" s="11"/>
      <c r="D16" s="16" t="s">
        <v>150</v>
      </c>
      <c r="E16" s="12">
        <v>4</v>
      </c>
      <c r="F16" s="13">
        <f t="shared" si="0"/>
        <v>30.5882352941176</v>
      </c>
      <c r="G16" s="14">
        <f t="shared" si="1"/>
        <v>0.85</v>
      </c>
      <c r="H16" s="18">
        <v>26</v>
      </c>
      <c r="I16" s="15">
        <f t="shared" si="2"/>
        <v>104</v>
      </c>
      <c r="J16" s="11"/>
    </row>
    <row r="17" s="3" customFormat="1" ht="16" customHeight="1" spans="1:10">
      <c r="A17" s="11">
        <v>12</v>
      </c>
      <c r="B17" s="11" t="s">
        <v>155</v>
      </c>
      <c r="C17" s="11"/>
      <c r="D17" s="11" t="s">
        <v>46</v>
      </c>
      <c r="E17" s="12">
        <v>30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105</v>
      </c>
      <c r="J17" s="11"/>
    </row>
    <row r="18" s="3" customFormat="1" ht="16" customHeight="1" spans="1:10">
      <c r="A18" s="11">
        <v>13</v>
      </c>
      <c r="B18" s="11"/>
      <c r="C18" s="11"/>
      <c r="D18" s="11"/>
      <c r="E18" s="12"/>
      <c r="F18" s="13"/>
      <c r="G18" s="14"/>
      <c r="H18" s="18"/>
      <c r="I18" s="15"/>
      <c r="J18" s="11"/>
    </row>
    <row r="19" s="3" customFormat="1" customHeight="1" spans="1:10">
      <c r="A19" s="11">
        <v>14</v>
      </c>
      <c r="B19" s="13"/>
      <c r="C19" s="13"/>
      <c r="D19" s="13"/>
      <c r="E19" s="12"/>
      <c r="F19" s="13"/>
      <c r="G19" s="14"/>
      <c r="H19" s="18"/>
      <c r="I19" s="15"/>
      <c r="J19" s="13"/>
    </row>
    <row r="20" s="3" customFormat="1" customHeight="1" spans="1:10">
      <c r="A20" s="11">
        <v>15</v>
      </c>
      <c r="B20" s="13"/>
      <c r="C20" s="13"/>
      <c r="D20" s="13"/>
      <c r="E20" s="12"/>
      <c r="F20" s="13"/>
      <c r="G20" s="14"/>
      <c r="H20" s="18"/>
      <c r="I20" s="15"/>
      <c r="J20" s="13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 t="s">
        <v>55</v>
      </c>
      <c r="B30" s="19">
        <f>SUM(I6:I29)</f>
        <v>707.1</v>
      </c>
      <c r="C30" s="20"/>
      <c r="D30" s="20"/>
      <c r="E30" s="21"/>
      <c r="F30" s="20"/>
      <c r="G30" s="20"/>
      <c r="H30" s="20"/>
      <c r="I30" s="20"/>
      <c r="J30" s="24"/>
    </row>
    <row r="31" s="3" customFormat="1" customHeight="1" spans="1:10">
      <c r="A31" s="11" t="s">
        <v>48</v>
      </c>
      <c r="B31" s="22">
        <f>B30</f>
        <v>707.1</v>
      </c>
      <c r="C31" s="23"/>
      <c r="D31" s="23"/>
      <c r="E31" s="21"/>
      <c r="F31" s="23"/>
      <c r="G31" s="23"/>
      <c r="H31" s="23"/>
      <c r="I31" s="23"/>
      <c r="J31" s="25"/>
    </row>
    <row r="32" s="3" customFormat="1" customHeight="1" spans="1:5">
      <c r="A32" s="3" t="s">
        <v>49</v>
      </c>
      <c r="E32" s="4"/>
    </row>
  </sheetData>
  <mergeCells count="4">
    <mergeCell ref="A1:J1"/>
    <mergeCell ref="B30:J30"/>
    <mergeCell ref="B31:J31"/>
    <mergeCell ref="A32:J32"/>
  </mergeCells>
  <conditionalFormatting sqref="B6:B29">
    <cfRule type="duplicateValues" dxfId="0" priority="2"/>
  </conditionalFormatting>
  <conditionalFormatting sqref="B1:B29 B32:B1048576">
    <cfRule type="duplicateValues" dxfId="0" priority="1"/>
  </conditionalFormatting>
  <conditionalFormatting sqref="B6:C15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F16" sqref="F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193</v>
      </c>
      <c r="C6" s="11"/>
      <c r="D6" s="12" t="s">
        <v>14</v>
      </c>
      <c r="E6" s="12">
        <v>1</v>
      </c>
      <c r="F6" s="13">
        <f t="shared" ref="F6:F24" si="0">H6/0.85</f>
        <v>4.11764705882353</v>
      </c>
      <c r="G6" s="14">
        <f t="shared" ref="G6:G24" si="1">H6/F6</f>
        <v>0.85</v>
      </c>
      <c r="H6" s="15">
        <v>3.5</v>
      </c>
      <c r="I6" s="15">
        <f t="shared" ref="I6:I24" si="2">E6*H6</f>
        <v>3.5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194</v>
      </c>
      <c r="C8" s="11"/>
      <c r="D8" s="12" t="s">
        <v>14</v>
      </c>
      <c r="E8" s="12">
        <v>8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28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14</v>
      </c>
      <c r="E9" s="12">
        <v>7.8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15.6</v>
      </c>
      <c r="J9" s="11"/>
    </row>
    <row r="10" s="3" customFormat="1" ht="16" customHeight="1" spans="1:10">
      <c r="A10" s="11">
        <v>5</v>
      </c>
      <c r="B10" s="11" t="s">
        <v>195</v>
      </c>
      <c r="C10" s="11"/>
      <c r="D10" s="12" t="s">
        <v>14</v>
      </c>
      <c r="E10" s="12">
        <v>4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31.2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21</v>
      </c>
      <c r="E11" s="12">
        <v>7</v>
      </c>
      <c r="F11" s="13">
        <f t="shared" si="0"/>
        <v>3.52941176470588</v>
      </c>
      <c r="G11" s="14">
        <f t="shared" si="1"/>
        <v>0.85</v>
      </c>
      <c r="H11" s="15">
        <v>3</v>
      </c>
      <c r="I11" s="15">
        <f t="shared" si="2"/>
        <v>21</v>
      </c>
      <c r="J11" s="11"/>
    </row>
    <row r="12" s="3" customFormat="1" ht="16" customHeight="1" spans="1:10">
      <c r="A12" s="11">
        <v>7</v>
      </c>
      <c r="B12" s="16" t="s">
        <v>196</v>
      </c>
      <c r="C12" s="16"/>
      <c r="D12" s="17" t="s">
        <v>14</v>
      </c>
      <c r="E12" s="17">
        <v>13</v>
      </c>
      <c r="F12" s="13">
        <f t="shared" si="0"/>
        <v>5.88235294117647</v>
      </c>
      <c r="G12" s="14">
        <f t="shared" si="1"/>
        <v>0.85</v>
      </c>
      <c r="H12" s="18">
        <v>5</v>
      </c>
      <c r="I12" s="15">
        <f t="shared" si="2"/>
        <v>65</v>
      </c>
      <c r="J12" s="16"/>
    </row>
    <row r="13" s="3" customFormat="1" ht="16" customHeight="1" spans="1:10">
      <c r="A13" s="11">
        <v>8</v>
      </c>
      <c r="B13" s="16" t="s">
        <v>82</v>
      </c>
      <c r="C13" s="16"/>
      <c r="D13" s="17" t="s">
        <v>14</v>
      </c>
      <c r="E13" s="17">
        <v>2</v>
      </c>
      <c r="F13" s="13">
        <f t="shared" si="0"/>
        <v>4.11764705882353</v>
      </c>
      <c r="G13" s="14">
        <f t="shared" si="1"/>
        <v>0.85</v>
      </c>
      <c r="H13" s="18">
        <v>3.5</v>
      </c>
      <c r="I13" s="15">
        <f t="shared" si="2"/>
        <v>7</v>
      </c>
      <c r="J13" s="16"/>
    </row>
    <row r="14" s="3" customFormat="1" ht="16" customHeight="1" spans="1:10">
      <c r="A14" s="11">
        <v>9</v>
      </c>
      <c r="B14" s="16" t="s">
        <v>101</v>
      </c>
      <c r="C14" s="16" t="s">
        <v>102</v>
      </c>
      <c r="D14" s="17" t="s">
        <v>14</v>
      </c>
      <c r="E14" s="17">
        <v>13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58.5</v>
      </c>
      <c r="J14" s="16"/>
    </row>
    <row r="15" s="3" customFormat="1" ht="16" customHeight="1" spans="1:10">
      <c r="A15" s="11">
        <v>10</v>
      </c>
      <c r="B15" s="16" t="s">
        <v>65</v>
      </c>
      <c r="C15" s="16"/>
      <c r="D15" s="17" t="s">
        <v>14</v>
      </c>
      <c r="E15" s="17">
        <v>12.4</v>
      </c>
      <c r="F15" s="13">
        <f t="shared" si="0"/>
        <v>17.4117647058824</v>
      </c>
      <c r="G15" s="14">
        <f t="shared" si="1"/>
        <v>0.85</v>
      </c>
      <c r="H15" s="18">
        <v>14.8</v>
      </c>
      <c r="I15" s="15">
        <f t="shared" si="2"/>
        <v>183.52</v>
      </c>
      <c r="J15" s="16"/>
    </row>
    <row r="16" s="3" customFormat="1" ht="16" customHeight="1" spans="1:10">
      <c r="A16" s="11">
        <v>11</v>
      </c>
      <c r="B16" s="16" t="s">
        <v>25</v>
      </c>
      <c r="C16" s="16"/>
      <c r="D16" s="17" t="s">
        <v>14</v>
      </c>
      <c r="E16" s="17">
        <v>5</v>
      </c>
      <c r="F16" s="13">
        <f t="shared" si="0"/>
        <v>19.7647058823529</v>
      </c>
      <c r="G16" s="14">
        <f t="shared" si="1"/>
        <v>0.85</v>
      </c>
      <c r="H16" s="18">
        <v>16.8</v>
      </c>
      <c r="I16" s="15">
        <f t="shared" si="2"/>
        <v>84</v>
      </c>
      <c r="J16" s="16"/>
    </row>
    <row r="17" s="3" customFormat="1" ht="16" customHeight="1" spans="1:10">
      <c r="A17" s="11">
        <v>12</v>
      </c>
      <c r="B17" s="11" t="s">
        <v>26</v>
      </c>
      <c r="C17" s="11"/>
      <c r="D17" s="11" t="s">
        <v>14</v>
      </c>
      <c r="E17" s="12">
        <v>6</v>
      </c>
      <c r="F17" s="13">
        <f t="shared" si="0"/>
        <v>17.4117647058824</v>
      </c>
      <c r="G17" s="14">
        <f t="shared" si="1"/>
        <v>0.85</v>
      </c>
      <c r="H17" s="18">
        <v>14.8</v>
      </c>
      <c r="I17" s="15">
        <f t="shared" si="2"/>
        <v>88.8</v>
      </c>
      <c r="J17" s="16"/>
    </row>
    <row r="18" s="3" customFormat="1" ht="16" customHeight="1" spans="1:10">
      <c r="A18" s="11">
        <v>13</v>
      </c>
      <c r="B18" s="11" t="s">
        <v>27</v>
      </c>
      <c r="C18" s="11"/>
      <c r="D18" s="11" t="s">
        <v>14</v>
      </c>
      <c r="E18" s="12">
        <v>5</v>
      </c>
      <c r="F18" s="13">
        <f t="shared" si="0"/>
        <v>25.8823529411765</v>
      </c>
      <c r="G18" s="14">
        <f t="shared" si="1"/>
        <v>0.85</v>
      </c>
      <c r="H18" s="18">
        <v>22</v>
      </c>
      <c r="I18" s="15">
        <f t="shared" si="2"/>
        <v>110</v>
      </c>
      <c r="J18" s="11"/>
    </row>
    <row r="19" s="3" customFormat="1" ht="16" customHeight="1" spans="1:10">
      <c r="A19" s="11">
        <v>14</v>
      </c>
      <c r="B19" s="13" t="s">
        <v>71</v>
      </c>
      <c r="C19" s="13"/>
      <c r="D19" s="13" t="s">
        <v>14</v>
      </c>
      <c r="E19" s="12">
        <v>5</v>
      </c>
      <c r="F19" s="13">
        <f t="shared" si="0"/>
        <v>25.8823529411765</v>
      </c>
      <c r="G19" s="14">
        <f t="shared" si="1"/>
        <v>0.85</v>
      </c>
      <c r="H19" s="18">
        <v>22</v>
      </c>
      <c r="I19" s="15">
        <f t="shared" si="2"/>
        <v>110</v>
      </c>
      <c r="J19" s="11"/>
    </row>
    <row r="20" s="3" customFormat="1" customHeight="1" spans="1:10">
      <c r="A20" s="11">
        <v>15</v>
      </c>
      <c r="B20" s="13" t="s">
        <v>197</v>
      </c>
      <c r="C20" s="13"/>
      <c r="D20" s="13" t="s">
        <v>14</v>
      </c>
      <c r="E20" s="12">
        <v>6.7</v>
      </c>
      <c r="F20" s="13">
        <f t="shared" si="0"/>
        <v>28.2352941176471</v>
      </c>
      <c r="G20" s="14">
        <f t="shared" si="1"/>
        <v>0.85</v>
      </c>
      <c r="H20" s="18">
        <v>24</v>
      </c>
      <c r="I20" s="15">
        <f t="shared" si="2"/>
        <v>160.8</v>
      </c>
      <c r="J20" s="13"/>
    </row>
    <row r="21" s="3" customFormat="1" customHeight="1" spans="1:10">
      <c r="A21" s="11">
        <v>16</v>
      </c>
      <c r="B21" s="13" t="s">
        <v>198</v>
      </c>
      <c r="C21" s="13" t="s">
        <v>199</v>
      </c>
      <c r="D21" s="13" t="s">
        <v>31</v>
      </c>
      <c r="E21" s="12">
        <v>1</v>
      </c>
      <c r="F21" s="13">
        <f t="shared" si="0"/>
        <v>16.4705882352941</v>
      </c>
      <c r="G21" s="14">
        <f t="shared" si="1"/>
        <v>0.85</v>
      </c>
      <c r="H21" s="18">
        <v>14</v>
      </c>
      <c r="I21" s="15">
        <f t="shared" si="2"/>
        <v>14</v>
      </c>
      <c r="J21" s="13"/>
    </row>
    <row r="22" s="3" customFormat="1" customHeight="1" spans="1:10">
      <c r="A22" s="11">
        <v>17</v>
      </c>
      <c r="B22" s="13" t="s">
        <v>134</v>
      </c>
      <c r="C22" s="13"/>
      <c r="D22" s="13" t="s">
        <v>14</v>
      </c>
      <c r="E22" s="12">
        <v>3</v>
      </c>
      <c r="F22" s="13">
        <f t="shared" si="0"/>
        <v>103.529411764706</v>
      </c>
      <c r="G22" s="14">
        <f t="shared" si="1"/>
        <v>0.85</v>
      </c>
      <c r="H22" s="18">
        <v>88</v>
      </c>
      <c r="I22" s="15">
        <f t="shared" si="2"/>
        <v>264</v>
      </c>
      <c r="J22" s="13"/>
    </row>
    <row r="23" s="3" customFormat="1" customHeight="1" spans="1:10">
      <c r="A23" s="11">
        <v>18</v>
      </c>
      <c r="B23" s="13" t="s">
        <v>44</v>
      </c>
      <c r="C23" s="13" t="s">
        <v>45</v>
      </c>
      <c r="D23" s="13" t="s">
        <v>46</v>
      </c>
      <c r="E23" s="12">
        <v>45</v>
      </c>
      <c r="F23" s="13">
        <f t="shared" si="0"/>
        <v>4.11764705882353</v>
      </c>
      <c r="G23" s="14">
        <f t="shared" si="1"/>
        <v>0.85</v>
      </c>
      <c r="H23" s="18">
        <v>3.5</v>
      </c>
      <c r="I23" s="15">
        <f t="shared" si="2"/>
        <v>157.5</v>
      </c>
      <c r="J23" s="13"/>
    </row>
    <row r="24" s="3" customFormat="1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55</v>
      </c>
      <c r="B34" s="19">
        <f>SUM(I6:I33)</f>
        <v>1419.92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48</v>
      </c>
      <c r="B35" s="22">
        <f>B34</f>
        <v>1419.92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49</v>
      </c>
      <c r="E36" s="4"/>
    </row>
  </sheetData>
  <sortState ref="A17:I24">
    <sortCondition ref="A17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8" workbookViewId="0">
      <selection activeCell="A23" sqref="$A23:$XFD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10</v>
      </c>
      <c r="F6" s="13">
        <f t="shared" ref="F6:F32" si="0">H6/0.85</f>
        <v>3.52941176470588</v>
      </c>
      <c r="G6" s="14">
        <f t="shared" ref="G6:G32" si="1">H6/F6</f>
        <v>0.85</v>
      </c>
      <c r="H6" s="15">
        <v>3</v>
      </c>
      <c r="I6" s="15">
        <f t="shared" ref="I6:I32" si="2">E6*H6</f>
        <v>30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111</v>
      </c>
      <c r="C8" s="11"/>
      <c r="D8" s="12" t="s">
        <v>14</v>
      </c>
      <c r="E8" s="12">
        <v>12</v>
      </c>
      <c r="F8" s="13">
        <f t="shared" si="0"/>
        <v>17.0588235294118</v>
      </c>
      <c r="G8" s="14">
        <f t="shared" si="1"/>
        <v>0.85</v>
      </c>
      <c r="H8" s="15">
        <v>14.5</v>
      </c>
      <c r="I8" s="15">
        <f t="shared" si="2"/>
        <v>174</v>
      </c>
      <c r="J8" s="11"/>
    </row>
    <row r="9" s="3" customFormat="1" ht="16" customHeight="1" spans="1:10">
      <c r="A9" s="11">
        <v>4</v>
      </c>
      <c r="B9" s="16" t="s">
        <v>112</v>
      </c>
      <c r="C9" s="16"/>
      <c r="D9" s="12" t="s">
        <v>14</v>
      </c>
      <c r="E9" s="12">
        <v>3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7.5</v>
      </c>
      <c r="J9" s="11"/>
    </row>
    <row r="10" s="3" customFormat="1" ht="16" customHeight="1" spans="1:10">
      <c r="A10" s="11">
        <v>5</v>
      </c>
      <c r="B10" s="11" t="s">
        <v>20</v>
      </c>
      <c r="C10" s="11"/>
      <c r="D10" s="12" t="s">
        <v>21</v>
      </c>
      <c r="E10" s="12">
        <v>10</v>
      </c>
      <c r="F10" s="13">
        <f t="shared" si="0"/>
        <v>3.52941176470588</v>
      </c>
      <c r="G10" s="14">
        <f t="shared" si="1"/>
        <v>0.85</v>
      </c>
      <c r="H10" s="15">
        <v>3</v>
      </c>
      <c r="I10" s="15">
        <f t="shared" si="2"/>
        <v>30</v>
      </c>
      <c r="J10" s="11"/>
    </row>
    <row r="11" s="3" customFormat="1" ht="16" customHeight="1" spans="1:10">
      <c r="A11" s="11">
        <v>6</v>
      </c>
      <c r="B11" s="11" t="s">
        <v>59</v>
      </c>
      <c r="C11" s="11"/>
      <c r="D11" s="12" t="s">
        <v>14</v>
      </c>
      <c r="E11" s="12">
        <v>5</v>
      </c>
      <c r="F11" s="13">
        <f t="shared" si="0"/>
        <v>11.5294117647059</v>
      </c>
      <c r="G11" s="14">
        <f t="shared" si="1"/>
        <v>0.85</v>
      </c>
      <c r="H11" s="15">
        <v>9.8</v>
      </c>
      <c r="I11" s="15">
        <f t="shared" si="2"/>
        <v>49</v>
      </c>
      <c r="J11" s="11"/>
    </row>
    <row r="12" s="3" customFormat="1" ht="16" customHeight="1" spans="1:10">
      <c r="A12" s="11">
        <v>7</v>
      </c>
      <c r="B12" s="16" t="s">
        <v>60</v>
      </c>
      <c r="C12" s="16"/>
      <c r="D12" s="17" t="s">
        <v>14</v>
      </c>
      <c r="E12" s="17">
        <v>6</v>
      </c>
      <c r="F12" s="13">
        <f t="shared" si="0"/>
        <v>5.29411764705882</v>
      </c>
      <c r="G12" s="14">
        <f t="shared" si="1"/>
        <v>0.85</v>
      </c>
      <c r="H12" s="18">
        <v>4.5</v>
      </c>
      <c r="I12" s="15">
        <f t="shared" si="2"/>
        <v>27</v>
      </c>
      <c r="J12" s="16"/>
    </row>
    <row r="13" s="3" customFormat="1" ht="16" customHeight="1" spans="1:10">
      <c r="A13" s="11">
        <v>8</v>
      </c>
      <c r="B13" s="16" t="s">
        <v>53</v>
      </c>
      <c r="C13" s="16"/>
      <c r="D13" s="17" t="s">
        <v>14</v>
      </c>
      <c r="E13" s="17">
        <v>5</v>
      </c>
      <c r="F13" s="13">
        <f t="shared" si="0"/>
        <v>4.47058823529412</v>
      </c>
      <c r="G13" s="14">
        <f t="shared" si="1"/>
        <v>0.85</v>
      </c>
      <c r="H13" s="18">
        <v>3.8</v>
      </c>
      <c r="I13" s="15">
        <f t="shared" si="2"/>
        <v>19</v>
      </c>
      <c r="J13" s="16"/>
    </row>
    <row r="14" s="3" customFormat="1" ht="16" customHeight="1" spans="1:10">
      <c r="A14" s="11">
        <v>9</v>
      </c>
      <c r="B14" s="16" t="s">
        <v>145</v>
      </c>
      <c r="C14" s="16"/>
      <c r="D14" s="17" t="s">
        <v>14</v>
      </c>
      <c r="E14" s="17">
        <v>5</v>
      </c>
      <c r="F14" s="13">
        <f t="shared" si="0"/>
        <v>6.47058823529412</v>
      </c>
      <c r="G14" s="14">
        <f t="shared" si="1"/>
        <v>0.85</v>
      </c>
      <c r="H14" s="18">
        <v>5.5</v>
      </c>
      <c r="I14" s="15">
        <f t="shared" si="2"/>
        <v>27.5</v>
      </c>
      <c r="J14" s="16"/>
    </row>
    <row r="15" s="3" customFormat="1" ht="16" customHeight="1" spans="1:10">
      <c r="A15" s="11">
        <v>10</v>
      </c>
      <c r="B15" s="16" t="s">
        <v>200</v>
      </c>
      <c r="C15" s="16"/>
      <c r="D15" s="17" t="s">
        <v>14</v>
      </c>
      <c r="E15" s="17">
        <v>19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66.5</v>
      </c>
      <c r="J15" s="16"/>
    </row>
    <row r="16" s="3" customFormat="1" ht="16" customHeight="1" spans="1:10">
      <c r="A16" s="11">
        <v>11</v>
      </c>
      <c r="B16" s="16" t="s">
        <v>62</v>
      </c>
      <c r="C16" s="16"/>
      <c r="D16" s="17" t="s">
        <v>14</v>
      </c>
      <c r="E16" s="17">
        <v>3</v>
      </c>
      <c r="F16" s="13">
        <f t="shared" si="0"/>
        <v>6.47058823529412</v>
      </c>
      <c r="G16" s="14">
        <f t="shared" si="1"/>
        <v>0.85</v>
      </c>
      <c r="H16" s="18">
        <v>5.5</v>
      </c>
      <c r="I16" s="15">
        <f t="shared" si="2"/>
        <v>16.5</v>
      </c>
      <c r="J16" s="16"/>
    </row>
    <row r="17" s="3" customFormat="1" ht="16" customHeight="1" spans="1:10">
      <c r="A17" s="11">
        <v>12</v>
      </c>
      <c r="B17" s="16" t="s">
        <v>54</v>
      </c>
      <c r="C17" s="16"/>
      <c r="D17" s="17" t="s">
        <v>14</v>
      </c>
      <c r="E17" s="17">
        <v>6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21</v>
      </c>
      <c r="J17" s="16"/>
    </row>
    <row r="18" s="3" customFormat="1" ht="16" customHeight="1" spans="1:10">
      <c r="A18" s="11">
        <v>13</v>
      </c>
      <c r="B18" s="11" t="s">
        <v>184</v>
      </c>
      <c r="C18" s="11"/>
      <c r="D18" s="16" t="s">
        <v>14</v>
      </c>
      <c r="E18" s="12">
        <v>13</v>
      </c>
      <c r="F18" s="13">
        <f t="shared" si="0"/>
        <v>8</v>
      </c>
      <c r="G18" s="14">
        <f t="shared" si="1"/>
        <v>0.85</v>
      </c>
      <c r="H18" s="18">
        <v>6.8</v>
      </c>
      <c r="I18" s="15">
        <f t="shared" si="2"/>
        <v>88.4</v>
      </c>
      <c r="J18" s="11"/>
    </row>
    <row r="19" s="3" customFormat="1" ht="16" customHeight="1" spans="1:10">
      <c r="A19" s="11">
        <v>14</v>
      </c>
      <c r="B19" s="11" t="s">
        <v>68</v>
      </c>
      <c r="C19" s="11"/>
      <c r="D19" s="11" t="s">
        <v>14</v>
      </c>
      <c r="E19" s="12">
        <v>10</v>
      </c>
      <c r="F19" s="13">
        <f t="shared" si="0"/>
        <v>8</v>
      </c>
      <c r="G19" s="14">
        <f t="shared" si="1"/>
        <v>0.85</v>
      </c>
      <c r="H19" s="18">
        <v>6.8</v>
      </c>
      <c r="I19" s="15">
        <f t="shared" si="2"/>
        <v>68</v>
      </c>
      <c r="J19" s="11"/>
    </row>
    <row r="20" s="3" customFormat="1" ht="13.5" spans="1:10">
      <c r="A20" s="11">
        <v>15</v>
      </c>
      <c r="B20" s="11" t="s">
        <v>65</v>
      </c>
      <c r="C20" s="11"/>
      <c r="D20" s="11" t="s">
        <v>14</v>
      </c>
      <c r="E20" s="12">
        <v>6</v>
      </c>
      <c r="F20" s="13">
        <f t="shared" si="0"/>
        <v>17.4117647058824</v>
      </c>
      <c r="G20" s="14">
        <f t="shared" si="1"/>
        <v>0.85</v>
      </c>
      <c r="H20" s="18">
        <v>14.8</v>
      </c>
      <c r="I20" s="15">
        <f t="shared" si="2"/>
        <v>88.8</v>
      </c>
      <c r="J20" s="11"/>
    </row>
    <row r="21" s="3" customFormat="1" ht="16" customHeight="1" spans="1:10">
      <c r="A21" s="11">
        <v>16</v>
      </c>
      <c r="B21" s="11" t="s">
        <v>25</v>
      </c>
      <c r="C21" s="11"/>
      <c r="D21" s="11" t="s">
        <v>14</v>
      </c>
      <c r="E21" s="12">
        <v>1</v>
      </c>
      <c r="F21" s="13">
        <f t="shared" si="0"/>
        <v>19.7647058823529</v>
      </c>
      <c r="G21" s="14">
        <f t="shared" si="1"/>
        <v>0.85</v>
      </c>
      <c r="H21" s="18">
        <v>16.8</v>
      </c>
      <c r="I21" s="15">
        <f t="shared" si="2"/>
        <v>16.8</v>
      </c>
      <c r="J21" s="11"/>
    </row>
    <row r="22" s="3" customFormat="1" customHeight="1" spans="1:10">
      <c r="A22" s="11">
        <v>17</v>
      </c>
      <c r="B22" s="13" t="s">
        <v>129</v>
      </c>
      <c r="C22" s="13"/>
      <c r="D22" s="13" t="s">
        <v>14</v>
      </c>
      <c r="E22" s="12">
        <v>6</v>
      </c>
      <c r="F22" s="13">
        <f t="shared" si="0"/>
        <v>33.8823529411765</v>
      </c>
      <c r="G22" s="14">
        <f t="shared" si="1"/>
        <v>0.85</v>
      </c>
      <c r="H22" s="18">
        <v>28.8</v>
      </c>
      <c r="I22" s="15">
        <f t="shared" si="2"/>
        <v>172.8</v>
      </c>
      <c r="J22" s="13"/>
    </row>
    <row r="23" s="3" customFormat="1" customHeight="1" spans="1:10">
      <c r="A23" s="11">
        <v>19</v>
      </c>
      <c r="B23" s="13" t="s">
        <v>105</v>
      </c>
      <c r="C23" s="13"/>
      <c r="D23" s="13" t="s">
        <v>14</v>
      </c>
      <c r="E23" s="12">
        <v>10</v>
      </c>
      <c r="F23" s="13">
        <f>H23/0.85</f>
        <v>5.76470588235294</v>
      </c>
      <c r="G23" s="14">
        <f>H23/F23</f>
        <v>0.85</v>
      </c>
      <c r="H23" s="18">
        <v>4.9</v>
      </c>
      <c r="I23" s="15">
        <f>E23*H23</f>
        <v>49</v>
      </c>
      <c r="J23" s="13"/>
    </row>
    <row r="24" s="3" customFormat="1" customHeight="1" spans="1:10">
      <c r="A24" s="11">
        <v>20</v>
      </c>
      <c r="B24" s="13" t="s">
        <v>33</v>
      </c>
      <c r="C24" s="13" t="s">
        <v>38</v>
      </c>
      <c r="D24" s="13" t="s">
        <v>14</v>
      </c>
      <c r="E24" s="12">
        <v>3</v>
      </c>
      <c r="F24" s="13">
        <f>H24/0.85</f>
        <v>30.5882352941176</v>
      </c>
      <c r="G24" s="14">
        <f>H24/F24</f>
        <v>0.85</v>
      </c>
      <c r="H24" s="18">
        <v>26</v>
      </c>
      <c r="I24" s="15">
        <f>E24*H24</f>
        <v>78</v>
      </c>
      <c r="J24" s="13"/>
    </row>
    <row r="25" s="3" customFormat="1" customHeight="1" spans="1:10">
      <c r="A25" s="11">
        <v>21</v>
      </c>
      <c r="B25" s="13" t="s">
        <v>201</v>
      </c>
      <c r="C25" s="13" t="s">
        <v>161</v>
      </c>
      <c r="D25" s="13" t="s">
        <v>202</v>
      </c>
      <c r="E25" s="12">
        <v>1</v>
      </c>
      <c r="F25" s="13">
        <f>H25/0.85</f>
        <v>152.941176470588</v>
      </c>
      <c r="G25" s="14">
        <f>H25/F25</f>
        <v>0.85</v>
      </c>
      <c r="H25" s="18">
        <v>130</v>
      </c>
      <c r="I25" s="15">
        <f>E25*H25</f>
        <v>130</v>
      </c>
      <c r="J25" s="13"/>
    </row>
    <row r="26" s="3" customFormat="1" customHeight="1" spans="1:10">
      <c r="A26" s="11">
        <v>22</v>
      </c>
      <c r="B26" s="13" t="s">
        <v>203</v>
      </c>
      <c r="C26" s="13" t="s">
        <v>204</v>
      </c>
      <c r="D26" s="13" t="s">
        <v>31</v>
      </c>
      <c r="E26" s="12">
        <v>1</v>
      </c>
      <c r="F26" s="13">
        <f>H26/0.85</f>
        <v>97.6470588235294</v>
      </c>
      <c r="G26" s="14">
        <f>H26/F26</f>
        <v>0.85</v>
      </c>
      <c r="H26" s="18">
        <v>83</v>
      </c>
      <c r="I26" s="15">
        <f>E26*H26</f>
        <v>83</v>
      </c>
      <c r="J26" s="13"/>
    </row>
    <row r="27" s="3" customFormat="1" customHeight="1" spans="1:10">
      <c r="A27" s="11">
        <v>23</v>
      </c>
      <c r="B27" s="13" t="s">
        <v>205</v>
      </c>
      <c r="C27" s="13" t="s">
        <v>206</v>
      </c>
      <c r="D27" s="13" t="s">
        <v>126</v>
      </c>
      <c r="E27" s="12">
        <v>20</v>
      </c>
      <c r="F27" s="13">
        <f>H27/0.85</f>
        <v>2.94117647058824</v>
      </c>
      <c r="G27" s="14">
        <f>H27/F27</f>
        <v>0.85</v>
      </c>
      <c r="H27" s="18">
        <v>2.5</v>
      </c>
      <c r="I27" s="15">
        <f>E27*H27</f>
        <v>50</v>
      </c>
      <c r="J27" s="13"/>
    </row>
    <row r="28" s="3" customFormat="1" customHeight="1" spans="1:10">
      <c r="A28" s="11">
        <v>24</v>
      </c>
      <c r="B28" s="13" t="s">
        <v>140</v>
      </c>
      <c r="C28" s="13" t="s">
        <v>141</v>
      </c>
      <c r="D28" s="13" t="s">
        <v>41</v>
      </c>
      <c r="E28" s="12">
        <v>1</v>
      </c>
      <c r="F28" s="13">
        <f>H28/0.85</f>
        <v>411.764705882353</v>
      </c>
      <c r="G28" s="14">
        <f>H28/F28</f>
        <v>0.85</v>
      </c>
      <c r="H28" s="18">
        <v>350</v>
      </c>
      <c r="I28" s="15">
        <f>E28*H28</f>
        <v>350</v>
      </c>
      <c r="J28" s="13"/>
    </row>
    <row r="29" s="3" customFormat="1" customHeight="1" spans="1:10">
      <c r="A29" s="11">
        <v>25</v>
      </c>
      <c r="B29" s="13" t="s">
        <v>155</v>
      </c>
      <c r="C29" s="13"/>
      <c r="D29" s="13" t="s">
        <v>46</v>
      </c>
      <c r="E29" s="12">
        <v>60</v>
      </c>
      <c r="F29" s="13">
        <f>H29/0.85</f>
        <v>4.11764705882353</v>
      </c>
      <c r="G29" s="14">
        <f>H29/F29</f>
        <v>0.85</v>
      </c>
      <c r="H29" s="18">
        <v>3.5</v>
      </c>
      <c r="I29" s="15">
        <f>E29*H29</f>
        <v>210</v>
      </c>
      <c r="J29" s="13"/>
    </row>
    <row r="30" s="3" customFormat="1" customHeight="1" spans="1:10">
      <c r="A30" s="11">
        <v>26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27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28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55</v>
      </c>
      <c r="B33" s="19">
        <f>SUM(I6:I32)</f>
        <v>1870.3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48</v>
      </c>
      <c r="B34" s="22">
        <f>B33</f>
        <v>1870.3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49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5" workbookViewId="0">
      <selection activeCell="F9" sqref="F9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2.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45196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56</v>
      </c>
      <c r="C7" s="11" t="s">
        <v>38</v>
      </c>
      <c r="D7" s="12" t="s">
        <v>14</v>
      </c>
      <c r="E7" s="12">
        <v>4</v>
      </c>
      <c r="F7" s="13">
        <f t="shared" ref="F7:F24" si="0">H7/0.85</f>
        <v>4.11764705882353</v>
      </c>
      <c r="G7" s="14">
        <f t="shared" ref="G7:G24" si="1">H7/F7</f>
        <v>0.85</v>
      </c>
      <c r="H7" s="15">
        <v>3.5</v>
      </c>
      <c r="I7" s="15">
        <f t="shared" ref="I7:I24" si="2">E7*H7</f>
        <v>14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151</v>
      </c>
      <c r="C9" s="16"/>
      <c r="D9" s="12" t="s">
        <v>14</v>
      </c>
      <c r="E9" s="12">
        <v>4</v>
      </c>
      <c r="F9" s="13">
        <f t="shared" si="0"/>
        <v>7.05882352941176</v>
      </c>
      <c r="G9" s="14">
        <f t="shared" si="1"/>
        <v>0.85</v>
      </c>
      <c r="H9" s="15">
        <v>6</v>
      </c>
      <c r="I9" s="15">
        <f t="shared" si="2"/>
        <v>24</v>
      </c>
      <c r="J9" s="11"/>
    </row>
    <row r="10" s="3" customFormat="1" ht="16" customHeight="1" spans="1:10">
      <c r="A10" s="11">
        <v>5</v>
      </c>
      <c r="B10" s="11" t="s">
        <v>95</v>
      </c>
      <c r="C10" s="11"/>
      <c r="D10" s="12" t="s">
        <v>14</v>
      </c>
      <c r="E10" s="12">
        <v>13</v>
      </c>
      <c r="F10" s="13">
        <f t="shared" si="0"/>
        <v>5.29411764705882</v>
      </c>
      <c r="G10" s="14">
        <f t="shared" si="1"/>
        <v>0.85</v>
      </c>
      <c r="H10" s="15">
        <v>4.5</v>
      </c>
      <c r="I10" s="15">
        <f t="shared" si="2"/>
        <v>58.5</v>
      </c>
      <c r="J10" s="11"/>
    </row>
    <row r="11" s="3" customFormat="1" ht="16" customHeight="1" spans="1:10">
      <c r="A11" s="11">
        <v>6</v>
      </c>
      <c r="B11" s="11" t="s">
        <v>59</v>
      </c>
      <c r="C11" s="11"/>
      <c r="D11" s="12" t="s">
        <v>14</v>
      </c>
      <c r="E11" s="12">
        <v>13</v>
      </c>
      <c r="F11" s="13">
        <f t="shared" si="0"/>
        <v>11.5294117647059</v>
      </c>
      <c r="G11" s="14">
        <f t="shared" si="1"/>
        <v>0.85</v>
      </c>
      <c r="H11" s="15">
        <v>9.8</v>
      </c>
      <c r="I11" s="15">
        <f t="shared" si="2"/>
        <v>127.4</v>
      </c>
      <c r="J11" s="11"/>
    </row>
    <row r="12" s="3" customFormat="1" ht="16" customHeight="1" spans="1:10">
      <c r="A12" s="11">
        <v>7</v>
      </c>
      <c r="B12" s="16" t="s">
        <v>53</v>
      </c>
      <c r="C12" s="16"/>
      <c r="D12" s="17" t="s">
        <v>14</v>
      </c>
      <c r="E12" s="17">
        <v>5</v>
      </c>
      <c r="F12" s="13">
        <f t="shared" si="0"/>
        <v>4.47058823529412</v>
      </c>
      <c r="G12" s="14">
        <f t="shared" si="1"/>
        <v>0.85</v>
      </c>
      <c r="H12" s="15">
        <v>3.8</v>
      </c>
      <c r="I12" s="15">
        <f t="shared" si="2"/>
        <v>19</v>
      </c>
      <c r="J12" s="16"/>
    </row>
    <row r="13" s="3" customFormat="1" ht="16" customHeight="1" spans="1:10">
      <c r="A13" s="11">
        <v>8</v>
      </c>
      <c r="B13" s="16" t="s">
        <v>67</v>
      </c>
      <c r="C13" s="16"/>
      <c r="D13" s="17" t="s">
        <v>14</v>
      </c>
      <c r="E13" s="17">
        <v>8</v>
      </c>
      <c r="F13" s="13">
        <f t="shared" si="0"/>
        <v>2.94117647058824</v>
      </c>
      <c r="G13" s="14">
        <f t="shared" si="1"/>
        <v>0.85</v>
      </c>
      <c r="H13" s="15">
        <v>2.5</v>
      </c>
      <c r="I13" s="15">
        <f t="shared" si="2"/>
        <v>20</v>
      </c>
      <c r="J13" s="16"/>
    </row>
    <row r="14" s="3" customFormat="1" ht="16" customHeight="1" spans="1:10">
      <c r="A14" s="11">
        <v>9</v>
      </c>
      <c r="B14" s="16" t="s">
        <v>81</v>
      </c>
      <c r="C14" s="16"/>
      <c r="D14" s="17" t="s">
        <v>14</v>
      </c>
      <c r="E14" s="17">
        <v>2</v>
      </c>
      <c r="F14" s="13">
        <f t="shared" si="0"/>
        <v>12.7058823529412</v>
      </c>
      <c r="G14" s="14">
        <f t="shared" si="1"/>
        <v>0.85</v>
      </c>
      <c r="H14" s="15">
        <v>10.8</v>
      </c>
      <c r="I14" s="15">
        <f t="shared" si="2"/>
        <v>21.6</v>
      </c>
      <c r="J14" s="16"/>
    </row>
    <row r="15" s="3" customFormat="1" ht="16" customHeight="1" spans="1:10">
      <c r="A15" s="11">
        <v>10</v>
      </c>
      <c r="B15" s="16" t="s">
        <v>100</v>
      </c>
      <c r="C15" s="16"/>
      <c r="D15" s="17" t="s">
        <v>14</v>
      </c>
      <c r="E15" s="17">
        <v>15</v>
      </c>
      <c r="F15" s="13">
        <f t="shared" si="0"/>
        <v>2.35294117647059</v>
      </c>
      <c r="G15" s="14">
        <f t="shared" si="1"/>
        <v>0.85</v>
      </c>
      <c r="H15" s="15">
        <v>2</v>
      </c>
      <c r="I15" s="15">
        <f t="shared" si="2"/>
        <v>30</v>
      </c>
      <c r="J15" s="16"/>
    </row>
    <row r="16" s="3" customFormat="1" ht="16" customHeight="1" spans="1:10">
      <c r="A16" s="11">
        <v>11</v>
      </c>
      <c r="B16" s="16" t="s">
        <v>69</v>
      </c>
      <c r="C16" s="16"/>
      <c r="D16" s="17" t="s">
        <v>14</v>
      </c>
      <c r="E16" s="17">
        <v>5</v>
      </c>
      <c r="F16" s="13">
        <f t="shared" si="0"/>
        <v>16.2352941176471</v>
      </c>
      <c r="G16" s="14">
        <f t="shared" si="1"/>
        <v>0.85</v>
      </c>
      <c r="H16" s="15">
        <v>13.8</v>
      </c>
      <c r="I16" s="15">
        <f t="shared" si="2"/>
        <v>69</v>
      </c>
      <c r="J16" s="16"/>
    </row>
    <row r="17" s="3" customFormat="1" ht="16" customHeight="1" spans="1:10">
      <c r="A17" s="11">
        <v>12</v>
      </c>
      <c r="B17" s="11" t="s">
        <v>70</v>
      </c>
      <c r="C17" s="11"/>
      <c r="D17" s="16" t="s">
        <v>14</v>
      </c>
      <c r="E17" s="12">
        <v>9</v>
      </c>
      <c r="F17" s="13">
        <f t="shared" si="0"/>
        <v>24.4705882352941</v>
      </c>
      <c r="G17" s="14">
        <f t="shared" si="1"/>
        <v>0.85</v>
      </c>
      <c r="H17" s="15">
        <v>20.8</v>
      </c>
      <c r="I17" s="15">
        <f t="shared" si="2"/>
        <v>187.2</v>
      </c>
      <c r="J17" s="11"/>
    </row>
    <row r="18" s="3" customFormat="1" ht="16" customHeight="1" spans="1:10">
      <c r="A18" s="11">
        <v>13</v>
      </c>
      <c r="B18" s="11" t="s">
        <v>25</v>
      </c>
      <c r="C18" s="11"/>
      <c r="D18" s="11" t="s">
        <v>14</v>
      </c>
      <c r="E18" s="12">
        <v>8</v>
      </c>
      <c r="F18" s="13">
        <f t="shared" si="0"/>
        <v>19.7647058823529</v>
      </c>
      <c r="G18" s="14">
        <f t="shared" si="1"/>
        <v>0.85</v>
      </c>
      <c r="H18" s="15">
        <v>16.8</v>
      </c>
      <c r="I18" s="15">
        <f t="shared" si="2"/>
        <v>134.4</v>
      </c>
      <c r="J18" s="11"/>
    </row>
    <row r="19" s="3" customFormat="1" customHeight="1" spans="1:10">
      <c r="A19" s="11">
        <v>14</v>
      </c>
      <c r="B19" s="13" t="s">
        <v>207</v>
      </c>
      <c r="C19" s="13" t="s">
        <v>208</v>
      </c>
      <c r="D19" s="13" t="s">
        <v>31</v>
      </c>
      <c r="E19" s="12">
        <v>4</v>
      </c>
      <c r="F19" s="13">
        <f t="shared" si="0"/>
        <v>70.5882352941177</v>
      </c>
      <c r="G19" s="14">
        <f t="shared" si="1"/>
        <v>0.85</v>
      </c>
      <c r="H19" s="15">
        <v>60</v>
      </c>
      <c r="I19" s="15">
        <f t="shared" si="2"/>
        <v>240</v>
      </c>
      <c r="J19" s="13"/>
    </row>
    <row r="20" s="3" customFormat="1" customHeight="1" spans="1:10">
      <c r="A20" s="11">
        <v>15</v>
      </c>
      <c r="B20" s="13" t="s">
        <v>89</v>
      </c>
      <c r="C20" s="13" t="s">
        <v>90</v>
      </c>
      <c r="D20" s="13" t="s">
        <v>41</v>
      </c>
      <c r="E20" s="12">
        <v>3</v>
      </c>
      <c r="F20" s="13">
        <f t="shared" si="0"/>
        <v>64.7058823529412</v>
      </c>
      <c r="G20" s="14">
        <f t="shared" si="1"/>
        <v>0.85</v>
      </c>
      <c r="H20" s="15">
        <v>55</v>
      </c>
      <c r="I20" s="15">
        <f t="shared" si="2"/>
        <v>165</v>
      </c>
      <c r="J20" s="13"/>
    </row>
    <row r="21" s="3" customFormat="1" customHeight="1" spans="1:10">
      <c r="A21" s="11">
        <v>16</v>
      </c>
      <c r="B21" s="13" t="s">
        <v>42</v>
      </c>
      <c r="C21" s="13" t="s">
        <v>43</v>
      </c>
      <c r="D21" s="13" t="s">
        <v>31</v>
      </c>
      <c r="E21" s="12">
        <v>2</v>
      </c>
      <c r="F21" s="13">
        <f t="shared" si="0"/>
        <v>103.529411764706</v>
      </c>
      <c r="G21" s="14">
        <f t="shared" si="1"/>
        <v>0.85</v>
      </c>
      <c r="H21" s="15">
        <v>88</v>
      </c>
      <c r="I21" s="15">
        <f t="shared" si="2"/>
        <v>176</v>
      </c>
      <c r="J21" s="13"/>
    </row>
    <row r="22" s="3" customFormat="1" customHeight="1" spans="1:10">
      <c r="A22" s="11">
        <v>17</v>
      </c>
      <c r="B22" s="13" t="s">
        <v>155</v>
      </c>
      <c r="C22" s="13"/>
      <c r="D22" s="13" t="s">
        <v>46</v>
      </c>
      <c r="E22" s="12">
        <v>63</v>
      </c>
      <c r="F22" s="13">
        <f t="shared" si="0"/>
        <v>4.11764705882353</v>
      </c>
      <c r="G22" s="14">
        <f t="shared" si="1"/>
        <v>0.85</v>
      </c>
      <c r="H22" s="15">
        <v>3.5</v>
      </c>
      <c r="I22" s="15">
        <f t="shared" si="2"/>
        <v>220.5</v>
      </c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55</v>
      </c>
      <c r="B32" s="19">
        <f>SUM(I6:I31)</f>
        <v>1539.1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48</v>
      </c>
      <c r="B33" s="22">
        <f>B32</f>
        <v>1539.1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49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0" workbookViewId="0">
      <selection activeCell="F14" sqref="F1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45195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14</v>
      </c>
      <c r="J7" s="11"/>
    </row>
    <row r="8" s="3" customFormat="1" ht="16" customHeight="1" spans="1:10">
      <c r="A8" s="11">
        <v>3</v>
      </c>
      <c r="B8" s="11" t="s">
        <v>110</v>
      </c>
      <c r="C8" s="11"/>
      <c r="D8" s="12" t="s">
        <v>14</v>
      </c>
      <c r="E8" s="12">
        <v>5</v>
      </c>
      <c r="F8" s="13">
        <f>H8/0.85</f>
        <v>15.0588235294118</v>
      </c>
      <c r="G8" s="14">
        <f>H8/F8</f>
        <v>0.85</v>
      </c>
      <c r="H8" s="15">
        <v>12.8</v>
      </c>
      <c r="I8" s="15">
        <f>E8*H8</f>
        <v>64</v>
      </c>
      <c r="J8" s="11"/>
    </row>
    <row r="9" s="3" customFormat="1" ht="16" customHeight="1" spans="1:10">
      <c r="A9" s="11">
        <v>4</v>
      </c>
      <c r="B9" s="16" t="s">
        <v>66</v>
      </c>
      <c r="C9" s="16"/>
      <c r="D9" s="12" t="s">
        <v>14</v>
      </c>
      <c r="E9" s="12">
        <v>1</v>
      </c>
      <c r="F9" s="13">
        <f t="shared" ref="F9:F21" si="0">H9/0.85</f>
        <v>8</v>
      </c>
      <c r="G9" s="14">
        <f t="shared" ref="G9:G21" si="1">H9/F9</f>
        <v>0.85</v>
      </c>
      <c r="H9" s="15">
        <v>6.8</v>
      </c>
      <c r="I9" s="15">
        <f t="shared" ref="I9:I21" si="2">E9*H9</f>
        <v>6.8</v>
      </c>
      <c r="J9" s="11"/>
    </row>
    <row r="10" s="3" customFormat="1" ht="16" customHeight="1" spans="1:10">
      <c r="A10" s="11">
        <v>5</v>
      </c>
      <c r="B10" s="11" t="s">
        <v>58</v>
      </c>
      <c r="C10" s="11"/>
      <c r="D10" s="12" t="s">
        <v>14</v>
      </c>
      <c r="E10" s="12">
        <v>17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59.5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7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21</v>
      </c>
      <c r="J12" s="16"/>
    </row>
    <row r="13" s="3" customFormat="1" ht="16" customHeight="1" spans="1:10">
      <c r="A13" s="11">
        <v>8</v>
      </c>
      <c r="B13" s="16" t="s">
        <v>60</v>
      </c>
      <c r="C13" s="16"/>
      <c r="D13" s="17" t="s">
        <v>14</v>
      </c>
      <c r="E13" s="17">
        <v>4</v>
      </c>
      <c r="F13" s="13">
        <f t="shared" si="0"/>
        <v>5.29411764705882</v>
      </c>
      <c r="G13" s="14">
        <f t="shared" si="1"/>
        <v>0.85</v>
      </c>
      <c r="H13" s="15">
        <v>4.5</v>
      </c>
      <c r="I13" s="15">
        <f t="shared" si="2"/>
        <v>18</v>
      </c>
      <c r="J13" s="16"/>
    </row>
    <row r="14" s="3" customFormat="1" ht="16" customHeight="1" spans="1:10">
      <c r="A14" s="11">
        <v>9</v>
      </c>
      <c r="B14" s="16" t="s">
        <v>61</v>
      </c>
      <c r="C14" s="16"/>
      <c r="D14" s="17" t="s">
        <v>14</v>
      </c>
      <c r="E14" s="17">
        <v>17</v>
      </c>
      <c r="F14" s="13">
        <f t="shared" si="0"/>
        <v>5.64705882352941</v>
      </c>
      <c r="G14" s="14">
        <f t="shared" si="1"/>
        <v>0.85</v>
      </c>
      <c r="H14" s="15">
        <v>4.8</v>
      </c>
      <c r="I14" s="15">
        <f t="shared" si="2"/>
        <v>81.6</v>
      </c>
      <c r="J14" s="16"/>
    </row>
    <row r="15" s="3" customFormat="1" ht="16" customHeight="1" spans="1:10">
      <c r="A15" s="11">
        <v>10</v>
      </c>
      <c r="B15" s="16" t="s">
        <v>103</v>
      </c>
      <c r="C15" s="16"/>
      <c r="D15" s="17" t="s">
        <v>14</v>
      </c>
      <c r="E15" s="17">
        <v>18</v>
      </c>
      <c r="F15" s="13">
        <f t="shared" si="0"/>
        <v>4.11764705882353</v>
      </c>
      <c r="G15" s="14">
        <f t="shared" si="1"/>
        <v>0.85</v>
      </c>
      <c r="H15" s="15">
        <v>3.5</v>
      </c>
      <c r="I15" s="15">
        <f t="shared" si="2"/>
        <v>63</v>
      </c>
      <c r="J15" s="16"/>
    </row>
    <row r="16" s="3" customFormat="1" ht="16" customHeight="1" spans="1:10">
      <c r="A16" s="11">
        <v>11</v>
      </c>
      <c r="B16" s="16" t="s">
        <v>63</v>
      </c>
      <c r="C16" s="16" t="s">
        <v>64</v>
      </c>
      <c r="D16" s="17" t="s">
        <v>41</v>
      </c>
      <c r="E16" s="17">
        <v>1</v>
      </c>
      <c r="F16" s="13">
        <f t="shared" si="0"/>
        <v>352.941176470588</v>
      </c>
      <c r="G16" s="14">
        <f t="shared" si="1"/>
        <v>0.85</v>
      </c>
      <c r="H16" s="15">
        <v>300</v>
      </c>
      <c r="I16" s="15">
        <f t="shared" si="2"/>
        <v>300</v>
      </c>
      <c r="J16" s="16"/>
    </row>
    <row r="17" s="3" customFormat="1" ht="16" customHeight="1" spans="1:10">
      <c r="A17" s="11">
        <v>12</v>
      </c>
      <c r="B17" s="16" t="s">
        <v>71</v>
      </c>
      <c r="C17" s="16"/>
      <c r="D17" s="17" t="s">
        <v>14</v>
      </c>
      <c r="E17" s="17">
        <v>5</v>
      </c>
      <c r="F17" s="13">
        <f t="shared" si="0"/>
        <v>25.8823529411765</v>
      </c>
      <c r="G17" s="14">
        <f t="shared" si="1"/>
        <v>0.85</v>
      </c>
      <c r="H17" s="15">
        <v>22</v>
      </c>
      <c r="I17" s="15">
        <f t="shared" si="2"/>
        <v>110</v>
      </c>
      <c r="J17" s="16"/>
    </row>
    <row r="18" s="3" customFormat="1" ht="16" customHeight="1" spans="1:10">
      <c r="A18" s="11">
        <v>13</v>
      </c>
      <c r="B18" s="11" t="s">
        <v>209</v>
      </c>
      <c r="C18" s="11" t="s">
        <v>210</v>
      </c>
      <c r="D18" s="16" t="s">
        <v>31</v>
      </c>
      <c r="E18" s="12">
        <v>1</v>
      </c>
      <c r="F18" s="13">
        <f t="shared" si="0"/>
        <v>29.4117647058824</v>
      </c>
      <c r="G18" s="14">
        <f t="shared" si="1"/>
        <v>0.85</v>
      </c>
      <c r="H18" s="15">
        <v>25</v>
      </c>
      <c r="I18" s="15">
        <f t="shared" si="2"/>
        <v>25</v>
      </c>
      <c r="J18" s="11"/>
    </row>
    <row r="19" s="3" customFormat="1" ht="16" customHeight="1" spans="1:10">
      <c r="A19" s="11">
        <v>14</v>
      </c>
      <c r="B19" s="11" t="s">
        <v>211</v>
      </c>
      <c r="C19" s="11" t="s">
        <v>30</v>
      </c>
      <c r="D19" s="11" t="s">
        <v>126</v>
      </c>
      <c r="E19" s="12">
        <v>6</v>
      </c>
      <c r="F19" s="13">
        <f t="shared" si="0"/>
        <v>10</v>
      </c>
      <c r="G19" s="14">
        <f t="shared" si="1"/>
        <v>0.85</v>
      </c>
      <c r="H19" s="15">
        <v>8.5</v>
      </c>
      <c r="I19" s="15">
        <f t="shared" si="2"/>
        <v>51</v>
      </c>
      <c r="J19" s="11"/>
    </row>
    <row r="20" s="3" customFormat="1" ht="13.5" spans="1:10">
      <c r="A20" s="11">
        <v>15</v>
      </c>
      <c r="B20" s="11" t="s">
        <v>212</v>
      </c>
      <c r="C20" s="11" t="s">
        <v>213</v>
      </c>
      <c r="D20" s="11" t="s">
        <v>31</v>
      </c>
      <c r="E20" s="12">
        <v>1</v>
      </c>
      <c r="F20" s="13">
        <f t="shared" si="0"/>
        <v>150.588235294118</v>
      </c>
      <c r="G20" s="14">
        <f t="shared" si="1"/>
        <v>0.85</v>
      </c>
      <c r="H20" s="15">
        <v>128</v>
      </c>
      <c r="I20" s="15">
        <f t="shared" si="2"/>
        <v>128</v>
      </c>
      <c r="J20" s="11"/>
    </row>
    <row r="21" s="3" customFormat="1" ht="16" customHeight="1" spans="1:10">
      <c r="A21" s="11">
        <v>16</v>
      </c>
      <c r="B21" s="11" t="s">
        <v>155</v>
      </c>
      <c r="C21" s="11"/>
      <c r="D21" s="11" t="s">
        <v>46</v>
      </c>
      <c r="E21" s="12">
        <v>27</v>
      </c>
      <c r="F21" s="13">
        <f t="shared" si="0"/>
        <v>4.11764705882353</v>
      </c>
      <c r="G21" s="14">
        <f t="shared" si="1"/>
        <v>0.85</v>
      </c>
      <c r="H21" s="15">
        <v>3.5</v>
      </c>
      <c r="I21" s="15">
        <f t="shared" si="2"/>
        <v>94.5</v>
      </c>
      <c r="J21" s="11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55</v>
      </c>
      <c r="B34" s="19">
        <f>SUM(I6:I33)</f>
        <v>1074.8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48</v>
      </c>
      <c r="B35" s="22">
        <f>B34</f>
        <v>1074.8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49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5" workbookViewId="0">
      <selection activeCell="F19" sqref="F19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7" width="11.6666666666667" style="3" customWidth="1"/>
    <col min="16318" max="16318" width="11.6666666666667" style="3"/>
    <col min="16319" max="16324" width="11" style="3"/>
    <col min="1632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50</v>
      </c>
      <c r="B3" s="3" t="s">
        <v>51</v>
      </c>
      <c r="E3" s="4"/>
    </row>
    <row r="4" s="3" customFormat="1" customHeight="1" spans="1:10">
      <c r="A4" s="3" t="s">
        <v>52</v>
      </c>
      <c r="B4" s="8">
        <v>45197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57</v>
      </c>
      <c r="C8" s="11"/>
      <c r="D8" s="12" t="s">
        <v>14</v>
      </c>
      <c r="E8" s="12">
        <v>1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3.5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14</v>
      </c>
      <c r="E9" s="12">
        <v>4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8</v>
      </c>
      <c r="J9" s="11"/>
    </row>
    <row r="10" s="3" customFormat="1" ht="16" customHeight="1" spans="1:10">
      <c r="A10" s="11">
        <v>5</v>
      </c>
      <c r="B10" s="11" t="s">
        <v>112</v>
      </c>
      <c r="C10" s="11"/>
      <c r="D10" s="12" t="s">
        <v>14</v>
      </c>
      <c r="E10" s="12">
        <v>8</v>
      </c>
      <c r="F10" s="13">
        <f t="shared" si="0"/>
        <v>2.94117647058824</v>
      </c>
      <c r="G10" s="14">
        <f t="shared" si="1"/>
        <v>0.85</v>
      </c>
      <c r="H10" s="15">
        <v>2.5</v>
      </c>
      <c r="I10" s="15">
        <f t="shared" si="2"/>
        <v>20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21</v>
      </c>
      <c r="E11" s="12">
        <v>7</v>
      </c>
      <c r="F11" s="13">
        <f t="shared" si="0"/>
        <v>3.52941176470588</v>
      </c>
      <c r="G11" s="14">
        <f t="shared" si="1"/>
        <v>0.85</v>
      </c>
      <c r="H11" s="15">
        <v>3</v>
      </c>
      <c r="I11" s="15">
        <f t="shared" si="2"/>
        <v>21</v>
      </c>
      <c r="J11" s="11"/>
    </row>
    <row r="12" s="3" customFormat="1" ht="16" customHeight="1" spans="1:10">
      <c r="A12" s="11">
        <v>7</v>
      </c>
      <c r="B12" s="16" t="s">
        <v>214</v>
      </c>
      <c r="C12" s="16"/>
      <c r="D12" s="17" t="s">
        <v>14</v>
      </c>
      <c r="E12" s="17">
        <v>15</v>
      </c>
      <c r="F12" s="13">
        <f t="shared" si="0"/>
        <v>8</v>
      </c>
      <c r="G12" s="14">
        <f t="shared" si="1"/>
        <v>0.85</v>
      </c>
      <c r="H12" s="18">
        <v>6.8</v>
      </c>
      <c r="I12" s="15">
        <f t="shared" si="2"/>
        <v>102</v>
      </c>
      <c r="J12" s="16"/>
    </row>
    <row r="13" s="3" customFormat="1" ht="16" customHeight="1" spans="1:10">
      <c r="A13" s="11">
        <v>8</v>
      </c>
      <c r="B13" s="16" t="s">
        <v>98</v>
      </c>
      <c r="C13" s="16"/>
      <c r="D13" s="17" t="s">
        <v>14</v>
      </c>
      <c r="E13" s="17">
        <v>15</v>
      </c>
      <c r="F13" s="13">
        <f t="shared" si="0"/>
        <v>4.47058823529412</v>
      </c>
      <c r="G13" s="14">
        <f t="shared" si="1"/>
        <v>0.85</v>
      </c>
      <c r="H13" s="18">
        <v>3.8</v>
      </c>
      <c r="I13" s="15">
        <f t="shared" si="2"/>
        <v>57</v>
      </c>
      <c r="J13" s="16"/>
    </row>
    <row r="14" s="3" customFormat="1" ht="16" customHeight="1" spans="1:10">
      <c r="A14" s="11">
        <v>9</v>
      </c>
      <c r="B14" s="16" t="s">
        <v>62</v>
      </c>
      <c r="C14" s="16"/>
      <c r="D14" s="17" t="s">
        <v>14</v>
      </c>
      <c r="E14" s="17">
        <v>4.8</v>
      </c>
      <c r="F14" s="13">
        <f t="shared" si="0"/>
        <v>6.47058823529412</v>
      </c>
      <c r="G14" s="14">
        <f t="shared" si="1"/>
        <v>0.85</v>
      </c>
      <c r="H14" s="18">
        <v>5.5</v>
      </c>
      <c r="I14" s="15">
        <f t="shared" si="2"/>
        <v>26.4</v>
      </c>
      <c r="J14" s="16"/>
    </row>
    <row r="15" s="3" customFormat="1" ht="16" customHeight="1" spans="1:10">
      <c r="A15" s="11">
        <v>10</v>
      </c>
      <c r="B15" s="16" t="s">
        <v>54</v>
      </c>
      <c r="C15" s="16"/>
      <c r="D15" s="17" t="s">
        <v>14</v>
      </c>
      <c r="E15" s="17">
        <v>10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35</v>
      </c>
      <c r="J15" s="16"/>
    </row>
    <row r="16" s="3" customFormat="1" ht="16" customHeight="1" spans="1:10">
      <c r="A16" s="11">
        <v>11</v>
      </c>
      <c r="B16" s="16" t="s">
        <v>215</v>
      </c>
      <c r="C16" s="16"/>
      <c r="D16" s="17" t="s">
        <v>14</v>
      </c>
      <c r="E16" s="17">
        <v>10.8</v>
      </c>
      <c r="F16" s="13">
        <f t="shared" si="0"/>
        <v>25.8823529411765</v>
      </c>
      <c r="G16" s="14">
        <f t="shared" si="1"/>
        <v>0.85</v>
      </c>
      <c r="H16" s="18">
        <v>22</v>
      </c>
      <c r="I16" s="15">
        <f t="shared" si="2"/>
        <v>237.6</v>
      </c>
      <c r="J16" s="16"/>
    </row>
    <row r="17" s="3" customFormat="1" ht="16" customHeight="1" spans="1:10">
      <c r="A17" s="11">
        <v>12</v>
      </c>
      <c r="B17" s="11" t="s">
        <v>65</v>
      </c>
      <c r="C17" s="11"/>
      <c r="D17" s="16" t="s">
        <v>14</v>
      </c>
      <c r="E17" s="12">
        <v>7</v>
      </c>
      <c r="F17" s="13">
        <f t="shared" si="0"/>
        <v>17.4117647058824</v>
      </c>
      <c r="G17" s="14">
        <f t="shared" si="1"/>
        <v>0.85</v>
      </c>
      <c r="H17" s="18">
        <v>14.8</v>
      </c>
      <c r="I17" s="15">
        <f t="shared" si="2"/>
        <v>103.6</v>
      </c>
      <c r="J17" s="11"/>
    </row>
    <row r="18" s="3" customFormat="1" ht="16" customHeight="1" spans="1:10">
      <c r="A18" s="11">
        <v>13</v>
      </c>
      <c r="B18" s="11" t="s">
        <v>25</v>
      </c>
      <c r="C18" s="11"/>
      <c r="D18" s="11" t="s">
        <v>14</v>
      </c>
      <c r="E18" s="12">
        <v>2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33.6</v>
      </c>
      <c r="J18" s="11"/>
    </row>
    <row r="19" s="3" customFormat="1" ht="13.5" spans="1:10">
      <c r="A19" s="11">
        <v>14</v>
      </c>
      <c r="B19" s="11" t="s">
        <v>216</v>
      </c>
      <c r="C19" s="11" t="s">
        <v>38</v>
      </c>
      <c r="D19" s="11" t="s">
        <v>14</v>
      </c>
      <c r="E19" s="12">
        <v>5</v>
      </c>
      <c r="F19" s="13">
        <f t="shared" si="0"/>
        <v>13.8823529411765</v>
      </c>
      <c r="G19" s="14">
        <f t="shared" si="1"/>
        <v>0.85</v>
      </c>
      <c r="H19" s="18">
        <v>11.8</v>
      </c>
      <c r="I19" s="15">
        <f t="shared" si="2"/>
        <v>59</v>
      </c>
      <c r="J19" s="11"/>
    </row>
    <row r="20" s="3" customFormat="1" customHeight="1" spans="1:10">
      <c r="A20" s="11">
        <v>15</v>
      </c>
      <c r="B20" s="13" t="s">
        <v>155</v>
      </c>
      <c r="C20" s="13"/>
      <c r="D20" s="13" t="s">
        <v>46</v>
      </c>
      <c r="E20" s="12">
        <v>50</v>
      </c>
      <c r="F20" s="13">
        <f t="shared" si="0"/>
        <v>4.11764705882353</v>
      </c>
      <c r="G20" s="14">
        <f t="shared" si="1"/>
        <v>0.85</v>
      </c>
      <c r="H20" s="18">
        <v>3.5</v>
      </c>
      <c r="I20" s="15">
        <f t="shared" si="2"/>
        <v>175</v>
      </c>
      <c r="J20" s="13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55</v>
      </c>
      <c r="B34" s="19">
        <f>SUM(I6:I33)</f>
        <v>914.2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48</v>
      </c>
      <c r="B35" s="22">
        <f>B34</f>
        <v>914.2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49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topLeftCell="A13" workbookViewId="0">
      <selection activeCell="I21" sqref="I21"/>
    </sheetView>
  </sheetViews>
  <sheetFormatPr defaultColWidth="9" defaultRowHeight="13.5" outlineLevelCol="3"/>
  <cols>
    <col min="1" max="1" width="10.375"/>
    <col min="2" max="2" width="9.375"/>
    <col min="4" max="4" width="9.375"/>
  </cols>
  <sheetData>
    <row r="1" spans="1:1">
      <c r="A1" t="s">
        <v>217</v>
      </c>
    </row>
    <row r="2" spans="1:3">
      <c r="A2" s="1" t="s">
        <v>218</v>
      </c>
      <c r="B2" s="1" t="s">
        <v>219</v>
      </c>
      <c r="C2" s="1" t="s">
        <v>220</v>
      </c>
    </row>
    <row r="3" spans="1:4">
      <c r="A3" s="2">
        <v>45170</v>
      </c>
      <c r="B3">
        <f>'1'!B34</f>
        <v>1329.3</v>
      </c>
      <c r="D3">
        <f>SUM(B3:C3)</f>
        <v>1329.3</v>
      </c>
    </row>
    <row r="4" spans="1:4">
      <c r="A4" s="2">
        <v>45171</v>
      </c>
      <c r="B4">
        <f>'2'!B33</f>
        <v>34.4</v>
      </c>
      <c r="D4">
        <f t="shared" ref="D4:D33" si="0">SUM(B4:C4)</f>
        <v>34.4</v>
      </c>
    </row>
    <row r="5" spans="1:4">
      <c r="A5" s="2">
        <v>45172</v>
      </c>
      <c r="B5">
        <v>0</v>
      </c>
      <c r="D5">
        <f t="shared" si="0"/>
        <v>0</v>
      </c>
    </row>
    <row r="6" spans="1:4">
      <c r="A6" s="2">
        <v>45173</v>
      </c>
      <c r="B6">
        <f>'4.'!B29</f>
        <v>1066.5</v>
      </c>
      <c r="D6">
        <f t="shared" si="0"/>
        <v>1066.5</v>
      </c>
    </row>
    <row r="7" spans="1:4">
      <c r="A7" s="2">
        <v>45174</v>
      </c>
      <c r="B7">
        <f>'5'!B31</f>
        <v>1013.8</v>
      </c>
      <c r="D7">
        <f t="shared" si="0"/>
        <v>1013.8</v>
      </c>
    </row>
    <row r="8" spans="1:4">
      <c r="A8" s="2">
        <v>45175</v>
      </c>
      <c r="B8">
        <f>'6'!B31</f>
        <v>1313.8</v>
      </c>
      <c r="D8">
        <f t="shared" si="0"/>
        <v>1313.8</v>
      </c>
    </row>
    <row r="9" spans="1:4">
      <c r="A9" s="2">
        <v>45176</v>
      </c>
      <c r="B9">
        <f>'7'!B33</f>
        <v>1164.6</v>
      </c>
      <c r="D9">
        <f t="shared" si="0"/>
        <v>1164.6</v>
      </c>
    </row>
    <row r="10" spans="1:4">
      <c r="A10" s="2">
        <v>45177</v>
      </c>
      <c r="B10">
        <f>'8'!B33</f>
        <v>2051.1</v>
      </c>
      <c r="D10">
        <f t="shared" si="0"/>
        <v>2051.1</v>
      </c>
    </row>
    <row r="11" spans="1:4">
      <c r="A11" s="2">
        <v>45178</v>
      </c>
      <c r="B11">
        <f>'9'!B33</f>
        <v>359.66</v>
      </c>
      <c r="D11">
        <f t="shared" si="0"/>
        <v>359.66</v>
      </c>
    </row>
    <row r="12" spans="1:4">
      <c r="A12" s="2">
        <v>45179</v>
      </c>
      <c r="B12">
        <v>0</v>
      </c>
      <c r="D12">
        <f t="shared" si="0"/>
        <v>0</v>
      </c>
    </row>
    <row r="13" spans="1:4">
      <c r="A13" s="2">
        <v>45180</v>
      </c>
      <c r="B13">
        <f>'11'!B34</f>
        <v>2193.1</v>
      </c>
      <c r="D13">
        <f t="shared" si="0"/>
        <v>2193.1</v>
      </c>
    </row>
    <row r="14" spans="1:4">
      <c r="A14" s="2">
        <v>45181</v>
      </c>
      <c r="B14">
        <f>'12'!B32</f>
        <v>1339.746</v>
      </c>
      <c r="D14">
        <f t="shared" si="0"/>
        <v>1339.746</v>
      </c>
    </row>
    <row r="15" spans="1:4">
      <c r="A15" s="2">
        <v>45182</v>
      </c>
      <c r="B15">
        <f>'13'!B32</f>
        <v>1149.49</v>
      </c>
      <c r="D15">
        <f t="shared" si="0"/>
        <v>1149.49</v>
      </c>
    </row>
    <row r="16" spans="1:4">
      <c r="A16" s="2">
        <v>45183</v>
      </c>
      <c r="B16">
        <f>'14'!B32</f>
        <v>1531.8</v>
      </c>
      <c r="D16">
        <f t="shared" si="0"/>
        <v>1531.8</v>
      </c>
    </row>
    <row r="17" spans="1:4">
      <c r="A17" s="2">
        <v>45184</v>
      </c>
      <c r="B17">
        <f>'15'!B32</f>
        <v>1335.8</v>
      </c>
      <c r="D17">
        <f t="shared" si="0"/>
        <v>1335.8</v>
      </c>
    </row>
    <row r="18" spans="1:4">
      <c r="A18" s="2">
        <v>45185</v>
      </c>
      <c r="B18">
        <v>0</v>
      </c>
      <c r="D18">
        <f t="shared" si="0"/>
        <v>0</v>
      </c>
    </row>
    <row r="19" spans="1:4">
      <c r="A19" s="2">
        <v>45186</v>
      </c>
      <c r="B19">
        <v>0</v>
      </c>
      <c r="D19">
        <f t="shared" si="0"/>
        <v>0</v>
      </c>
    </row>
    <row r="20" spans="1:4">
      <c r="A20" s="2">
        <v>45187</v>
      </c>
      <c r="B20">
        <f>'18'!B31</f>
        <v>1941.4</v>
      </c>
      <c r="D20">
        <f t="shared" si="0"/>
        <v>1941.4</v>
      </c>
    </row>
    <row r="21" spans="1:4">
      <c r="A21" s="2">
        <v>45188</v>
      </c>
      <c r="B21">
        <f>'19'!B33</f>
        <v>2107.8</v>
      </c>
      <c r="D21">
        <f t="shared" si="0"/>
        <v>2107.8</v>
      </c>
    </row>
    <row r="22" spans="1:4">
      <c r="A22" s="2">
        <v>45189</v>
      </c>
      <c r="B22">
        <f>'20.'!B33</f>
        <v>2691.1</v>
      </c>
      <c r="D22">
        <f t="shared" si="0"/>
        <v>2691.1</v>
      </c>
    </row>
    <row r="23" spans="1:4">
      <c r="A23" s="2">
        <v>45190</v>
      </c>
      <c r="B23">
        <f>'21.'!B31</f>
        <v>1560.588</v>
      </c>
      <c r="D23">
        <f t="shared" si="0"/>
        <v>1560.588</v>
      </c>
    </row>
    <row r="24" spans="1:4">
      <c r="A24" s="2">
        <v>45191</v>
      </c>
      <c r="B24">
        <f>'22'!B30</f>
        <v>1890.66</v>
      </c>
      <c r="D24">
        <f t="shared" si="0"/>
        <v>1890.66</v>
      </c>
    </row>
    <row r="25" spans="1:4">
      <c r="A25" s="2">
        <v>45192</v>
      </c>
      <c r="B25">
        <f>'23'!B30</f>
        <v>707.1</v>
      </c>
      <c r="D25">
        <f t="shared" si="0"/>
        <v>707.1</v>
      </c>
    </row>
    <row r="26" spans="1:4">
      <c r="A26" s="2">
        <v>45193</v>
      </c>
      <c r="B26">
        <f>'24'!B34</f>
        <v>1419.92</v>
      </c>
      <c r="D26">
        <f t="shared" si="0"/>
        <v>1419.92</v>
      </c>
    </row>
    <row r="27" spans="1:4">
      <c r="A27" s="2">
        <v>45194</v>
      </c>
      <c r="B27">
        <f>'25'!B33</f>
        <v>1870.3</v>
      </c>
      <c r="D27">
        <f t="shared" si="0"/>
        <v>1870.3</v>
      </c>
    </row>
    <row r="28" spans="1:4">
      <c r="A28" s="2">
        <v>45195</v>
      </c>
      <c r="B28">
        <f>'26'!B34</f>
        <v>1074.8</v>
      </c>
      <c r="D28">
        <f t="shared" si="0"/>
        <v>1074.8</v>
      </c>
    </row>
    <row r="29" spans="1:4">
      <c r="A29" s="2">
        <v>45196</v>
      </c>
      <c r="B29">
        <f>'27'!B32</f>
        <v>1539.1</v>
      </c>
      <c r="D29">
        <f t="shared" si="0"/>
        <v>1539.1</v>
      </c>
    </row>
    <row r="30" spans="1:4">
      <c r="A30" s="2">
        <v>45197</v>
      </c>
      <c r="B30">
        <f>'28'!B34</f>
        <v>914.2</v>
      </c>
      <c r="D30">
        <f t="shared" si="0"/>
        <v>914.2</v>
      </c>
    </row>
    <row r="31" spans="1:4">
      <c r="A31" s="2">
        <v>45198</v>
      </c>
      <c r="B31">
        <v>0</v>
      </c>
      <c r="D31">
        <f t="shared" si="0"/>
        <v>0</v>
      </c>
    </row>
    <row r="32" spans="1:4">
      <c r="A32" s="2">
        <v>45199</v>
      </c>
      <c r="B32">
        <v>0</v>
      </c>
      <c r="D32">
        <f t="shared" si="0"/>
        <v>0</v>
      </c>
    </row>
    <row r="33" spans="1:4">
      <c r="A33" t="s">
        <v>221</v>
      </c>
      <c r="B33">
        <f>SUM(B3:B32)</f>
        <v>33600.064</v>
      </c>
      <c r="C33">
        <f>SUM(C3:C32)</f>
        <v>0</v>
      </c>
      <c r="D33">
        <f>SUM(D3:D32)</f>
        <v>33600.064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1</vt:lpstr>
      <vt:lpstr>2</vt:lpstr>
      <vt:lpstr>4.</vt:lpstr>
      <vt:lpstr>5</vt:lpstr>
      <vt:lpstr>6</vt:lpstr>
      <vt:lpstr>7</vt:lpstr>
      <vt:lpstr>8</vt:lpstr>
      <vt:lpstr>9</vt:lpstr>
      <vt:lpstr>11</vt:lpstr>
      <vt:lpstr>12</vt:lpstr>
      <vt:lpstr>13</vt:lpstr>
      <vt:lpstr>14</vt:lpstr>
      <vt:lpstr>15</vt:lpstr>
      <vt:lpstr>18</vt:lpstr>
      <vt:lpstr>19</vt:lpstr>
      <vt:lpstr>20.</vt:lpstr>
      <vt:lpstr>21.</vt:lpstr>
      <vt:lpstr>22</vt:lpstr>
      <vt:lpstr>23</vt:lpstr>
      <vt:lpstr>24</vt:lpstr>
      <vt:lpstr>25</vt:lpstr>
      <vt:lpstr>27</vt:lpstr>
      <vt:lpstr>26</vt:lpstr>
      <vt:lpstr>28</vt:lpstr>
      <vt:lpstr>9月合计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2025-02-14T15:02:04Z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