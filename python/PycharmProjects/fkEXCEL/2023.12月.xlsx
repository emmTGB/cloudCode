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864" activeTab="22"/>
  </bookViews>
  <sheets>
    <sheet name="1" sheetId="47" r:id="rId1"/>
    <sheet name="4" sheetId="6" r:id="rId2"/>
    <sheet name="5" sheetId="41" r:id="rId3"/>
    <sheet name="6" sheetId="11" r:id="rId4"/>
    <sheet name="7" sheetId="12" r:id="rId5"/>
    <sheet name="8" sheetId="13" r:id="rId6"/>
    <sheet name="9" sheetId="49" r:id="rId7"/>
    <sheet name="11" sheetId="32" r:id="rId8"/>
    <sheet name="12" sheetId="42" r:id="rId9"/>
    <sheet name="13" sheetId="17" r:id="rId10"/>
    <sheet name="14" sheetId="18" r:id="rId11"/>
    <sheet name="15" sheetId="19" r:id="rId12"/>
    <sheet name="18" sheetId="43" r:id="rId13"/>
    <sheet name="19" sheetId="44" r:id="rId14"/>
    <sheet name="20." sheetId="24" r:id="rId15"/>
    <sheet name="21." sheetId="22" r:id="rId16"/>
    <sheet name="22" sheetId="34" r:id="rId17"/>
    <sheet name="25" sheetId="35" r:id="rId18"/>
    <sheet name="26" sheetId="25" r:id="rId19"/>
    <sheet name="27" sheetId="28" r:id="rId20"/>
    <sheet name="28" sheetId="48" r:id="rId21"/>
    <sheet name="29" sheetId="50" r:id="rId22"/>
    <sheet name="12月合计" sheetId="7" r:id="rId23"/>
  </sheets>
  <definedNames>
    <definedName name="_xlnm.Print_Area" localSheetId="1">'4'!$A$1:$J$34</definedName>
    <definedName name="_xlnm.Print_Area" localSheetId="3">'6'!$A$1:$J$35</definedName>
    <definedName name="_xlnm.Print_Area" localSheetId="4">'7'!$A$1:$J$36</definedName>
    <definedName name="_xlnm.Print_Area" localSheetId="5">'8'!$A$1:$J$36</definedName>
    <definedName name="_xlnm.Print_Area" localSheetId="9">'13'!$A$1:$J$35</definedName>
    <definedName name="_xlnm.Print_Area" localSheetId="10">'14'!$A$1:$J$33</definedName>
    <definedName name="_xlnm.Print_Area" localSheetId="11">'15'!$A$1:$J$36</definedName>
    <definedName name="_xlnm.Print_Area" localSheetId="15">'21.'!$A$1:$J$32</definedName>
    <definedName name="_xlnm.Print_Area" localSheetId="14">'20.'!$A$1:$J$36</definedName>
    <definedName name="_xlnm.Print_Area" localSheetId="18">'26'!$A$1:$J$36</definedName>
    <definedName name="_xlnm.Print_Area" localSheetId="19">'27'!$A$1:$J$36</definedName>
    <definedName name="_xlnm.Print_Area" localSheetId="7">'11'!$A$1:$J$35</definedName>
    <definedName name="_xlnm.Print_Area" localSheetId="16">'22'!$A$1:$J$36</definedName>
    <definedName name="_xlnm.Print_Area" localSheetId="17">'25'!$A$1:$J$36</definedName>
    <definedName name="_xlnm.Print_Area" localSheetId="2">'5'!$A$1:$J$36</definedName>
    <definedName name="_xlnm.Print_Area" localSheetId="8">'12'!$A$1:$J$36</definedName>
    <definedName name="_xlnm.Print_Area" localSheetId="12">'18'!$A$1:$J$36</definedName>
    <definedName name="_xlnm.Print_Area" localSheetId="13">'19'!$A$1:$J$35</definedName>
    <definedName name="_xlnm.Print_Area" localSheetId="0">'1'!$A$1:$J$35</definedName>
    <definedName name="_xlnm.Print_Area" localSheetId="20">'28'!$A$1:$J$34</definedName>
    <definedName name="_xlnm.Print_Area" localSheetId="6">'9'!$A$1:$J$36</definedName>
    <definedName name="_xlnm.Print_Area" localSheetId="21">'29'!$A$1:$J$52</definedName>
    <definedName name="_xlnm._FilterDatabase" localSheetId="8" hidden="1">'12'!$5:$5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<sst xmlns="http://schemas.openxmlformats.org/spreadsheetml/2006/main" count="1366" uniqueCount="241">
  <si>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</si>
  <si>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</si>
  <si>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</si>
  <si>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</si>
  <si>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</si>
  <si>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</si>
  <si>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</si>
  <si>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</si>
  <si>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</si>
  <si>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</si>
  <si>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</si>
  <si>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</si>
  <si>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</si>
  <si>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</si>
  <si>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</si>
  <si>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</si>
  <si>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干细粉</t>
  </si>
  <si>
    <t>散称</t>
  </si>
  <si>
    <t>馄饨皮</t>
  </si>
  <si>
    <t>热干面（熟）</t>
  </si>
  <si>
    <t>小葱</t>
  </si>
  <si>
    <t>青豆角</t>
  </si>
  <si>
    <t>白萝卜</t>
  </si>
  <si>
    <t>胡萝卜</t>
  </si>
  <si>
    <t>蒜苗</t>
  </si>
  <si>
    <t>甜玉米棒</t>
  </si>
  <si>
    <t>个</t>
  </si>
  <si>
    <t>紫长茄子（细长）</t>
  </si>
  <si>
    <t>大白菜</t>
  </si>
  <si>
    <t>牛脊骨</t>
  </si>
  <si>
    <t>鲜羊肉（纯肉去骨）</t>
  </si>
  <si>
    <t>【鲜】五花肉沫</t>
  </si>
  <si>
    <t>1911老酸奶</t>
  </si>
  <si>
    <t>杯</t>
  </si>
  <si>
    <t>卤牛骨头</t>
  </si>
  <si>
    <t>卤牛肉</t>
  </si>
  <si>
    <t>供货合计:</t>
  </si>
  <si>
    <t>金额大写：</t>
  </si>
  <si>
    <t>制表人 ：樊君丽                 收货人：                送货人：</t>
  </si>
  <si>
    <t>饺子皮</t>
  </si>
  <si>
    <t>烧麦皮</t>
  </si>
  <si>
    <t>大藕</t>
  </si>
  <si>
    <t>红椒</t>
  </si>
  <si>
    <t>芜湖青椒</t>
  </si>
  <si>
    <t>平菇</t>
  </si>
  <si>
    <t>韭菜</t>
  </si>
  <si>
    <t>上海青（小颗）</t>
  </si>
  <si>
    <t>红壳鸡蛋</t>
  </si>
  <si>
    <t>12板/件</t>
  </si>
  <si>
    <t>件</t>
  </si>
  <si>
    <t>【鲜】净麻鸭</t>
  </si>
  <si>
    <t>【鲜】猪瘦肉片</t>
  </si>
  <si>
    <t>【鲜】净大草鱼</t>
  </si>
  <si>
    <t>鲁至尊面粉</t>
  </si>
  <si>
    <t>25kg</t>
  </si>
  <si>
    <t>袋</t>
  </si>
  <si>
    <t>生姜</t>
  </si>
  <si>
    <t>细土芹</t>
  </si>
  <si>
    <t>香菜</t>
  </si>
  <si>
    <t>丑八怪柑</t>
  </si>
  <si>
    <t>嫩豆腐</t>
  </si>
  <si>
    <t>熟鹌鹑蛋</t>
  </si>
  <si>
    <t>【鲜】精品五花</t>
  </si>
  <si>
    <t>【鲜】净胖头鱼头</t>
  </si>
  <si>
    <t>海天草菇老抽1.9L</t>
  </si>
  <si>
    <t>1.9L*6壶/件</t>
  </si>
  <si>
    <t>劲宝超级生粉</t>
  </si>
  <si>
    <t>5kg</t>
  </si>
  <si>
    <t>合鑫泰东北珍珠香米</t>
  </si>
  <si>
    <t>25kg/包</t>
  </si>
  <si>
    <t>玉米片</t>
  </si>
  <si>
    <t>正和珍珠糯米</t>
  </si>
  <si>
    <t>50斤/袋</t>
  </si>
  <si>
    <t>生面窝浆</t>
  </si>
  <si>
    <t>大土豆</t>
  </si>
  <si>
    <t>鲜香菇</t>
  </si>
  <si>
    <t>油麦菜</t>
  </si>
  <si>
    <t>【鲜】净三黄鸡</t>
  </si>
  <si>
    <t>【鲜】猪通排骨</t>
  </si>
  <si>
    <t>西芹</t>
  </si>
  <si>
    <t>有机花菜</t>
  </si>
  <si>
    <t>老南瓜</t>
  </si>
  <si>
    <t>平包菜</t>
  </si>
  <si>
    <t>苹果</t>
  </si>
  <si>
    <t>厚干子</t>
  </si>
  <si>
    <t>小麦仁</t>
  </si>
  <si>
    <t>鑫怡久久海带头</t>
  </si>
  <si>
    <t>9KG/件</t>
  </si>
  <si>
    <t>高粱米</t>
  </si>
  <si>
    <t>荞麦米</t>
  </si>
  <si>
    <t>燕麦米</t>
  </si>
  <si>
    <t>玉米碎</t>
  </si>
  <si>
    <t>黄豆芽</t>
  </si>
  <si>
    <t>四季豆</t>
  </si>
  <si>
    <t>生菜</t>
  </si>
  <si>
    <t>薄千张</t>
  </si>
  <si>
    <t>鲜羊蝎子</t>
  </si>
  <si>
    <t>泽西客巴沙鱼</t>
  </si>
  <si>
    <t>5斤/袋*4袋/件</t>
  </si>
  <si>
    <t>云鹤精制碘盐</t>
  </si>
  <si>
    <t>500g*50袋/件</t>
  </si>
  <si>
    <t>金龙鱼玉米油</t>
  </si>
  <si>
    <t>5L*4壶/件</t>
  </si>
  <si>
    <t>光明健能酸奶180g</t>
  </si>
  <si>
    <t>180g</t>
  </si>
  <si>
    <t>西红柿</t>
  </si>
  <si>
    <t>冬瓜</t>
  </si>
  <si>
    <t>清水笋丝</t>
  </si>
  <si>
    <t>2.5kg*6包/件</t>
  </si>
  <si>
    <t>包</t>
  </si>
  <si>
    <t>鑫石羊郫县豆瓣酱1kg</t>
  </si>
  <si>
    <t>1kg*8桶/件</t>
  </si>
  <si>
    <t>桶</t>
  </si>
  <si>
    <t>红油榨菜丝</t>
  </si>
  <si>
    <t>1.5kg*6袋/件</t>
  </si>
  <si>
    <t>大红薯</t>
  </si>
  <si>
    <t>螺丝椒</t>
  </si>
  <si>
    <t>紫薯</t>
  </si>
  <si>
    <t>白菜苔</t>
  </si>
  <si>
    <t>香蕉</t>
  </si>
  <si>
    <t>【鲜】净黄骨鱼</t>
  </si>
  <si>
    <t>思念白糯小汤圆（无馅）</t>
  </si>
  <si>
    <t>500g*20包/件</t>
  </si>
  <si>
    <t>孝感米酒900g</t>
  </si>
  <si>
    <t>900g*6瓶/件</t>
  </si>
  <si>
    <t>瓶</t>
  </si>
  <si>
    <t>大圆皮</t>
  </si>
  <si>
    <t>蒜米</t>
  </si>
  <si>
    <t>西兰花</t>
  </si>
  <si>
    <t>杏鲍菇</t>
  </si>
  <si>
    <t>菠菜</t>
  </si>
  <si>
    <t>小白菜</t>
  </si>
  <si>
    <t>卤牛肚</t>
  </si>
  <si>
    <t>铁棍山药</t>
  </si>
  <si>
    <t>果冻橙</t>
  </si>
  <si>
    <t>新鲜牛脖骨</t>
  </si>
  <si>
    <t>【鲜】猪瘦肉丝</t>
  </si>
  <si>
    <t>百味佳香脆炸粉</t>
  </si>
  <si>
    <t>1.2kg/袋</t>
  </si>
  <si>
    <t>桂皮</t>
  </si>
  <si>
    <t>净芋头</t>
  </si>
  <si>
    <t>（去皮，小）</t>
  </si>
  <si>
    <t>【鲜】猪五花肉片</t>
  </si>
  <si>
    <t>【鲜】猪血</t>
  </si>
  <si>
    <t>黄瓜</t>
  </si>
  <si>
    <t>香梨</t>
  </si>
  <si>
    <t>【鲜】基围虾</t>
  </si>
  <si>
    <t>奥利客烘焙调理奶油</t>
  </si>
  <si>
    <t>907g/12瓶/件</t>
  </si>
  <si>
    <t>爆浆糍粑</t>
  </si>
  <si>
    <t>300克</t>
  </si>
  <si>
    <t>鸿升泰桂花白糖米糕</t>
  </si>
  <si>
    <t>400g*16袋</t>
  </si>
  <si>
    <t>太合鸡脯肉</t>
  </si>
  <si>
    <t>9.8kg/件</t>
  </si>
  <si>
    <t>南德调味料</t>
  </si>
  <si>
    <t>150g*46袋</t>
  </si>
  <si>
    <t>三象水磨糯米粉</t>
  </si>
  <si>
    <t>500g</t>
  </si>
  <si>
    <t>双效泡打粉（小袋）</t>
  </si>
  <si>
    <t>50g</t>
  </si>
  <si>
    <t>王守义十三香</t>
  </si>
  <si>
    <t>45g*10盒/条</t>
  </si>
  <si>
    <t>盒</t>
  </si>
  <si>
    <t>太合琵琶腿</t>
  </si>
  <si>
    <t>10kg/件</t>
  </si>
  <si>
    <t>白豆蔻</t>
  </si>
  <si>
    <t>干白芷片</t>
  </si>
  <si>
    <t>王致和精制料酒500ml</t>
  </si>
  <si>
    <t>500ml*15瓶/件</t>
  </si>
  <si>
    <t>香砂仁</t>
  </si>
  <si>
    <t>厨师乐加鲜味精</t>
  </si>
  <si>
    <t>2.27kg*10袋/件</t>
  </si>
  <si>
    <t>水塔陈醋</t>
  </si>
  <si>
    <t>刀豆</t>
  </si>
  <si>
    <t>红菜苔</t>
  </si>
  <si>
    <t>青椒</t>
  </si>
  <si>
    <t>李锦记蒸鱼豉油1.9L</t>
  </si>
  <si>
    <t>1.9L*6瓶/件</t>
  </si>
  <si>
    <t>海天金标生抽1.9L</t>
  </si>
  <si>
    <t>箱</t>
  </si>
  <si>
    <t>大葱</t>
  </si>
  <si>
    <t>青杭椒</t>
  </si>
  <si>
    <t>新鲜甜青豆米</t>
  </si>
  <si>
    <t>新鲜玉米粒</t>
  </si>
  <si>
    <t>【鲜】筒子骨</t>
  </si>
  <si>
    <t>净鳝鱼</t>
  </si>
  <si>
    <t>白芝麻/38斤</t>
  </si>
  <si>
    <t>双塔龙口粉丝</t>
  </si>
  <si>
    <t>500g*24袋/件</t>
  </si>
  <si>
    <t>红米</t>
  </si>
  <si>
    <t>黑米</t>
  </si>
  <si>
    <t>金针菇</t>
  </si>
  <si>
    <t>面筋</t>
  </si>
  <si>
    <t>85苹果</t>
  </si>
  <si>
    <t>白色臭干子</t>
  </si>
  <si>
    <t>【鲜】猪后腿肉</t>
  </si>
  <si>
    <t>（冻）川香鸡柳</t>
  </si>
  <si>
    <t>25支*10袋/件</t>
  </si>
  <si>
    <t>骨肉相连</t>
  </si>
  <si>
    <t>40g*10袋（25根/袋）/件</t>
  </si>
  <si>
    <t>佳芳奥尔良翅中</t>
  </si>
  <si>
    <t>900g*10袋/件</t>
  </si>
  <si>
    <t>薯条（冻 ）</t>
  </si>
  <si>
    <t>2kg*6袋/件</t>
  </si>
  <si>
    <t>蒸肉白米粉（粗）</t>
  </si>
  <si>
    <t>卤香干</t>
  </si>
  <si>
    <t>水果黄瓜</t>
  </si>
  <si>
    <t>净泥蒿（去叶）</t>
  </si>
  <si>
    <t>苦菊</t>
  </si>
  <si>
    <t>球形生菜</t>
  </si>
  <si>
    <t>紫甘蓝</t>
  </si>
  <si>
    <t>龙眼</t>
  </si>
  <si>
    <t>砂糖桔</t>
  </si>
  <si>
    <t>圣女果</t>
  </si>
  <si>
    <t>圣女果（黄色）</t>
  </si>
  <si>
    <t>公螃蟹（4两）</t>
  </si>
  <si>
    <t>只</t>
  </si>
  <si>
    <t>净田鸡</t>
  </si>
  <si>
    <t>旺食堂蒙古肉</t>
  </si>
  <si>
    <t>500g*24袋</t>
  </si>
  <si>
    <t>干莲子米（去芯）</t>
  </si>
  <si>
    <t>亨氏番茄沙司</t>
  </si>
  <si>
    <t>90g*30袋/件</t>
  </si>
  <si>
    <t>丘比沙拉酱香甜口味1kg</t>
  </si>
  <si>
    <t>1kg/瓶</t>
  </si>
  <si>
    <t>十月稻田三色糙米</t>
  </si>
  <si>
    <t>2.5kg/袋</t>
  </si>
  <si>
    <t>百事可乐600ml（瓶）</t>
  </si>
  <si>
    <t>600ml/瓶</t>
  </si>
  <si>
    <t>水溶C100西柚汁</t>
  </si>
  <si>
    <t>250ml*12瓶/件</t>
  </si>
  <si>
    <t>外星人电解质水</t>
  </si>
  <si>
    <t>300ml*6瓶/件</t>
  </si>
  <si>
    <t>元气森林（白桃味）</t>
  </si>
  <si>
    <t>280ml*12瓶/箱</t>
  </si>
  <si>
    <t>冷记酱板鸭</t>
  </si>
  <si>
    <t>39号食堂</t>
  </si>
  <si>
    <t>日期</t>
  </si>
  <si>
    <t>单1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</si>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</sst>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3" workbookViewId="0">
      <selection activeCell="H21" sqref="H2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45261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12</v>
      </c>
      <c r="J6" s="12"/>
    </row>
    <row r="7" s="3" customFormat="1" ht="16" customHeight="1" spans="1:10">
      <c r="A7" s="12">
        <v>2</v>
      </c>
      <c r="B7" s="12" t="s">
        <v>16</v>
      </c>
      <c r="C7" s="12" t="s">
        <v>17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3" customFormat="1" ht="16" customHeight="1" spans="1:10">
      <c r="A8" s="12">
        <v>3</v>
      </c>
      <c r="B8" s="12" t="s">
        <v>18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3" customFormat="1" ht="16" customHeight="1" spans="1:10">
      <c r="A9" s="12">
        <v>4</v>
      </c>
      <c r="B9" s="17" t="s">
        <v>19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3" customFormat="1" ht="16" customHeight="1" spans="1:10">
      <c r="A10" s="12">
        <v>5</v>
      </c>
      <c r="B10" s="17" t="s">
        <v>20</v>
      </c>
      <c r="C10" s="17"/>
      <c r="D10" s="13" t="s">
        <v>15</v>
      </c>
      <c r="E10" s="13">
        <v>1</v>
      </c>
      <c r="F10" s="14">
        <f t="shared" si="0"/>
        <v>8</v>
      </c>
      <c r="G10" s="15">
        <f t="shared" si="1"/>
        <v>0.85</v>
      </c>
      <c r="H10" s="16">
        <v>6.8</v>
      </c>
      <c r="I10" s="16">
        <f t="shared" si="2"/>
        <v>6.8</v>
      </c>
      <c r="J10" s="12"/>
    </row>
    <row r="11" s="3" customFormat="1" ht="16" customHeight="1" spans="1:10">
      <c r="A11" s="12">
        <v>6</v>
      </c>
      <c r="B11" s="12" t="s">
        <v>21</v>
      </c>
      <c r="C11" s="12"/>
      <c r="D11" s="13" t="s">
        <v>15</v>
      </c>
      <c r="E11" s="13">
        <v>6</v>
      </c>
      <c r="F11" s="14">
        <f t="shared" si="0"/>
        <v>6.82352941176471</v>
      </c>
      <c r="G11" s="15">
        <f t="shared" si="1"/>
        <v>0.85</v>
      </c>
      <c r="H11" s="16">
        <v>5.8</v>
      </c>
      <c r="I11" s="16">
        <f t="shared" si="2"/>
        <v>34.8</v>
      </c>
      <c r="J11" s="12"/>
    </row>
    <row r="12" s="3" customFormat="1" ht="16" customHeight="1" spans="1:10">
      <c r="A12" s="12">
        <v>7</v>
      </c>
      <c r="B12" s="12" t="s">
        <v>22</v>
      </c>
      <c r="C12" s="12"/>
      <c r="D12" s="13" t="s">
        <v>15</v>
      </c>
      <c r="E12" s="13">
        <v>10</v>
      </c>
      <c r="F12" s="14">
        <f t="shared" si="0"/>
        <v>2.35294117647059</v>
      </c>
      <c r="G12" s="15">
        <f t="shared" si="1"/>
        <v>0.85</v>
      </c>
      <c r="H12" s="16">
        <v>2</v>
      </c>
      <c r="I12" s="16">
        <f t="shared" si="2"/>
        <v>20</v>
      </c>
      <c r="J12" s="12"/>
    </row>
    <row r="13" s="3" customFormat="1" ht="16" customHeight="1" spans="1:10">
      <c r="A13" s="12">
        <v>8</v>
      </c>
      <c r="B13" s="17" t="s">
        <v>23</v>
      </c>
      <c r="C13" s="17"/>
      <c r="D13" s="18" t="s">
        <v>15</v>
      </c>
      <c r="E13" s="18">
        <v>9</v>
      </c>
      <c r="F13" s="14">
        <f t="shared" ref="F13:F24" si="3">H13/0.85</f>
        <v>2.94117647058824</v>
      </c>
      <c r="G13" s="15">
        <f t="shared" ref="G13:G24" si="4">H13/F13</f>
        <v>0.85</v>
      </c>
      <c r="H13" s="16">
        <v>2.5</v>
      </c>
      <c r="I13" s="16">
        <f t="shared" ref="I13:I24" si="5">E13*H13</f>
        <v>22.5</v>
      </c>
      <c r="J13" s="17"/>
    </row>
    <row r="14" s="3" customFormat="1" ht="16" customHeight="1" spans="1:10">
      <c r="A14" s="12">
        <v>9</v>
      </c>
      <c r="B14" s="17" t="s">
        <v>24</v>
      </c>
      <c r="C14" s="17"/>
      <c r="D14" s="18" t="s">
        <v>15</v>
      </c>
      <c r="E14" s="18">
        <v>3</v>
      </c>
      <c r="F14" s="14">
        <f t="shared" si="3"/>
        <v>11.5294117647059</v>
      </c>
      <c r="G14" s="15">
        <f t="shared" si="4"/>
        <v>0.85</v>
      </c>
      <c r="H14" s="16">
        <v>9.8</v>
      </c>
      <c r="I14" s="16">
        <f t="shared" si="5"/>
        <v>29.4</v>
      </c>
      <c r="J14" s="17"/>
    </row>
    <row r="15" s="3" customFormat="1" ht="16" customHeight="1" spans="1:10">
      <c r="A15" s="12">
        <v>10</v>
      </c>
      <c r="B15" s="17" t="s">
        <v>25</v>
      </c>
      <c r="C15" s="17"/>
      <c r="D15" s="18" t="s">
        <v>26</v>
      </c>
      <c r="E15" s="18">
        <v>13</v>
      </c>
      <c r="F15" s="14">
        <f t="shared" si="3"/>
        <v>3.52941176470588</v>
      </c>
      <c r="G15" s="15">
        <f t="shared" si="4"/>
        <v>0.85</v>
      </c>
      <c r="H15" s="16">
        <v>3</v>
      </c>
      <c r="I15" s="16">
        <f t="shared" si="5"/>
        <v>39</v>
      </c>
      <c r="J15" s="17"/>
    </row>
    <row r="16" s="3" customFormat="1" ht="16" customHeight="1" spans="1:10">
      <c r="A16" s="12">
        <v>11</v>
      </c>
      <c r="B16" s="17" t="s">
        <v>27</v>
      </c>
      <c r="C16" s="17"/>
      <c r="D16" s="18" t="s">
        <v>15</v>
      </c>
      <c r="E16" s="18">
        <v>7</v>
      </c>
      <c r="F16" s="14">
        <f t="shared" si="3"/>
        <v>4.47058823529412</v>
      </c>
      <c r="G16" s="15">
        <f t="shared" si="4"/>
        <v>0.85</v>
      </c>
      <c r="H16" s="16">
        <v>3.8</v>
      </c>
      <c r="I16" s="16">
        <f t="shared" si="5"/>
        <v>26.6</v>
      </c>
      <c r="J16" s="17"/>
    </row>
    <row r="17" s="3" customFormat="1" ht="16" customHeight="1" spans="1:10">
      <c r="A17" s="12">
        <v>12</v>
      </c>
      <c r="B17" s="17" t="s">
        <v>28</v>
      </c>
      <c r="C17" s="17"/>
      <c r="D17" s="18" t="s">
        <v>15</v>
      </c>
      <c r="E17" s="18">
        <v>14</v>
      </c>
      <c r="F17" s="14">
        <f t="shared" si="3"/>
        <v>2.11764705882353</v>
      </c>
      <c r="G17" s="15">
        <f t="shared" si="4"/>
        <v>0.85</v>
      </c>
      <c r="H17" s="16">
        <v>1.8</v>
      </c>
      <c r="I17" s="16">
        <f t="shared" si="5"/>
        <v>25.2</v>
      </c>
      <c r="J17" s="17"/>
    </row>
    <row r="18" s="3" customFormat="1" ht="16" customHeight="1" spans="1:10">
      <c r="A18" s="12">
        <v>13</v>
      </c>
      <c r="B18" s="12" t="s">
        <v>29</v>
      </c>
      <c r="C18" s="12"/>
      <c r="D18" s="13" t="s">
        <v>15</v>
      </c>
      <c r="E18" s="13">
        <v>8</v>
      </c>
      <c r="F18" s="14">
        <f t="shared" si="3"/>
        <v>25.8823529411765</v>
      </c>
      <c r="G18" s="15">
        <f t="shared" si="4"/>
        <v>0.85</v>
      </c>
      <c r="H18" s="16">
        <v>22</v>
      </c>
      <c r="I18" s="16">
        <f t="shared" si="5"/>
        <v>176</v>
      </c>
      <c r="J18" s="12"/>
    </row>
    <row r="19" s="3" customFormat="1" ht="16" customHeight="1" spans="1:10">
      <c r="A19" s="12">
        <v>14</v>
      </c>
      <c r="B19" s="17" t="s">
        <v>30</v>
      </c>
      <c r="C19" s="17"/>
      <c r="D19" s="18" t="s">
        <v>15</v>
      </c>
      <c r="E19" s="18">
        <v>8</v>
      </c>
      <c r="F19" s="14">
        <f t="shared" si="3"/>
        <v>56.4705882352941</v>
      </c>
      <c r="G19" s="15">
        <f t="shared" si="4"/>
        <v>0.85</v>
      </c>
      <c r="H19" s="16">
        <v>48</v>
      </c>
      <c r="I19" s="16">
        <f t="shared" si="5"/>
        <v>384</v>
      </c>
      <c r="J19" s="17"/>
    </row>
    <row r="20" s="3" customFormat="1" ht="16" customHeight="1" spans="1:10">
      <c r="A20" s="12">
        <v>15</v>
      </c>
      <c r="B20" s="17" t="s">
        <v>31</v>
      </c>
      <c r="C20" s="17"/>
      <c r="D20" s="18" t="s">
        <v>15</v>
      </c>
      <c r="E20" s="18">
        <v>2</v>
      </c>
      <c r="F20" s="14">
        <f t="shared" si="3"/>
        <v>16.2352941176471</v>
      </c>
      <c r="G20" s="15">
        <f t="shared" si="4"/>
        <v>0.85</v>
      </c>
      <c r="H20" s="16">
        <v>13.8</v>
      </c>
      <c r="I20" s="16">
        <f t="shared" si="5"/>
        <v>27.6</v>
      </c>
      <c r="J20" s="17"/>
    </row>
    <row r="21" s="3" customFormat="1" ht="16" customHeight="1" spans="1:10">
      <c r="A21" s="12">
        <v>16</v>
      </c>
      <c r="B21" s="17" t="s">
        <v>32</v>
      </c>
      <c r="C21" s="17"/>
      <c r="D21" s="18" t="s">
        <v>33</v>
      </c>
      <c r="E21" s="18">
        <v>45</v>
      </c>
      <c r="F21" s="14">
        <f t="shared" si="3"/>
        <v>4.11764705882353</v>
      </c>
      <c r="G21" s="15">
        <f t="shared" si="4"/>
        <v>0.85</v>
      </c>
      <c r="H21" s="16">
        <v>3.5</v>
      </c>
      <c r="I21" s="16">
        <f t="shared" si="5"/>
        <v>157.5</v>
      </c>
      <c r="J21" s="17"/>
    </row>
    <row r="22" s="3" customFormat="1" ht="16" customHeight="1" spans="1:10">
      <c r="A22" s="12">
        <v>17</v>
      </c>
      <c r="B22" s="17" t="s">
        <v>34</v>
      </c>
      <c r="C22" s="17"/>
      <c r="D22" s="18" t="s">
        <v>15</v>
      </c>
      <c r="E22" s="18">
        <v>6</v>
      </c>
      <c r="F22" s="14">
        <f t="shared" si="3"/>
        <v>51.7647058823529</v>
      </c>
      <c r="G22" s="15">
        <f t="shared" si="4"/>
        <v>0.85</v>
      </c>
      <c r="H22" s="16">
        <v>44</v>
      </c>
      <c r="I22" s="16">
        <f t="shared" si="5"/>
        <v>264</v>
      </c>
      <c r="J22" s="17"/>
    </row>
    <row r="23" s="3" customFormat="1" ht="16" customHeight="1" spans="1:10">
      <c r="A23" s="12">
        <v>18</v>
      </c>
      <c r="B23" s="17" t="s">
        <v>35</v>
      </c>
      <c r="C23" s="17"/>
      <c r="D23" s="18" t="s">
        <v>15</v>
      </c>
      <c r="E23" s="18">
        <v>4</v>
      </c>
      <c r="F23" s="14">
        <f t="shared" si="3"/>
        <v>103.529411764706</v>
      </c>
      <c r="G23" s="15">
        <f t="shared" si="4"/>
        <v>0.85</v>
      </c>
      <c r="H23" s="16">
        <v>88</v>
      </c>
      <c r="I23" s="16">
        <f t="shared" si="5"/>
        <v>352</v>
      </c>
      <c r="J23" s="17"/>
    </row>
    <row r="24" s="3" customFormat="1" ht="16" customHeight="1" spans="1:10">
      <c r="A24" s="12">
        <v>19</v>
      </c>
      <c r="B24" s="12"/>
      <c r="C24" s="12"/>
      <c r="D24" s="13"/>
      <c r="E24" s="13"/>
      <c r="F24" s="14"/>
      <c r="G24" s="15"/>
      <c r="H24" s="16"/>
      <c r="I24" s="16"/>
      <c r="J24" s="12"/>
    </row>
    <row r="25" s="3" customFormat="1" ht="16" customHeight="1" spans="1:10">
      <c r="A25" s="12">
        <v>20</v>
      </c>
      <c r="B25" s="17"/>
      <c r="C25" s="17"/>
      <c r="D25" s="13"/>
      <c r="E25" s="13"/>
      <c r="F25" s="14"/>
      <c r="G25" s="15"/>
      <c r="H25" s="16"/>
      <c r="I25" s="16"/>
      <c r="J25" s="12"/>
    </row>
    <row r="26" s="3" customFormat="1" ht="16" customHeight="1" spans="1:10">
      <c r="A26" s="12">
        <v>21</v>
      </c>
      <c r="B26" s="17"/>
      <c r="C26" s="17"/>
      <c r="D26" s="17"/>
      <c r="E26" s="18"/>
      <c r="F26" s="14"/>
      <c r="G26" s="15"/>
      <c r="H26" s="16"/>
      <c r="I26" s="16"/>
      <c r="J26" s="17"/>
    </row>
    <row r="27" s="3" customFormat="1" ht="16" customHeight="1" spans="1:10">
      <c r="A27" s="12">
        <v>22</v>
      </c>
      <c r="B27" s="12"/>
      <c r="C27" s="12"/>
      <c r="D27" s="17"/>
      <c r="E27" s="13"/>
      <c r="F27" s="14"/>
      <c r="G27" s="15"/>
      <c r="H27" s="16"/>
      <c r="I27" s="16"/>
      <c r="J27" s="12"/>
    </row>
    <row r="28" s="3" customFormat="1" ht="16" customHeight="1" spans="1:10">
      <c r="A28" s="12">
        <v>23</v>
      </c>
      <c r="B28" s="34"/>
      <c r="C28" s="12"/>
      <c r="D28" s="17"/>
      <c r="E28" s="13"/>
      <c r="F28" s="14"/>
      <c r="G28" s="15"/>
      <c r="H28" s="16"/>
      <c r="I28" s="16"/>
      <c r="J28" s="12"/>
    </row>
    <row r="29" s="3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customHeight="1" spans="1:10">
      <c r="A33" s="12" t="s">
        <v>36</v>
      </c>
      <c r="B33" s="25">
        <f>SUM(I6:I32)</f>
        <v>1619.4</v>
      </c>
      <c r="C33" s="26"/>
      <c r="D33" s="26"/>
      <c r="E33" s="26"/>
      <c r="F33" s="26"/>
      <c r="G33" s="26"/>
      <c r="H33" s="26"/>
      <c r="I33" s="26"/>
      <c r="J33" s="31"/>
    </row>
    <row r="34" s="3" customFormat="1" customHeight="1" spans="1:10">
      <c r="A34" s="12" t="s">
        <v>37</v>
      </c>
      <c r="B34" s="28">
        <f>B33</f>
        <v>1619.4</v>
      </c>
      <c r="C34" s="29"/>
      <c r="D34" s="29"/>
      <c r="E34" s="29"/>
      <c r="F34" s="29"/>
      <c r="G34" s="29"/>
      <c r="H34" s="29"/>
      <c r="I34" s="29"/>
      <c r="J34" s="32"/>
    </row>
    <row r="35" s="3" customFormat="1" customHeight="1" spans="1:1">
      <c r="A35" s="3" t="s">
        <v>38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4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6" workbookViewId="0">
      <selection activeCell="A20" sqref="$A20:$XFD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45264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8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24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2" t="s">
        <v>39</v>
      </c>
      <c r="C8" s="12"/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3" customFormat="1" ht="16" customHeight="1" spans="1:10">
      <c r="A9" s="12">
        <v>4</v>
      </c>
      <c r="B9" s="17" t="s">
        <v>19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3" customFormat="1" ht="16" customHeight="1" spans="1:10">
      <c r="A10" s="12">
        <v>5</v>
      </c>
      <c r="B10" s="17" t="s">
        <v>40</v>
      </c>
      <c r="C10" s="17"/>
      <c r="D10" s="13" t="s">
        <v>15</v>
      </c>
      <c r="E10" s="13">
        <v>2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7</v>
      </c>
      <c r="J10" s="12"/>
    </row>
    <row r="11" s="3" customFormat="1" ht="16" customHeight="1" spans="1:10">
      <c r="A11" s="12">
        <v>6</v>
      </c>
      <c r="B11" s="12" t="s">
        <v>41</v>
      </c>
      <c r="C11" s="12"/>
      <c r="D11" s="13" t="s">
        <v>15</v>
      </c>
      <c r="E11" s="13">
        <v>18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68.4</v>
      </c>
      <c r="J11" s="12"/>
    </row>
    <row r="12" s="3" customFormat="1" ht="16" customHeight="1" spans="1:10">
      <c r="A12" s="12">
        <v>7</v>
      </c>
      <c r="B12" s="12" t="s">
        <v>42</v>
      </c>
      <c r="C12" s="12"/>
      <c r="D12" s="13" t="s">
        <v>15</v>
      </c>
      <c r="E12" s="13">
        <v>3</v>
      </c>
      <c r="F12" s="14">
        <f t="shared" si="0"/>
        <v>8.82352941176471</v>
      </c>
      <c r="G12" s="15">
        <f t="shared" si="1"/>
        <v>0.85</v>
      </c>
      <c r="H12" s="16">
        <v>7.5</v>
      </c>
      <c r="I12" s="16">
        <f t="shared" si="2"/>
        <v>22.5</v>
      </c>
      <c r="J12" s="12"/>
    </row>
    <row r="13" s="3" customFormat="1" ht="16" customHeight="1" spans="1:10">
      <c r="A13" s="12">
        <v>8</v>
      </c>
      <c r="B13" s="12" t="s">
        <v>23</v>
      </c>
      <c r="C13" s="12"/>
      <c r="D13" s="13" t="s">
        <v>15</v>
      </c>
      <c r="E13" s="13">
        <v>8</v>
      </c>
      <c r="F13" s="14">
        <f t="shared" ref="F13:F25" si="3">H13/0.85</f>
        <v>2.94117647058824</v>
      </c>
      <c r="G13" s="15">
        <f t="shared" ref="G13:G25" si="4">H13/F13</f>
        <v>0.85</v>
      </c>
      <c r="H13" s="16">
        <v>2.5</v>
      </c>
      <c r="I13" s="16">
        <f t="shared" ref="I13:I25" si="5">E13*H13</f>
        <v>20</v>
      </c>
      <c r="J13" s="12"/>
    </row>
    <row r="14" s="3" customFormat="1" ht="16" customHeight="1" spans="1:10">
      <c r="A14" s="12">
        <v>9</v>
      </c>
      <c r="B14" s="17" t="s">
        <v>43</v>
      </c>
      <c r="C14" s="17"/>
      <c r="D14" s="18" t="s">
        <v>15</v>
      </c>
      <c r="E14" s="18">
        <v>6</v>
      </c>
      <c r="F14" s="14">
        <f t="shared" si="3"/>
        <v>4.70588235294118</v>
      </c>
      <c r="G14" s="15">
        <f t="shared" si="4"/>
        <v>0.85</v>
      </c>
      <c r="H14" s="16">
        <v>4</v>
      </c>
      <c r="I14" s="16">
        <f t="shared" si="5"/>
        <v>24</v>
      </c>
      <c r="J14" s="17"/>
    </row>
    <row r="15" s="3" customFormat="1" ht="16" customHeight="1" spans="1:10">
      <c r="A15" s="12">
        <v>10</v>
      </c>
      <c r="B15" s="17" t="s">
        <v>44</v>
      </c>
      <c r="C15" s="17"/>
      <c r="D15" s="18" t="s">
        <v>15</v>
      </c>
      <c r="E15" s="18">
        <v>2</v>
      </c>
      <c r="F15" s="14">
        <f t="shared" si="3"/>
        <v>9.17647058823529</v>
      </c>
      <c r="G15" s="15">
        <f t="shared" si="4"/>
        <v>0.85</v>
      </c>
      <c r="H15" s="16">
        <v>7.8</v>
      </c>
      <c r="I15" s="16">
        <f t="shared" si="5"/>
        <v>15.6</v>
      </c>
      <c r="J15" s="17"/>
    </row>
    <row r="16" s="3" customFormat="1" ht="16" customHeight="1" spans="1:10">
      <c r="A16" s="12">
        <v>12</v>
      </c>
      <c r="B16" s="17" t="s">
        <v>45</v>
      </c>
      <c r="C16" s="17"/>
      <c r="D16" s="18" t="s">
        <v>15</v>
      </c>
      <c r="E16" s="18">
        <v>3</v>
      </c>
      <c r="F16" s="14">
        <f t="shared" si="3"/>
        <v>5.64705882352941</v>
      </c>
      <c r="G16" s="15">
        <f t="shared" si="4"/>
        <v>0.85</v>
      </c>
      <c r="H16" s="16">
        <v>4.8</v>
      </c>
      <c r="I16" s="16">
        <f t="shared" si="5"/>
        <v>14.4</v>
      </c>
      <c r="J16" s="17"/>
    </row>
    <row r="17" s="3" customFormat="1" ht="16" customHeight="1" spans="1:10">
      <c r="A17" s="12">
        <v>13</v>
      </c>
      <c r="B17" s="17" t="s">
        <v>46</v>
      </c>
      <c r="C17" s="17"/>
      <c r="D17" s="18" t="s">
        <v>15</v>
      </c>
      <c r="E17" s="18">
        <v>16</v>
      </c>
      <c r="F17" s="14">
        <f t="shared" si="3"/>
        <v>2.94117647058824</v>
      </c>
      <c r="G17" s="15">
        <f t="shared" si="4"/>
        <v>0.85</v>
      </c>
      <c r="H17" s="16">
        <v>2.5</v>
      </c>
      <c r="I17" s="16">
        <f t="shared" si="5"/>
        <v>40</v>
      </c>
      <c r="J17" s="17"/>
    </row>
    <row r="18" s="3" customFormat="1" ht="16" customHeight="1" spans="1:10">
      <c r="A18" s="12">
        <v>14</v>
      </c>
      <c r="B18" s="17" t="s">
        <v>47</v>
      </c>
      <c r="C18" s="17" t="s">
        <v>48</v>
      </c>
      <c r="D18" s="18" t="s">
        <v>49</v>
      </c>
      <c r="E18" s="18">
        <v>1</v>
      </c>
      <c r="F18" s="14">
        <f t="shared" si="3"/>
        <v>352.941176470588</v>
      </c>
      <c r="G18" s="15">
        <f t="shared" si="4"/>
        <v>0.85</v>
      </c>
      <c r="H18" s="16">
        <v>300</v>
      </c>
      <c r="I18" s="16">
        <f t="shared" si="5"/>
        <v>300</v>
      </c>
      <c r="J18" s="17"/>
    </row>
    <row r="19" s="3" customFormat="1" ht="16" customHeight="1" spans="1:10">
      <c r="A19" s="12">
        <v>15</v>
      </c>
      <c r="B19" s="12" t="s">
        <v>50</v>
      </c>
      <c r="C19" s="12"/>
      <c r="D19" s="13" t="s">
        <v>15</v>
      </c>
      <c r="E19" s="13">
        <v>17.3</v>
      </c>
      <c r="F19" s="14">
        <f t="shared" si="3"/>
        <v>25.8823529411765</v>
      </c>
      <c r="G19" s="15">
        <f t="shared" si="4"/>
        <v>0.85</v>
      </c>
      <c r="H19" s="16">
        <v>22</v>
      </c>
      <c r="I19" s="16">
        <f t="shared" si="5"/>
        <v>380.6</v>
      </c>
      <c r="J19" s="12"/>
    </row>
    <row r="20" s="3" customFormat="1" ht="16" customHeight="1" spans="1:10">
      <c r="A20" s="12">
        <v>16</v>
      </c>
      <c r="B20" s="17" t="s">
        <v>31</v>
      </c>
      <c r="C20" s="17"/>
      <c r="D20" s="18" t="s">
        <v>15</v>
      </c>
      <c r="E20" s="18">
        <v>4</v>
      </c>
      <c r="F20" s="14">
        <f t="shared" si="3"/>
        <v>16.2352941176471</v>
      </c>
      <c r="G20" s="15">
        <f t="shared" si="4"/>
        <v>0.85</v>
      </c>
      <c r="H20" s="16">
        <v>13.8</v>
      </c>
      <c r="I20" s="16">
        <f t="shared" si="5"/>
        <v>55.2</v>
      </c>
      <c r="J20" s="17"/>
    </row>
    <row r="21" s="3" customFormat="1" ht="16" customHeight="1" spans="1:10">
      <c r="A21" s="12">
        <v>17</v>
      </c>
      <c r="B21" s="17" t="s">
        <v>51</v>
      </c>
      <c r="C21" s="17"/>
      <c r="D21" s="18" t="s">
        <v>15</v>
      </c>
      <c r="E21" s="18">
        <v>5</v>
      </c>
      <c r="F21" s="14">
        <f t="shared" si="3"/>
        <v>23.5294117647059</v>
      </c>
      <c r="G21" s="15">
        <f t="shared" si="4"/>
        <v>0.85</v>
      </c>
      <c r="H21" s="16">
        <v>20</v>
      </c>
      <c r="I21" s="16">
        <f t="shared" si="5"/>
        <v>100</v>
      </c>
      <c r="J21" s="17"/>
    </row>
    <row r="22" s="3" customFormat="1" ht="16" customHeight="1" spans="1:10">
      <c r="A22" s="12">
        <v>18</v>
      </c>
      <c r="B22" s="17" t="s">
        <v>52</v>
      </c>
      <c r="C22" s="17"/>
      <c r="D22" s="18" t="s">
        <v>15</v>
      </c>
      <c r="E22" s="18">
        <v>14.7</v>
      </c>
      <c r="F22" s="14">
        <f t="shared" si="3"/>
        <v>16.2352941176471</v>
      </c>
      <c r="G22" s="15">
        <f t="shared" si="4"/>
        <v>0.85</v>
      </c>
      <c r="H22" s="16">
        <v>13.8</v>
      </c>
      <c r="I22" s="16">
        <f t="shared" si="5"/>
        <v>202.86</v>
      </c>
      <c r="J22" s="17"/>
    </row>
    <row r="23" s="3" customFormat="1" ht="16" customHeight="1" spans="1:10">
      <c r="A23" s="12">
        <v>19</v>
      </c>
      <c r="B23" s="17" t="s">
        <v>53</v>
      </c>
      <c r="C23" s="17" t="s">
        <v>54</v>
      </c>
      <c r="D23" s="17" t="s">
        <v>55</v>
      </c>
      <c r="E23" s="18">
        <v>1</v>
      </c>
      <c r="F23" s="14">
        <f t="shared" si="3"/>
        <v>174.117647058824</v>
      </c>
      <c r="G23" s="15">
        <f t="shared" si="4"/>
        <v>0.85</v>
      </c>
      <c r="H23" s="16">
        <v>148</v>
      </c>
      <c r="I23" s="16">
        <f t="shared" si="5"/>
        <v>148</v>
      </c>
      <c r="J23" s="17"/>
    </row>
    <row r="24" s="3" customFormat="1" ht="16" customHeight="1" spans="1:10">
      <c r="A24" s="12">
        <v>20</v>
      </c>
      <c r="B24" s="17" t="s">
        <v>32</v>
      </c>
      <c r="C24" s="17"/>
      <c r="D24" s="18" t="s">
        <v>33</v>
      </c>
      <c r="E24" s="18">
        <v>50</v>
      </c>
      <c r="F24" s="14">
        <f t="shared" si="3"/>
        <v>4.11764705882353</v>
      </c>
      <c r="G24" s="15">
        <f t="shared" si="4"/>
        <v>0.85</v>
      </c>
      <c r="H24" s="16">
        <v>3.5</v>
      </c>
      <c r="I24" s="16">
        <f t="shared" si="5"/>
        <v>175</v>
      </c>
      <c r="J24" s="17"/>
    </row>
    <row r="25" s="3" customFormat="1" ht="16" customHeight="1" spans="1:10">
      <c r="A25" s="12">
        <v>21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3" customFormat="1" ht="16" customHeight="1" spans="1:10">
      <c r="A26" s="12">
        <v>22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3" customFormat="1" ht="16" customHeight="1" spans="1:10">
      <c r="A27" s="12">
        <v>23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3" customFormat="1" ht="16" customHeight="1" spans="1:10">
      <c r="A28" s="12">
        <v>24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3" customFormat="1" ht="16" customHeight="1" spans="1:10">
      <c r="A29" s="12">
        <v>25</v>
      </c>
      <c r="B29" s="34"/>
      <c r="C29" s="12"/>
      <c r="D29" s="17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26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27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customHeight="1" spans="1:10">
      <c r="A32" s="12" t="s">
        <v>36</v>
      </c>
      <c r="B32" s="25">
        <f>SUM(I6:I31)</f>
        <v>1643.06</v>
      </c>
      <c r="C32" s="26"/>
      <c r="D32" s="26"/>
      <c r="E32" s="26"/>
      <c r="F32" s="26"/>
      <c r="G32" s="26"/>
      <c r="H32" s="26"/>
      <c r="I32" s="26"/>
      <c r="J32" s="31"/>
    </row>
    <row r="33" s="3" customFormat="1" customHeight="1" spans="1:10">
      <c r="A33" s="12" t="s">
        <v>37</v>
      </c>
      <c r="B33" s="28">
        <f>B32</f>
        <v>1643.06</v>
      </c>
      <c r="C33" s="29"/>
      <c r="D33" s="29"/>
      <c r="E33" s="29"/>
      <c r="F33" s="29"/>
      <c r="G33" s="29"/>
      <c r="H33" s="29"/>
      <c r="I33" s="29"/>
      <c r="J33" s="32"/>
    </row>
    <row r="34" s="3" customFormat="1" customHeight="1" spans="1:1">
      <c r="A34" s="3" t="s">
        <v>38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9" workbookViewId="0">
      <selection activeCell="E18" sqref="E1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45265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15</v>
      </c>
      <c r="J6" s="12"/>
    </row>
    <row r="7" s="3" customFormat="1" ht="16" customHeight="1" spans="1:10">
      <c r="A7" s="12">
        <v>2</v>
      </c>
      <c r="B7" s="12" t="s">
        <v>19</v>
      </c>
      <c r="C7" s="12"/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3" customFormat="1" ht="16" customHeight="1" spans="1:10">
      <c r="A8" s="12">
        <v>3</v>
      </c>
      <c r="B8" s="12" t="s">
        <v>56</v>
      </c>
      <c r="C8" s="12"/>
      <c r="D8" s="13" t="s">
        <v>15</v>
      </c>
      <c r="E8" s="13">
        <v>5</v>
      </c>
      <c r="F8" s="14">
        <f t="shared" si="0"/>
        <v>15.0588235294118</v>
      </c>
      <c r="G8" s="15">
        <f t="shared" si="1"/>
        <v>0.85</v>
      </c>
      <c r="H8" s="16">
        <v>12.8</v>
      </c>
      <c r="I8" s="16">
        <f t="shared" si="2"/>
        <v>64</v>
      </c>
      <c r="J8" s="12"/>
    </row>
    <row r="9" s="3" customFormat="1" ht="16" customHeight="1" spans="1:10">
      <c r="A9" s="12">
        <v>4</v>
      </c>
      <c r="B9" s="17" t="s">
        <v>25</v>
      </c>
      <c r="C9" s="17"/>
      <c r="D9" s="13" t="s">
        <v>26</v>
      </c>
      <c r="E9" s="13">
        <v>8</v>
      </c>
      <c r="F9" s="14">
        <f t="shared" si="0"/>
        <v>3.52941176470588</v>
      </c>
      <c r="G9" s="15">
        <f t="shared" si="1"/>
        <v>0.85</v>
      </c>
      <c r="H9" s="16">
        <v>3</v>
      </c>
      <c r="I9" s="16">
        <f t="shared" si="2"/>
        <v>24</v>
      </c>
      <c r="J9" s="12"/>
    </row>
    <row r="10" s="3" customFormat="1" ht="16" customHeight="1" spans="1:10">
      <c r="A10" s="12">
        <v>5</v>
      </c>
      <c r="B10" s="17" t="s">
        <v>27</v>
      </c>
      <c r="C10" s="17"/>
      <c r="D10" s="13" t="s">
        <v>15</v>
      </c>
      <c r="E10" s="13">
        <v>15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57</v>
      </c>
      <c r="J10" s="12"/>
    </row>
    <row r="11" s="3" customFormat="1" ht="16" customHeight="1" spans="1:10">
      <c r="A11" s="12">
        <v>6</v>
      </c>
      <c r="B11" s="12" t="s">
        <v>28</v>
      </c>
      <c r="C11" s="12"/>
      <c r="D11" s="13" t="s">
        <v>15</v>
      </c>
      <c r="E11" s="13">
        <v>14</v>
      </c>
      <c r="F11" s="14">
        <f t="shared" si="0"/>
        <v>2.11764705882353</v>
      </c>
      <c r="G11" s="15">
        <f t="shared" si="1"/>
        <v>0.85</v>
      </c>
      <c r="H11" s="16">
        <v>1.8</v>
      </c>
      <c r="I11" s="16">
        <f t="shared" si="2"/>
        <v>25.2</v>
      </c>
      <c r="J11" s="12"/>
    </row>
    <row r="12" s="3" customFormat="1" ht="16" customHeight="1" spans="1:10">
      <c r="A12" s="12">
        <v>7</v>
      </c>
      <c r="B12" s="12" t="s">
        <v>57</v>
      </c>
      <c r="C12" s="12"/>
      <c r="D12" s="13" t="s">
        <v>15</v>
      </c>
      <c r="E12" s="13">
        <v>2</v>
      </c>
      <c r="F12" s="14">
        <f t="shared" si="0"/>
        <v>5.64705882352941</v>
      </c>
      <c r="G12" s="15">
        <f t="shared" si="1"/>
        <v>0.85</v>
      </c>
      <c r="H12" s="16">
        <v>4.8</v>
      </c>
      <c r="I12" s="16">
        <f t="shared" si="2"/>
        <v>9.6</v>
      </c>
      <c r="J12" s="12"/>
    </row>
    <row r="13" s="3" customFormat="1" ht="16" customHeight="1" spans="1:10">
      <c r="A13" s="12">
        <v>8</v>
      </c>
      <c r="B13" s="12" t="s">
        <v>58</v>
      </c>
      <c r="C13" s="12"/>
      <c r="D13" s="13" t="s">
        <v>15</v>
      </c>
      <c r="E13" s="13">
        <v>1</v>
      </c>
      <c r="F13" s="14">
        <f t="shared" si="0"/>
        <v>9.41176470588235</v>
      </c>
      <c r="G13" s="15">
        <f t="shared" si="1"/>
        <v>0.85</v>
      </c>
      <c r="H13" s="16">
        <v>8</v>
      </c>
      <c r="I13" s="16">
        <f t="shared" si="2"/>
        <v>8</v>
      </c>
      <c r="J13" s="12"/>
    </row>
    <row r="14" s="3" customFormat="1" ht="16" customHeight="1" spans="1:10">
      <c r="A14" s="12">
        <v>9</v>
      </c>
      <c r="B14" s="17" t="s">
        <v>59</v>
      </c>
      <c r="C14" s="17"/>
      <c r="D14" s="18" t="s">
        <v>15</v>
      </c>
      <c r="E14" s="18">
        <v>28.4</v>
      </c>
      <c r="F14" s="14">
        <f t="shared" si="0"/>
        <v>5.88235294117647</v>
      </c>
      <c r="G14" s="15">
        <f t="shared" si="1"/>
        <v>0.85</v>
      </c>
      <c r="H14" s="16">
        <v>5</v>
      </c>
      <c r="I14" s="16">
        <f t="shared" si="2"/>
        <v>142</v>
      </c>
      <c r="J14" s="17"/>
    </row>
    <row r="15" s="3" customFormat="1" ht="16" customHeight="1" spans="1:10">
      <c r="A15" s="12">
        <v>10</v>
      </c>
      <c r="B15" s="17" t="s">
        <v>60</v>
      </c>
      <c r="C15" s="17"/>
      <c r="D15" s="18" t="s">
        <v>15</v>
      </c>
      <c r="E15" s="18">
        <v>6</v>
      </c>
      <c r="F15" s="14">
        <f t="shared" si="0"/>
        <v>4.11764705882353</v>
      </c>
      <c r="G15" s="15">
        <f t="shared" si="1"/>
        <v>0.85</v>
      </c>
      <c r="H15" s="16">
        <v>3.5</v>
      </c>
      <c r="I15" s="16">
        <f t="shared" si="2"/>
        <v>21</v>
      </c>
      <c r="J15" s="17"/>
    </row>
    <row r="16" s="3" customFormat="1" ht="16" customHeight="1" spans="1:10">
      <c r="A16" s="12">
        <v>11</v>
      </c>
      <c r="B16" s="17" t="s">
        <v>61</v>
      </c>
      <c r="C16" s="17"/>
      <c r="D16" s="18" t="s">
        <v>15</v>
      </c>
      <c r="E16" s="18">
        <v>4</v>
      </c>
      <c r="F16" s="14">
        <f t="shared" si="0"/>
        <v>16.2352941176471</v>
      </c>
      <c r="G16" s="15">
        <f t="shared" si="1"/>
        <v>0.85</v>
      </c>
      <c r="H16" s="16">
        <v>13.8</v>
      </c>
      <c r="I16" s="16">
        <f t="shared" si="2"/>
        <v>55.2</v>
      </c>
      <c r="J16" s="17"/>
    </row>
    <row r="17" s="3" customFormat="1" ht="16" customHeight="1" spans="1:10">
      <c r="A17" s="12">
        <v>12</v>
      </c>
      <c r="B17" s="17" t="s">
        <v>62</v>
      </c>
      <c r="C17" s="17"/>
      <c r="D17" s="18" t="s">
        <v>15</v>
      </c>
      <c r="E17" s="18">
        <v>10</v>
      </c>
      <c r="F17" s="14">
        <f t="shared" si="0"/>
        <v>22.9411764705882</v>
      </c>
      <c r="G17" s="15">
        <f t="shared" si="1"/>
        <v>0.85</v>
      </c>
      <c r="H17" s="16">
        <v>19.5</v>
      </c>
      <c r="I17" s="16">
        <f t="shared" si="2"/>
        <v>195</v>
      </c>
      <c r="J17" s="17"/>
    </row>
    <row r="18" s="3" customFormat="1" ht="16" customHeight="1" spans="1:10">
      <c r="A18" s="12">
        <v>13</v>
      </c>
      <c r="B18" s="34" t="s">
        <v>63</v>
      </c>
      <c r="C18" s="12"/>
      <c r="D18" s="13" t="s">
        <v>15</v>
      </c>
      <c r="E18" s="13">
        <v>6.7</v>
      </c>
      <c r="F18" s="14">
        <f t="shared" si="0"/>
        <v>23.5294117647059</v>
      </c>
      <c r="G18" s="15">
        <f t="shared" si="1"/>
        <v>0.85</v>
      </c>
      <c r="H18" s="16">
        <v>20</v>
      </c>
      <c r="I18" s="16">
        <f t="shared" si="2"/>
        <v>134</v>
      </c>
      <c r="J18" s="17"/>
    </row>
    <row r="19" s="3" customFormat="1" ht="16" customHeight="1" spans="1:10">
      <c r="A19" s="12">
        <v>14</v>
      </c>
      <c r="B19" s="17" t="s">
        <v>64</v>
      </c>
      <c r="C19" s="17" t="s">
        <v>65</v>
      </c>
      <c r="D19" s="18" t="s">
        <v>49</v>
      </c>
      <c r="E19" s="18">
        <v>1</v>
      </c>
      <c r="F19" s="14">
        <f t="shared" si="0"/>
        <v>170.588235294118</v>
      </c>
      <c r="G19" s="15">
        <f t="shared" si="1"/>
        <v>0.85</v>
      </c>
      <c r="H19" s="16">
        <v>145</v>
      </c>
      <c r="I19" s="16">
        <f t="shared" si="2"/>
        <v>145</v>
      </c>
      <c r="J19" s="12"/>
    </row>
    <row r="20" s="3" customFormat="1" ht="16" customHeight="1" spans="1:10">
      <c r="A20" s="12">
        <v>15</v>
      </c>
      <c r="B20" s="17" t="s">
        <v>66</v>
      </c>
      <c r="C20" s="17" t="s">
        <v>67</v>
      </c>
      <c r="D20" s="18" t="s">
        <v>55</v>
      </c>
      <c r="E20" s="18">
        <v>1</v>
      </c>
      <c r="F20" s="14">
        <f t="shared" si="0"/>
        <v>97.6470588235294</v>
      </c>
      <c r="G20" s="15">
        <f t="shared" si="1"/>
        <v>0.85</v>
      </c>
      <c r="H20" s="16">
        <v>83</v>
      </c>
      <c r="I20" s="16">
        <f t="shared" si="2"/>
        <v>83</v>
      </c>
      <c r="J20" s="17"/>
    </row>
    <row r="21" s="3" customFormat="1" ht="16" customHeight="1" spans="1:10">
      <c r="A21" s="12">
        <v>16</v>
      </c>
      <c r="B21" s="17" t="s">
        <v>68</v>
      </c>
      <c r="C21" s="17" t="s">
        <v>69</v>
      </c>
      <c r="D21" s="18" t="s">
        <v>55</v>
      </c>
      <c r="E21" s="18">
        <v>2</v>
      </c>
      <c r="F21" s="14">
        <f t="shared" si="0"/>
        <v>205.882352941176</v>
      </c>
      <c r="G21" s="15">
        <f t="shared" si="1"/>
        <v>0.85</v>
      </c>
      <c r="H21" s="16">
        <v>175</v>
      </c>
      <c r="I21" s="16">
        <f t="shared" si="2"/>
        <v>350</v>
      </c>
      <c r="J21" s="17"/>
    </row>
    <row r="22" s="3" customFormat="1" ht="16" customHeight="1" spans="1:10">
      <c r="A22" s="12">
        <v>17</v>
      </c>
      <c r="B22" s="17" t="s">
        <v>70</v>
      </c>
      <c r="C22" s="17" t="s">
        <v>17</v>
      </c>
      <c r="D22" s="17" t="s">
        <v>15</v>
      </c>
      <c r="E22" s="18">
        <v>1</v>
      </c>
      <c r="F22" s="14">
        <f t="shared" si="0"/>
        <v>5.29411764705882</v>
      </c>
      <c r="G22" s="15">
        <f t="shared" si="1"/>
        <v>0.85</v>
      </c>
      <c r="H22" s="16">
        <v>4.5</v>
      </c>
      <c r="I22" s="16">
        <f t="shared" si="2"/>
        <v>4.5</v>
      </c>
      <c r="J22" s="17"/>
    </row>
    <row r="23" s="3" customFormat="1" ht="16" customHeight="1" spans="1:10">
      <c r="A23" s="12">
        <v>18</v>
      </c>
      <c r="B23" s="17" t="s">
        <v>71</v>
      </c>
      <c r="C23" s="17" t="s">
        <v>72</v>
      </c>
      <c r="D23" s="18" t="s">
        <v>15</v>
      </c>
      <c r="E23" s="18">
        <v>4</v>
      </c>
      <c r="F23" s="14">
        <f t="shared" si="0"/>
        <v>5.76470588235294</v>
      </c>
      <c r="G23" s="15">
        <f t="shared" si="1"/>
        <v>0.85</v>
      </c>
      <c r="H23" s="16">
        <v>4.9</v>
      </c>
      <c r="I23" s="16">
        <f t="shared" si="2"/>
        <v>19.6</v>
      </c>
      <c r="J23" s="17"/>
    </row>
    <row r="24" s="3" customFormat="1" ht="16" customHeight="1" spans="1:10">
      <c r="A24" s="12">
        <v>19</v>
      </c>
      <c r="B24" s="17" t="s">
        <v>35</v>
      </c>
      <c r="C24" s="17"/>
      <c r="D24" s="18" t="s">
        <v>15</v>
      </c>
      <c r="E24" s="18">
        <v>5</v>
      </c>
      <c r="F24" s="14">
        <f t="shared" si="0"/>
        <v>103.529411764706</v>
      </c>
      <c r="G24" s="15">
        <f t="shared" si="1"/>
        <v>0.85</v>
      </c>
      <c r="H24" s="16">
        <v>88</v>
      </c>
      <c r="I24" s="16">
        <f t="shared" si="2"/>
        <v>440</v>
      </c>
      <c r="J24" s="17"/>
    </row>
    <row r="25" s="3" customFormat="1" ht="16" customHeight="1" spans="1:10">
      <c r="A25" s="12">
        <v>20</v>
      </c>
      <c r="B25" s="17"/>
      <c r="C25" s="17"/>
      <c r="D25" s="18"/>
      <c r="E25" s="18"/>
      <c r="F25" s="14"/>
      <c r="G25" s="15"/>
      <c r="H25" s="19"/>
      <c r="I25" s="16"/>
      <c r="J25" s="17"/>
    </row>
    <row r="26" s="3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3" customFormat="1" ht="16" customHeight="1" spans="1:10">
      <c r="A27" s="12">
        <v>22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3" customFormat="1" ht="16" customHeight="1" spans="1:10">
      <c r="A28" s="12">
        <v>23</v>
      </c>
      <c r="B28" s="17"/>
      <c r="C28" s="17"/>
      <c r="D28" s="17"/>
      <c r="E28" s="18"/>
      <c r="F28" s="14"/>
      <c r="G28" s="15"/>
      <c r="H28" s="16"/>
      <c r="I28" s="16"/>
      <c r="J28" s="17"/>
    </row>
    <row r="29" s="3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25</v>
      </c>
      <c r="B30" s="34"/>
      <c r="C30" s="12"/>
      <c r="D30" s="17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3" customFormat="1" customHeight="1" spans="1:10">
      <c r="A34" s="12" t="s">
        <v>36</v>
      </c>
      <c r="B34" s="25">
        <f>SUM(I6:I33)</f>
        <v>1813.1</v>
      </c>
      <c r="C34" s="26"/>
      <c r="D34" s="26"/>
      <c r="E34" s="26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1813.1</v>
      </c>
      <c r="C35" s="29"/>
      <c r="D35" s="29"/>
      <c r="E35" s="29"/>
      <c r="F35" s="29"/>
      <c r="G35" s="29"/>
      <c r="H35" s="29"/>
      <c r="I35" s="29"/>
      <c r="J35" s="32"/>
    </row>
    <row r="36" s="3" customFormat="1" customHeight="1" spans="1:1">
      <c r="A36" s="3" t="s">
        <v>38</v>
      </c>
    </row>
  </sheetData>
  <sortState ref="A16:I23">
    <sortCondition ref="A16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4" workbookViewId="0">
      <selection activeCell="B22" sqref="B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45266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14" si="0">H6/0.85</f>
        <v>3.52941176470588</v>
      </c>
      <c r="G6" s="15">
        <f t="shared" ref="G6:G14" si="1">H6/F6</f>
        <v>0.85</v>
      </c>
      <c r="H6" s="16">
        <v>3</v>
      </c>
      <c r="I6" s="16">
        <f t="shared" ref="I6:I14" si="2">E6*H6</f>
        <v>15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3" customFormat="1" ht="16" customHeight="1" spans="1:10">
      <c r="A9" s="12">
        <v>4</v>
      </c>
      <c r="B9" s="17" t="s">
        <v>73</v>
      </c>
      <c r="C9" s="17"/>
      <c r="D9" s="13" t="s">
        <v>15</v>
      </c>
      <c r="E9" s="13">
        <v>4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24</v>
      </c>
      <c r="J9" s="12"/>
    </row>
    <row r="10" s="3" customFormat="1" ht="16" customHeight="1" spans="1:10">
      <c r="A10" s="12">
        <v>5</v>
      </c>
      <c r="B10" s="17" t="s">
        <v>20</v>
      </c>
      <c r="C10" s="17"/>
      <c r="D10" s="13" t="s">
        <v>15</v>
      </c>
      <c r="E10" s="13">
        <v>1</v>
      </c>
      <c r="F10" s="14">
        <f t="shared" si="0"/>
        <v>8</v>
      </c>
      <c r="G10" s="15">
        <f t="shared" si="1"/>
        <v>0.85</v>
      </c>
      <c r="H10" s="16">
        <v>6.8</v>
      </c>
      <c r="I10" s="16">
        <f t="shared" si="2"/>
        <v>6.8</v>
      </c>
      <c r="J10" s="12"/>
    </row>
    <row r="11" s="3" customFormat="1" ht="16" customHeight="1" spans="1:10">
      <c r="A11" s="12">
        <v>6</v>
      </c>
      <c r="B11" s="12" t="s">
        <v>41</v>
      </c>
      <c r="C11" s="12"/>
      <c r="D11" s="13" t="s">
        <v>15</v>
      </c>
      <c r="E11" s="13">
        <v>8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30.4</v>
      </c>
      <c r="J11" s="12"/>
    </row>
    <row r="12" s="3" customFormat="1" ht="16" customHeight="1" spans="1:10">
      <c r="A12" s="12">
        <v>7</v>
      </c>
      <c r="B12" s="12" t="s">
        <v>74</v>
      </c>
      <c r="C12" s="12"/>
      <c r="D12" s="13" t="s">
        <v>15</v>
      </c>
      <c r="E12" s="13">
        <v>18</v>
      </c>
      <c r="F12" s="14">
        <f t="shared" si="0"/>
        <v>4.11764705882353</v>
      </c>
      <c r="G12" s="15">
        <f t="shared" si="1"/>
        <v>0.85</v>
      </c>
      <c r="H12" s="16">
        <v>3.5</v>
      </c>
      <c r="I12" s="16">
        <f t="shared" si="2"/>
        <v>63</v>
      </c>
      <c r="J12" s="12"/>
    </row>
    <row r="13" s="3" customFormat="1" ht="16" customHeight="1" spans="1:10">
      <c r="A13" s="12">
        <v>8</v>
      </c>
      <c r="B13" s="12" t="s">
        <v>42</v>
      </c>
      <c r="C13" s="12"/>
      <c r="D13" s="13" t="s">
        <v>15</v>
      </c>
      <c r="E13" s="13">
        <v>2</v>
      </c>
      <c r="F13" s="14">
        <f t="shared" si="0"/>
        <v>8.82352941176471</v>
      </c>
      <c r="G13" s="15">
        <f t="shared" si="1"/>
        <v>0.85</v>
      </c>
      <c r="H13" s="16">
        <v>7.5</v>
      </c>
      <c r="I13" s="16">
        <f t="shared" si="2"/>
        <v>15</v>
      </c>
      <c r="J13" s="12"/>
    </row>
    <row r="14" s="3" customFormat="1" ht="16" customHeight="1" spans="1:10">
      <c r="A14" s="12">
        <v>9</v>
      </c>
      <c r="B14" s="17" t="s">
        <v>24</v>
      </c>
      <c r="C14" s="17"/>
      <c r="D14" s="18" t="s">
        <v>15</v>
      </c>
      <c r="E14" s="18">
        <v>9</v>
      </c>
      <c r="F14" s="14">
        <f t="shared" si="0"/>
        <v>11.5294117647059</v>
      </c>
      <c r="G14" s="15">
        <f t="shared" si="1"/>
        <v>0.85</v>
      </c>
      <c r="H14" s="16">
        <v>9.8</v>
      </c>
      <c r="I14" s="16">
        <f t="shared" si="2"/>
        <v>88.2</v>
      </c>
      <c r="J14" s="17"/>
    </row>
    <row r="15" s="3" customFormat="1" ht="16" customHeight="1" spans="1:10">
      <c r="A15" s="12">
        <v>10</v>
      </c>
      <c r="B15" s="17" t="s">
        <v>43</v>
      </c>
      <c r="C15" s="17"/>
      <c r="D15" s="18" t="s">
        <v>15</v>
      </c>
      <c r="E15" s="18">
        <v>2</v>
      </c>
      <c r="F15" s="14">
        <f t="shared" ref="F15:F23" si="3">H15/0.85</f>
        <v>4.70588235294118</v>
      </c>
      <c r="G15" s="15">
        <f t="shared" ref="G15:G23" si="4">H15/F15</f>
        <v>0.85</v>
      </c>
      <c r="H15" s="16">
        <v>4</v>
      </c>
      <c r="I15" s="16">
        <f t="shared" ref="I15:I23" si="5">E15*H15</f>
        <v>8</v>
      </c>
      <c r="J15" s="17"/>
    </row>
    <row r="16" s="3" customFormat="1" ht="16" customHeight="1" spans="1:10">
      <c r="A16" s="12">
        <v>12</v>
      </c>
      <c r="B16" s="17" t="s">
        <v>44</v>
      </c>
      <c r="C16" s="17"/>
      <c r="D16" s="18" t="s">
        <v>15</v>
      </c>
      <c r="E16" s="18">
        <v>2</v>
      </c>
      <c r="F16" s="14">
        <f t="shared" si="3"/>
        <v>9.17647058823529</v>
      </c>
      <c r="G16" s="15">
        <f t="shared" si="4"/>
        <v>0.85</v>
      </c>
      <c r="H16" s="16">
        <v>7.8</v>
      </c>
      <c r="I16" s="16">
        <f t="shared" si="5"/>
        <v>15.6</v>
      </c>
      <c r="J16" s="17"/>
    </row>
    <row r="17" s="3" customFormat="1" ht="16" customHeight="1" spans="1:10">
      <c r="A17" s="12">
        <v>13</v>
      </c>
      <c r="B17" s="17" t="s">
        <v>75</v>
      </c>
      <c r="C17" s="17"/>
      <c r="D17" s="18" t="s">
        <v>15</v>
      </c>
      <c r="E17" s="18">
        <v>5</v>
      </c>
      <c r="F17" s="14">
        <f t="shared" si="3"/>
        <v>11.5294117647059</v>
      </c>
      <c r="G17" s="15">
        <f t="shared" si="4"/>
        <v>0.85</v>
      </c>
      <c r="H17" s="16">
        <v>9.8</v>
      </c>
      <c r="I17" s="16">
        <f t="shared" si="5"/>
        <v>49</v>
      </c>
      <c r="J17" s="17"/>
    </row>
    <row r="18" s="3" customFormat="1" ht="16" customHeight="1" spans="1:10">
      <c r="A18" s="12">
        <v>14</v>
      </c>
      <c r="B18" s="17" t="s">
        <v>76</v>
      </c>
      <c r="C18" s="17"/>
      <c r="D18" s="18" t="s">
        <v>15</v>
      </c>
      <c r="E18" s="18">
        <v>12</v>
      </c>
      <c r="F18" s="14">
        <f t="shared" si="3"/>
        <v>5.29411764705882</v>
      </c>
      <c r="G18" s="15">
        <f t="shared" si="4"/>
        <v>0.85</v>
      </c>
      <c r="H18" s="16">
        <v>4.5</v>
      </c>
      <c r="I18" s="16">
        <f t="shared" si="5"/>
        <v>54</v>
      </c>
      <c r="J18" s="17"/>
    </row>
    <row r="19" s="3" customFormat="1" ht="16" customHeight="1" spans="1:10">
      <c r="A19" s="12">
        <v>15</v>
      </c>
      <c r="B19" s="12" t="s">
        <v>61</v>
      </c>
      <c r="C19" s="12"/>
      <c r="D19" s="13" t="s">
        <v>15</v>
      </c>
      <c r="E19" s="13">
        <v>2</v>
      </c>
      <c r="F19" s="14">
        <f t="shared" si="3"/>
        <v>16.2352941176471</v>
      </c>
      <c r="G19" s="15">
        <f t="shared" si="4"/>
        <v>0.85</v>
      </c>
      <c r="H19" s="16">
        <v>13.8</v>
      </c>
      <c r="I19" s="16">
        <f t="shared" si="5"/>
        <v>27.6</v>
      </c>
      <c r="J19" s="12"/>
    </row>
    <row r="20" s="3" customFormat="1" ht="16" customHeight="1" spans="1:10">
      <c r="A20" s="12">
        <v>16</v>
      </c>
      <c r="B20" s="17" t="s">
        <v>77</v>
      </c>
      <c r="C20" s="17"/>
      <c r="D20" s="18" t="s">
        <v>15</v>
      </c>
      <c r="E20" s="18">
        <v>15</v>
      </c>
      <c r="F20" s="14">
        <f t="shared" si="3"/>
        <v>17.4117647058824</v>
      </c>
      <c r="G20" s="15">
        <f t="shared" si="4"/>
        <v>0.85</v>
      </c>
      <c r="H20" s="16">
        <v>14.8</v>
      </c>
      <c r="I20" s="16">
        <f t="shared" si="5"/>
        <v>222</v>
      </c>
      <c r="J20" s="17"/>
    </row>
    <row r="21" s="3" customFormat="1" ht="16" customHeight="1" spans="1:10">
      <c r="A21" s="12">
        <v>17</v>
      </c>
      <c r="B21" s="17" t="s">
        <v>78</v>
      </c>
      <c r="C21" s="17"/>
      <c r="D21" s="18" t="s">
        <v>15</v>
      </c>
      <c r="E21" s="18">
        <v>8</v>
      </c>
      <c r="F21" s="14">
        <f t="shared" si="3"/>
        <v>32.9411764705882</v>
      </c>
      <c r="G21" s="15">
        <f t="shared" si="4"/>
        <v>0.85</v>
      </c>
      <c r="H21" s="16">
        <v>28</v>
      </c>
      <c r="I21" s="16">
        <f t="shared" si="5"/>
        <v>224</v>
      </c>
      <c r="J21" s="17"/>
    </row>
    <row r="22" s="3" customFormat="1" ht="16" customHeight="1" spans="1:10">
      <c r="A22" s="12">
        <v>18</v>
      </c>
      <c r="B22" s="17" t="s">
        <v>32</v>
      </c>
      <c r="C22" s="17"/>
      <c r="D22" s="18" t="s">
        <v>33</v>
      </c>
      <c r="E22" s="18">
        <v>48</v>
      </c>
      <c r="F22" s="14">
        <f t="shared" si="3"/>
        <v>4.11764705882353</v>
      </c>
      <c r="G22" s="15">
        <f t="shared" si="4"/>
        <v>0.85</v>
      </c>
      <c r="H22" s="16">
        <v>3.5</v>
      </c>
      <c r="I22" s="16">
        <f t="shared" si="5"/>
        <v>168</v>
      </c>
      <c r="J22" s="17"/>
    </row>
    <row r="23" s="3" customFormat="1" ht="16" customHeight="1" spans="1:10">
      <c r="A23" s="12">
        <v>19</v>
      </c>
      <c r="B23" s="17"/>
      <c r="C23" s="17"/>
      <c r="D23" s="17"/>
      <c r="E23" s="18"/>
      <c r="F23" s="14"/>
      <c r="G23" s="15"/>
      <c r="H23" s="16"/>
      <c r="I23" s="16"/>
      <c r="J23" s="17"/>
    </row>
    <row r="24" s="3" customFormat="1" ht="16" customHeight="1" spans="1:10">
      <c r="A24" s="12">
        <v>20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3" customFormat="1" ht="16" customHeight="1" spans="1:10">
      <c r="A25" s="12">
        <v>21</v>
      </c>
      <c r="B25" s="17"/>
      <c r="C25" s="17"/>
      <c r="D25" s="18"/>
      <c r="E25" s="18"/>
      <c r="F25" s="14"/>
      <c r="G25" s="15"/>
      <c r="H25" s="16"/>
      <c r="I25" s="16"/>
      <c r="J25" s="17"/>
    </row>
    <row r="26" s="3" customFormat="1" ht="16" customHeight="1" spans="1:10">
      <c r="A26" s="12">
        <v>22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3" customFormat="1" ht="16" customHeight="1" spans="1:10">
      <c r="A27" s="12">
        <v>23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3" customFormat="1" ht="16" customHeight="1" spans="1:10">
      <c r="A28" s="12">
        <v>24</v>
      </c>
      <c r="B28" s="17"/>
      <c r="C28" s="17"/>
      <c r="D28" s="17"/>
      <c r="E28" s="18"/>
      <c r="F28" s="14"/>
      <c r="G28" s="15"/>
      <c r="H28" s="19"/>
      <c r="I28" s="16"/>
      <c r="J28" s="17"/>
    </row>
    <row r="29" s="3" customFormat="1" ht="16" customHeight="1" spans="1:10">
      <c r="A29" s="12">
        <v>25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26</v>
      </c>
      <c r="B30" s="12"/>
      <c r="C30" s="12"/>
      <c r="D30" s="17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27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28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customHeight="1" spans="1:10">
      <c r="A33" s="12" t="s">
        <v>36</v>
      </c>
      <c r="B33" s="25">
        <f>SUM(I6:I32)</f>
        <v>1042.1</v>
      </c>
      <c r="C33" s="26"/>
      <c r="D33" s="26"/>
      <c r="E33" s="26"/>
      <c r="F33" s="26"/>
      <c r="G33" s="26"/>
      <c r="H33" s="26"/>
      <c r="I33" s="26"/>
      <c r="J33" s="31"/>
    </row>
    <row r="34" s="3" customFormat="1" customHeight="1" spans="1:10">
      <c r="A34" s="12" t="s">
        <v>37</v>
      </c>
      <c r="B34" s="28">
        <f>B33</f>
        <v>1042.1</v>
      </c>
      <c r="C34" s="29"/>
      <c r="D34" s="29"/>
      <c r="E34" s="29"/>
      <c r="F34" s="29"/>
      <c r="G34" s="29"/>
      <c r="H34" s="29"/>
      <c r="I34" s="29"/>
      <c r="J34" s="32"/>
    </row>
    <row r="35" s="3" customFormat="1" customHeight="1" spans="1:1">
      <c r="A35" s="3" t="s">
        <v>38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3" workbookViewId="0">
      <pane ySplit="3" topLeftCell="A6" activePane="bottomLeft" state="frozen"/>
      <selection/>
      <selection pane="bottomLeft" activeCell="C16" sqref="C1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8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45267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29" si="0">H6/0.85</f>
        <v>3.52941176470588</v>
      </c>
      <c r="G6" s="15">
        <f t="shared" ref="G6:G29" si="1">H6/F6</f>
        <v>0.85</v>
      </c>
      <c r="H6" s="16">
        <v>3</v>
      </c>
      <c r="I6" s="16">
        <f t="shared" ref="I6:I29" si="2">E6*H6</f>
        <v>12</v>
      </c>
      <c r="J6" s="12"/>
    </row>
    <row r="7" s="3" customFormat="1" ht="16" customHeight="1" spans="1:10">
      <c r="A7" s="12">
        <v>2</v>
      </c>
      <c r="B7" s="12" t="s">
        <v>19</v>
      </c>
      <c r="C7" s="12"/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3" customFormat="1" ht="16" customHeight="1" spans="1:10">
      <c r="A8" s="12">
        <v>3</v>
      </c>
      <c r="B8" s="12" t="s">
        <v>20</v>
      </c>
      <c r="C8" s="12"/>
      <c r="D8" s="13" t="s">
        <v>15</v>
      </c>
      <c r="E8" s="13">
        <v>1</v>
      </c>
      <c r="F8" s="14">
        <f t="shared" si="0"/>
        <v>8</v>
      </c>
      <c r="G8" s="15">
        <f t="shared" si="1"/>
        <v>0.85</v>
      </c>
      <c r="H8" s="16">
        <v>6.8</v>
      </c>
      <c r="I8" s="16">
        <f t="shared" si="2"/>
        <v>6.8</v>
      </c>
      <c r="J8" s="12"/>
    </row>
    <row r="9" s="3" customFormat="1" ht="16" customHeight="1" spans="1:10">
      <c r="A9" s="12">
        <v>4</v>
      </c>
      <c r="B9" s="17" t="s">
        <v>41</v>
      </c>
      <c r="C9" s="17"/>
      <c r="D9" s="13" t="s">
        <v>15</v>
      </c>
      <c r="E9" s="13">
        <v>8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30.4</v>
      </c>
      <c r="J9" s="12"/>
    </row>
    <row r="10" s="3" customFormat="1" ht="16" customHeight="1" spans="1:10">
      <c r="A10" s="12">
        <v>5</v>
      </c>
      <c r="B10" s="17" t="s">
        <v>74</v>
      </c>
      <c r="C10" s="17"/>
      <c r="D10" s="13" t="s">
        <v>15</v>
      </c>
      <c r="E10" s="13">
        <v>10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35</v>
      </c>
      <c r="J10" s="12"/>
    </row>
    <row r="11" s="3" customFormat="1" ht="16" customHeight="1" spans="1:10">
      <c r="A11" s="12">
        <v>6</v>
      </c>
      <c r="B11" s="12" t="s">
        <v>42</v>
      </c>
      <c r="C11" s="12"/>
      <c r="D11" s="13" t="s">
        <v>15</v>
      </c>
      <c r="E11" s="13">
        <v>3</v>
      </c>
      <c r="F11" s="14">
        <f t="shared" si="0"/>
        <v>8.82352941176471</v>
      </c>
      <c r="G11" s="15">
        <f t="shared" si="1"/>
        <v>0.85</v>
      </c>
      <c r="H11" s="16">
        <v>7.5</v>
      </c>
      <c r="I11" s="16">
        <f t="shared" si="2"/>
        <v>22.5</v>
      </c>
      <c r="J11" s="12"/>
    </row>
    <row r="12" s="3" customFormat="1" ht="16" customHeight="1" spans="1:10">
      <c r="A12" s="12">
        <v>7</v>
      </c>
      <c r="B12" s="12" t="s">
        <v>23</v>
      </c>
      <c r="C12" s="12"/>
      <c r="D12" s="13" t="s">
        <v>15</v>
      </c>
      <c r="E12" s="13">
        <v>3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7.5</v>
      </c>
      <c r="J12" s="12"/>
    </row>
    <row r="13" s="3" customFormat="1" ht="16" customHeight="1" spans="1:10">
      <c r="A13" s="12">
        <v>8</v>
      </c>
      <c r="B13" s="12" t="s">
        <v>43</v>
      </c>
      <c r="C13" s="12"/>
      <c r="D13" s="13" t="s">
        <v>15</v>
      </c>
      <c r="E13" s="13">
        <v>3</v>
      </c>
      <c r="F13" s="14">
        <f t="shared" si="0"/>
        <v>4.70588235294118</v>
      </c>
      <c r="G13" s="15">
        <f t="shared" si="1"/>
        <v>0.85</v>
      </c>
      <c r="H13" s="16">
        <v>4</v>
      </c>
      <c r="I13" s="16">
        <f t="shared" si="2"/>
        <v>12</v>
      </c>
      <c r="J13" s="12"/>
    </row>
    <row r="14" s="3" customFormat="1" ht="16" customHeight="1" spans="1:10">
      <c r="A14" s="12">
        <v>9</v>
      </c>
      <c r="B14" s="17" t="s">
        <v>79</v>
      </c>
      <c r="C14" s="17"/>
      <c r="D14" s="18" t="s">
        <v>15</v>
      </c>
      <c r="E14" s="18">
        <v>8</v>
      </c>
      <c r="F14" s="14">
        <f t="shared" si="0"/>
        <v>5.64705882352941</v>
      </c>
      <c r="G14" s="15">
        <f t="shared" si="1"/>
        <v>0.85</v>
      </c>
      <c r="H14" s="19">
        <v>4.8</v>
      </c>
      <c r="I14" s="16">
        <f t="shared" si="2"/>
        <v>38.4</v>
      </c>
      <c r="J14" s="17"/>
    </row>
    <row r="15" s="3" customFormat="1" ht="16" customHeight="1" spans="1:10">
      <c r="A15" s="12">
        <v>10</v>
      </c>
      <c r="B15" s="17" t="s">
        <v>80</v>
      </c>
      <c r="C15" s="17"/>
      <c r="D15" s="18" t="s">
        <v>15</v>
      </c>
      <c r="E15" s="18">
        <v>8</v>
      </c>
      <c r="F15" s="14">
        <f t="shared" si="0"/>
        <v>5.29411764705882</v>
      </c>
      <c r="G15" s="15">
        <f t="shared" si="1"/>
        <v>0.85</v>
      </c>
      <c r="H15" s="19">
        <v>4.5</v>
      </c>
      <c r="I15" s="16">
        <f t="shared" si="2"/>
        <v>36</v>
      </c>
      <c r="J15" s="17"/>
    </row>
    <row r="16" s="3" customFormat="1" ht="16" customHeight="1" spans="1:10">
      <c r="A16" s="12">
        <v>11</v>
      </c>
      <c r="B16" s="17" t="s">
        <v>81</v>
      </c>
      <c r="C16" s="17"/>
      <c r="D16" s="18" t="s">
        <v>15</v>
      </c>
      <c r="E16" s="18">
        <v>18</v>
      </c>
      <c r="F16" s="14">
        <f t="shared" si="0"/>
        <v>2.94117647058824</v>
      </c>
      <c r="G16" s="15">
        <f t="shared" si="1"/>
        <v>0.85</v>
      </c>
      <c r="H16" s="19">
        <v>2.5</v>
      </c>
      <c r="I16" s="16">
        <f t="shared" si="2"/>
        <v>45</v>
      </c>
      <c r="J16" s="17"/>
    </row>
    <row r="17" s="3" customFormat="1" ht="16" customHeight="1" spans="1:10">
      <c r="A17" s="12">
        <v>12</v>
      </c>
      <c r="B17" s="17" t="s">
        <v>82</v>
      </c>
      <c r="C17" s="17"/>
      <c r="D17" s="17" t="s">
        <v>15</v>
      </c>
      <c r="E17" s="18">
        <v>12</v>
      </c>
      <c r="F17" s="14">
        <f t="shared" si="0"/>
        <v>2.35294117647059</v>
      </c>
      <c r="G17" s="15">
        <f t="shared" si="1"/>
        <v>0.85</v>
      </c>
      <c r="H17" s="19">
        <v>2</v>
      </c>
      <c r="I17" s="16">
        <f t="shared" si="2"/>
        <v>24</v>
      </c>
      <c r="J17" s="17"/>
    </row>
    <row r="18" s="3" customFormat="1" ht="16" customHeight="1" spans="1:10">
      <c r="A18" s="12">
        <v>13</v>
      </c>
      <c r="B18" s="17" t="s">
        <v>83</v>
      </c>
      <c r="C18" s="17"/>
      <c r="D18" s="18" t="s">
        <v>15</v>
      </c>
      <c r="E18" s="18">
        <v>25.4</v>
      </c>
      <c r="F18" s="14">
        <f t="shared" si="0"/>
        <v>10</v>
      </c>
      <c r="G18" s="15">
        <f t="shared" si="1"/>
        <v>0.85</v>
      </c>
      <c r="H18" s="19">
        <v>8.5</v>
      </c>
      <c r="I18" s="16">
        <f t="shared" si="2"/>
        <v>215.9</v>
      </c>
      <c r="J18" s="17"/>
    </row>
    <row r="19" s="3" customFormat="1" ht="16" customHeight="1" spans="1:10">
      <c r="A19" s="12">
        <v>14</v>
      </c>
      <c r="B19" s="12" t="s">
        <v>84</v>
      </c>
      <c r="C19" s="12"/>
      <c r="D19" s="13" t="s">
        <v>15</v>
      </c>
      <c r="E19" s="13">
        <v>6</v>
      </c>
      <c r="F19" s="14">
        <f t="shared" si="0"/>
        <v>8</v>
      </c>
      <c r="G19" s="15">
        <f t="shared" si="1"/>
        <v>0.85</v>
      </c>
      <c r="H19" s="16">
        <v>6.8</v>
      </c>
      <c r="I19" s="16">
        <f t="shared" si="2"/>
        <v>40.8</v>
      </c>
      <c r="J19" s="12"/>
    </row>
    <row r="20" s="3" customFormat="1" ht="16" customHeight="1" spans="1:10">
      <c r="A20" s="12">
        <v>15</v>
      </c>
      <c r="B20" s="17" t="s">
        <v>31</v>
      </c>
      <c r="C20" s="17"/>
      <c r="D20" s="13" t="s">
        <v>15</v>
      </c>
      <c r="E20" s="13">
        <v>8</v>
      </c>
      <c r="F20" s="14">
        <f t="shared" si="0"/>
        <v>16.2352941176471</v>
      </c>
      <c r="G20" s="15">
        <f t="shared" si="1"/>
        <v>0.85</v>
      </c>
      <c r="H20" s="16">
        <v>13.8</v>
      </c>
      <c r="I20" s="16">
        <f t="shared" si="2"/>
        <v>110.4</v>
      </c>
      <c r="J20" s="12"/>
    </row>
    <row r="21" s="3" customFormat="1" ht="16" customHeight="1" spans="1:10">
      <c r="A21" s="12">
        <v>16</v>
      </c>
      <c r="B21" s="12" t="s">
        <v>78</v>
      </c>
      <c r="C21" s="12"/>
      <c r="D21" s="17" t="s">
        <v>15</v>
      </c>
      <c r="E21" s="13">
        <v>8</v>
      </c>
      <c r="F21" s="14">
        <f t="shared" si="0"/>
        <v>32.9411764705882</v>
      </c>
      <c r="G21" s="15">
        <f t="shared" si="1"/>
        <v>0.85</v>
      </c>
      <c r="H21" s="16">
        <v>28</v>
      </c>
      <c r="I21" s="16">
        <f t="shared" si="2"/>
        <v>224</v>
      </c>
      <c r="J21" s="17"/>
    </row>
    <row r="22" s="3" customFormat="1" ht="16" customHeight="1" spans="1:10">
      <c r="A22" s="12">
        <v>17</v>
      </c>
      <c r="B22" s="12" t="s">
        <v>85</v>
      </c>
      <c r="C22" s="12"/>
      <c r="D22" s="17" t="s">
        <v>15</v>
      </c>
      <c r="E22" s="13">
        <v>2</v>
      </c>
      <c r="F22" s="14">
        <f t="shared" si="0"/>
        <v>4.70588235294118</v>
      </c>
      <c r="G22" s="15">
        <f t="shared" si="1"/>
        <v>0.85</v>
      </c>
      <c r="H22" s="16">
        <v>4</v>
      </c>
      <c r="I22" s="16">
        <f t="shared" si="2"/>
        <v>8</v>
      </c>
      <c r="J22" s="12"/>
    </row>
    <row r="23" s="3" customFormat="1" ht="16" customHeight="1" spans="1:10">
      <c r="A23" s="12">
        <v>18</v>
      </c>
      <c r="B23" s="12" t="s">
        <v>86</v>
      </c>
      <c r="C23" s="12" t="s">
        <v>87</v>
      </c>
      <c r="D23" s="12" t="s">
        <v>15</v>
      </c>
      <c r="E23" s="13">
        <v>4</v>
      </c>
      <c r="F23" s="14">
        <f t="shared" si="0"/>
        <v>10</v>
      </c>
      <c r="G23" s="15">
        <f t="shared" si="1"/>
        <v>0.85</v>
      </c>
      <c r="H23" s="16">
        <v>8.5</v>
      </c>
      <c r="I23" s="16">
        <f t="shared" si="2"/>
        <v>34</v>
      </c>
      <c r="J23" s="12"/>
    </row>
    <row r="24" s="3" customFormat="1" ht="16" customHeight="1" spans="1:10">
      <c r="A24" s="12">
        <v>19</v>
      </c>
      <c r="B24" s="12" t="s">
        <v>88</v>
      </c>
      <c r="C24" s="12" t="s">
        <v>17</v>
      </c>
      <c r="D24" s="12" t="s">
        <v>15</v>
      </c>
      <c r="E24" s="13">
        <v>2</v>
      </c>
      <c r="F24" s="14">
        <f t="shared" si="0"/>
        <v>5.88235294117647</v>
      </c>
      <c r="G24" s="15">
        <f t="shared" si="1"/>
        <v>0.85</v>
      </c>
      <c r="H24" s="16">
        <v>5</v>
      </c>
      <c r="I24" s="16">
        <f t="shared" si="2"/>
        <v>10</v>
      </c>
      <c r="J24" s="12"/>
    </row>
    <row r="25" s="3" customFormat="1" ht="16" customHeight="1" spans="1:10">
      <c r="A25" s="12">
        <v>20</v>
      </c>
      <c r="B25" s="12" t="s">
        <v>89</v>
      </c>
      <c r="C25" s="12" t="s">
        <v>17</v>
      </c>
      <c r="D25" s="12" t="s">
        <v>15</v>
      </c>
      <c r="E25" s="13">
        <v>2</v>
      </c>
      <c r="F25" s="14">
        <f t="shared" si="0"/>
        <v>7.64705882352941</v>
      </c>
      <c r="G25" s="15">
        <f t="shared" si="1"/>
        <v>0.85</v>
      </c>
      <c r="H25" s="16">
        <v>6.5</v>
      </c>
      <c r="I25" s="16">
        <f t="shared" si="2"/>
        <v>13</v>
      </c>
      <c r="J25" s="12"/>
    </row>
    <row r="26" s="3" customFormat="1" ht="16" customHeight="1" spans="1:10">
      <c r="A26" s="12">
        <v>21</v>
      </c>
      <c r="B26" s="12" t="s">
        <v>90</v>
      </c>
      <c r="C26" s="12"/>
      <c r="D26" s="12" t="s">
        <v>15</v>
      </c>
      <c r="E26" s="13">
        <v>2</v>
      </c>
      <c r="F26" s="14">
        <f t="shared" si="0"/>
        <v>5.88235294117647</v>
      </c>
      <c r="G26" s="15">
        <f t="shared" si="1"/>
        <v>0.85</v>
      </c>
      <c r="H26" s="16">
        <v>5</v>
      </c>
      <c r="I26" s="16">
        <f t="shared" si="2"/>
        <v>10</v>
      </c>
      <c r="J26" s="12"/>
    </row>
    <row r="27" s="3" customFormat="1" ht="16" customHeight="1" spans="1:10">
      <c r="A27" s="12">
        <v>22</v>
      </c>
      <c r="B27" s="12" t="s">
        <v>91</v>
      </c>
      <c r="C27" s="12" t="s">
        <v>17</v>
      </c>
      <c r="D27" s="12" t="s">
        <v>15</v>
      </c>
      <c r="E27" s="13">
        <v>2</v>
      </c>
      <c r="F27" s="14">
        <f t="shared" si="0"/>
        <v>4.70588235294118</v>
      </c>
      <c r="G27" s="15">
        <f t="shared" si="1"/>
        <v>0.85</v>
      </c>
      <c r="H27" s="16">
        <v>4</v>
      </c>
      <c r="I27" s="16">
        <f t="shared" si="2"/>
        <v>8</v>
      </c>
      <c r="J27" s="12"/>
    </row>
    <row r="28" s="3" customFormat="1" ht="16" customHeight="1" spans="1:10">
      <c r="A28" s="12">
        <v>23</v>
      </c>
      <c r="B28" s="12" t="s">
        <v>71</v>
      </c>
      <c r="C28" s="12" t="s">
        <v>72</v>
      </c>
      <c r="D28" s="12" t="s">
        <v>15</v>
      </c>
      <c r="E28" s="13">
        <v>3</v>
      </c>
      <c r="F28" s="14">
        <f t="shared" si="0"/>
        <v>5.76470588235294</v>
      </c>
      <c r="G28" s="15">
        <f t="shared" si="1"/>
        <v>0.85</v>
      </c>
      <c r="H28" s="16">
        <v>4.9</v>
      </c>
      <c r="I28" s="16">
        <f t="shared" si="2"/>
        <v>14.7</v>
      </c>
      <c r="J28" s="12"/>
    </row>
    <row r="29" s="3" customFormat="1" ht="16" customHeight="1" spans="1:10">
      <c r="A29" s="12">
        <v>24</v>
      </c>
      <c r="B29" s="12" t="s">
        <v>34</v>
      </c>
      <c r="C29" s="12"/>
      <c r="D29" s="12" t="s">
        <v>15</v>
      </c>
      <c r="E29" s="13">
        <v>6</v>
      </c>
      <c r="F29" s="14">
        <f t="shared" si="0"/>
        <v>51.7647058823529</v>
      </c>
      <c r="G29" s="15">
        <f t="shared" si="1"/>
        <v>0.85</v>
      </c>
      <c r="H29" s="16">
        <v>44</v>
      </c>
      <c r="I29" s="16">
        <f t="shared" si="2"/>
        <v>264</v>
      </c>
      <c r="J29" s="12"/>
    </row>
    <row r="30" s="3" customFormat="1" ht="16" customHeight="1" spans="1:10">
      <c r="A30" s="12">
        <v>25</v>
      </c>
      <c r="B30" s="17"/>
      <c r="C30" s="17"/>
      <c r="D30" s="17"/>
      <c r="E30" s="18"/>
      <c r="F30" s="14"/>
      <c r="G30" s="15"/>
      <c r="H30" s="16"/>
      <c r="I30" s="16"/>
      <c r="J30" s="12"/>
    </row>
    <row r="31" s="3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3" customFormat="1" customHeight="1" spans="1:10">
      <c r="A34" s="12" t="s">
        <v>36</v>
      </c>
      <c r="B34" s="25">
        <f>SUM(I6:I33)</f>
        <v>1243.4</v>
      </c>
      <c r="C34" s="26"/>
      <c r="D34" s="26"/>
      <c r="E34" s="26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1243.4</v>
      </c>
      <c r="C35" s="29"/>
      <c r="D35" s="29"/>
      <c r="E35" s="29"/>
      <c r="F35" s="29"/>
      <c r="G35" s="29"/>
      <c r="H35" s="29"/>
      <c r="I35" s="29"/>
      <c r="J35" s="32"/>
    </row>
    <row r="36" s="3" customFormat="1" customHeight="1" spans="1:1">
      <c r="A36" s="3" t="s">
        <v>38</v>
      </c>
    </row>
  </sheetData>
  <sortState ref="A21:I30">
    <sortCondition ref="A21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6:C19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workbookViewId="0">
      <selection activeCell="B21" sqref="B2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45268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12</v>
      </c>
      <c r="J6" s="12"/>
    </row>
    <row r="7" s="3" customFormat="1" ht="16" customHeight="1" spans="1:10">
      <c r="A7" s="12">
        <v>2</v>
      </c>
      <c r="B7" s="12" t="s">
        <v>16</v>
      </c>
      <c r="C7" s="12" t="s">
        <v>17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3" customFormat="1" ht="16" customHeight="1" spans="1:10">
      <c r="A9" s="12">
        <v>4</v>
      </c>
      <c r="B9" s="17" t="s">
        <v>40</v>
      </c>
      <c r="C9" s="17"/>
      <c r="D9" s="13" t="s">
        <v>15</v>
      </c>
      <c r="E9" s="13">
        <v>4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14</v>
      </c>
      <c r="J9" s="12"/>
    </row>
    <row r="10" s="3" customFormat="1" ht="16" customHeight="1" spans="1:10">
      <c r="A10" s="12">
        <v>5</v>
      </c>
      <c r="B10" s="17" t="s">
        <v>92</v>
      </c>
      <c r="C10" s="17"/>
      <c r="D10" s="13" t="s">
        <v>15</v>
      </c>
      <c r="E10" s="13">
        <v>3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7.5</v>
      </c>
      <c r="J10" s="12"/>
    </row>
    <row r="11" s="3" customFormat="1" ht="16" customHeight="1" spans="1:10">
      <c r="A11" s="12">
        <v>6</v>
      </c>
      <c r="B11" s="12" t="s">
        <v>93</v>
      </c>
      <c r="C11" s="12"/>
      <c r="D11" s="13" t="s">
        <v>15</v>
      </c>
      <c r="E11" s="13">
        <v>15</v>
      </c>
      <c r="F11" s="14">
        <f t="shared" si="0"/>
        <v>10</v>
      </c>
      <c r="G11" s="15">
        <f t="shared" si="1"/>
        <v>0.85</v>
      </c>
      <c r="H11" s="16">
        <v>8.5</v>
      </c>
      <c r="I11" s="16">
        <f t="shared" si="2"/>
        <v>127.5</v>
      </c>
      <c r="J11" s="12"/>
    </row>
    <row r="12" s="3" customFormat="1" ht="16" customHeight="1" spans="1:10">
      <c r="A12" s="12">
        <v>7</v>
      </c>
      <c r="B12" s="12" t="s">
        <v>22</v>
      </c>
      <c r="C12" s="12"/>
      <c r="D12" s="13" t="s">
        <v>15</v>
      </c>
      <c r="E12" s="13">
        <v>11</v>
      </c>
      <c r="F12" s="14">
        <f t="shared" si="0"/>
        <v>2.35294117647059</v>
      </c>
      <c r="G12" s="15">
        <f t="shared" si="1"/>
        <v>0.85</v>
      </c>
      <c r="H12" s="16">
        <v>2</v>
      </c>
      <c r="I12" s="16">
        <f t="shared" si="2"/>
        <v>22</v>
      </c>
      <c r="J12" s="12"/>
    </row>
    <row r="13" s="3" customFormat="1" ht="16" customHeight="1" spans="1:10">
      <c r="A13" s="12">
        <v>8</v>
      </c>
      <c r="B13" s="17" t="s">
        <v>25</v>
      </c>
      <c r="C13" s="17"/>
      <c r="D13" s="18" t="s">
        <v>26</v>
      </c>
      <c r="E13" s="18">
        <v>8</v>
      </c>
      <c r="F13" s="14">
        <f t="shared" ref="F13:F25" si="3">H13/0.85</f>
        <v>3.52941176470588</v>
      </c>
      <c r="G13" s="15">
        <f t="shared" ref="G13:G25" si="4">H13/F13</f>
        <v>0.85</v>
      </c>
      <c r="H13" s="16">
        <v>3</v>
      </c>
      <c r="I13" s="16">
        <f t="shared" ref="I13:I25" si="5">E13*H13</f>
        <v>24</v>
      </c>
      <c r="J13" s="17"/>
    </row>
    <row r="14" s="3" customFormat="1" ht="16" customHeight="1" spans="1:10">
      <c r="A14" s="12">
        <v>9</v>
      </c>
      <c r="B14" s="17" t="s">
        <v>94</v>
      </c>
      <c r="C14" s="17"/>
      <c r="D14" s="18" t="s">
        <v>15</v>
      </c>
      <c r="E14" s="18">
        <v>12</v>
      </c>
      <c r="F14" s="14">
        <f t="shared" si="3"/>
        <v>5.64705882352941</v>
      </c>
      <c r="G14" s="15">
        <f t="shared" si="4"/>
        <v>0.85</v>
      </c>
      <c r="H14" s="16">
        <v>4.8</v>
      </c>
      <c r="I14" s="16">
        <f t="shared" si="5"/>
        <v>57.6</v>
      </c>
      <c r="J14" s="17"/>
    </row>
    <row r="15" s="3" customFormat="1" ht="16" customHeight="1" spans="1:10">
      <c r="A15" s="12">
        <v>10</v>
      </c>
      <c r="B15" s="17" t="s">
        <v>95</v>
      </c>
      <c r="C15" s="17"/>
      <c r="D15" s="18" t="s">
        <v>15</v>
      </c>
      <c r="E15" s="18">
        <v>3</v>
      </c>
      <c r="F15" s="14">
        <f t="shared" si="3"/>
        <v>8</v>
      </c>
      <c r="G15" s="15">
        <f t="shared" si="4"/>
        <v>0.85</v>
      </c>
      <c r="H15" s="16">
        <v>6.8</v>
      </c>
      <c r="I15" s="16">
        <f t="shared" si="5"/>
        <v>20.4</v>
      </c>
      <c r="J15" s="17"/>
    </row>
    <row r="16" s="3" customFormat="1" ht="16" customHeight="1" spans="1:10">
      <c r="A16" s="12">
        <v>11</v>
      </c>
      <c r="B16" s="17" t="s">
        <v>96</v>
      </c>
      <c r="C16" s="17"/>
      <c r="D16" s="18" t="s">
        <v>15</v>
      </c>
      <c r="E16" s="18">
        <v>8</v>
      </c>
      <c r="F16" s="14">
        <f t="shared" si="3"/>
        <v>37.6470588235294</v>
      </c>
      <c r="G16" s="15">
        <f t="shared" si="4"/>
        <v>0.85</v>
      </c>
      <c r="H16" s="16">
        <v>32</v>
      </c>
      <c r="I16" s="16">
        <f t="shared" si="5"/>
        <v>256</v>
      </c>
      <c r="J16" s="17"/>
    </row>
    <row r="17" s="3" customFormat="1" ht="16" customHeight="1" spans="1:10">
      <c r="A17" s="12">
        <v>12</v>
      </c>
      <c r="B17" s="17" t="s">
        <v>31</v>
      </c>
      <c r="C17" s="17"/>
      <c r="D17" s="18" t="s">
        <v>15</v>
      </c>
      <c r="E17" s="18">
        <v>4</v>
      </c>
      <c r="F17" s="14">
        <f t="shared" si="3"/>
        <v>16.2352941176471</v>
      </c>
      <c r="G17" s="15">
        <f t="shared" si="4"/>
        <v>0.85</v>
      </c>
      <c r="H17" s="16">
        <v>13.8</v>
      </c>
      <c r="I17" s="16">
        <f t="shared" si="5"/>
        <v>55.2</v>
      </c>
      <c r="J17" s="17"/>
    </row>
    <row r="18" s="3" customFormat="1" ht="16" customHeight="1" spans="1:10">
      <c r="A18" s="12">
        <v>13</v>
      </c>
      <c r="B18" s="12" t="s">
        <v>97</v>
      </c>
      <c r="C18" s="12" t="s">
        <v>98</v>
      </c>
      <c r="D18" s="13" t="s">
        <v>15</v>
      </c>
      <c r="E18" s="13">
        <v>15</v>
      </c>
      <c r="F18" s="14">
        <f t="shared" si="3"/>
        <v>15.0588235294118</v>
      </c>
      <c r="G18" s="15">
        <f t="shared" si="4"/>
        <v>0.85</v>
      </c>
      <c r="H18" s="16">
        <v>12.8</v>
      </c>
      <c r="I18" s="16">
        <f t="shared" si="5"/>
        <v>192</v>
      </c>
      <c r="J18" s="12"/>
    </row>
    <row r="19" s="3" customFormat="1" ht="16" customHeight="1" spans="1:10">
      <c r="A19" s="12">
        <v>14</v>
      </c>
      <c r="B19" s="17" t="s">
        <v>99</v>
      </c>
      <c r="C19" s="17" t="s">
        <v>100</v>
      </c>
      <c r="D19" s="18" t="s">
        <v>55</v>
      </c>
      <c r="E19" s="18">
        <v>10</v>
      </c>
      <c r="F19" s="14">
        <f t="shared" si="3"/>
        <v>2.35294117647059</v>
      </c>
      <c r="G19" s="15">
        <f t="shared" si="4"/>
        <v>0.85</v>
      </c>
      <c r="H19" s="16">
        <v>2</v>
      </c>
      <c r="I19" s="16">
        <f t="shared" si="5"/>
        <v>20</v>
      </c>
      <c r="J19" s="17"/>
    </row>
    <row r="20" s="3" customFormat="1" ht="16" customHeight="1" spans="1:10">
      <c r="A20" s="12">
        <v>15</v>
      </c>
      <c r="B20" s="17" t="s">
        <v>101</v>
      </c>
      <c r="C20" s="17" t="s">
        <v>102</v>
      </c>
      <c r="D20" s="18" t="s">
        <v>49</v>
      </c>
      <c r="E20" s="18">
        <v>2</v>
      </c>
      <c r="F20" s="14">
        <f t="shared" si="3"/>
        <v>411.764705882353</v>
      </c>
      <c r="G20" s="15">
        <f t="shared" si="4"/>
        <v>0.85</v>
      </c>
      <c r="H20" s="16">
        <v>350</v>
      </c>
      <c r="I20" s="16">
        <f t="shared" si="5"/>
        <v>700</v>
      </c>
      <c r="J20" s="17"/>
    </row>
    <row r="21" s="3" customFormat="1" ht="16" customHeight="1" spans="1:10">
      <c r="A21" s="12">
        <v>16</v>
      </c>
      <c r="B21" s="17" t="s">
        <v>103</v>
      </c>
      <c r="C21" s="17" t="s">
        <v>104</v>
      </c>
      <c r="D21" s="18" t="s">
        <v>33</v>
      </c>
      <c r="E21" s="18">
        <v>45</v>
      </c>
      <c r="F21" s="14">
        <f t="shared" si="3"/>
        <v>4.11764705882353</v>
      </c>
      <c r="G21" s="15">
        <f t="shared" si="4"/>
        <v>0.85</v>
      </c>
      <c r="H21" s="16">
        <v>3.5</v>
      </c>
      <c r="I21" s="16">
        <f t="shared" si="5"/>
        <v>157.5</v>
      </c>
      <c r="J21" s="17"/>
    </row>
    <row r="22" s="3" customFormat="1" ht="16" customHeight="1" spans="1:10">
      <c r="A22" s="12">
        <v>17</v>
      </c>
      <c r="B22" s="17"/>
      <c r="C22" s="17"/>
      <c r="D22" s="17"/>
      <c r="E22" s="18"/>
      <c r="F22" s="14"/>
      <c r="G22" s="15"/>
      <c r="H22" s="16"/>
      <c r="I22" s="16"/>
      <c r="J22" s="17"/>
    </row>
    <row r="23" s="3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6"/>
      <c r="I23" s="16"/>
      <c r="J23" s="17"/>
    </row>
    <row r="24" s="3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3" customFormat="1" ht="16" customHeight="1" spans="1:10">
      <c r="A25" s="12">
        <v>20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3" customFormat="1" ht="16" customHeight="1" spans="1:10">
      <c r="A26" s="12">
        <v>21</v>
      </c>
      <c r="B26" s="17"/>
      <c r="C26" s="17"/>
      <c r="D26" s="17"/>
      <c r="E26" s="18"/>
      <c r="F26" s="14"/>
      <c r="G26" s="15"/>
      <c r="H26" s="16"/>
      <c r="I26" s="16"/>
      <c r="J26" s="17"/>
    </row>
    <row r="27" s="3" customFormat="1" ht="16" customHeight="1" spans="1:10">
      <c r="A27" s="12">
        <v>22</v>
      </c>
      <c r="B27" s="12"/>
      <c r="C27" s="12"/>
      <c r="D27" s="17"/>
      <c r="E27" s="13"/>
      <c r="F27" s="14"/>
      <c r="G27" s="15"/>
      <c r="H27" s="16"/>
      <c r="I27" s="16"/>
      <c r="J27" s="12"/>
    </row>
    <row r="28" s="3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3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3" customFormat="1" customHeight="1" spans="1:10">
      <c r="A34" s="12" t="s">
        <v>36</v>
      </c>
      <c r="B34" s="25">
        <f>SUM(I6:I33)</f>
        <v>1711.2</v>
      </c>
      <c r="C34" s="26"/>
      <c r="D34" s="26"/>
      <c r="E34" s="26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1711.2</v>
      </c>
      <c r="C35" s="29"/>
      <c r="D35" s="29"/>
      <c r="E35" s="29"/>
      <c r="F35" s="29"/>
      <c r="G35" s="29"/>
      <c r="H35" s="29"/>
      <c r="I35" s="29"/>
      <c r="J35" s="32"/>
    </row>
    <row r="36" s="3" customFormat="1" customHeight="1" spans="1:1">
      <c r="A36" s="3" t="s">
        <v>38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9" workbookViewId="0">
      <selection activeCell="I16" sqref="I1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45269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22</v>
      </c>
      <c r="C6" s="12"/>
      <c r="D6" s="13" t="s">
        <v>15</v>
      </c>
      <c r="E6" s="13">
        <v>8.5</v>
      </c>
      <c r="F6" s="14">
        <f t="shared" ref="F6:F21" si="0">H6/0.85</f>
        <v>2.35294117647059</v>
      </c>
      <c r="G6" s="15">
        <f t="shared" ref="G6:G21" si="1">H6/F6</f>
        <v>0.85</v>
      </c>
      <c r="H6" s="16">
        <v>2</v>
      </c>
      <c r="I6" s="16">
        <f t="shared" ref="I6:I21" si="2">E6*H6</f>
        <v>17</v>
      </c>
      <c r="J6" s="12"/>
    </row>
    <row r="7" s="3" customFormat="1" ht="16" customHeight="1" spans="1:10">
      <c r="A7" s="12">
        <v>2</v>
      </c>
      <c r="B7" s="12" t="s">
        <v>41</v>
      </c>
      <c r="C7" s="12"/>
      <c r="D7" s="13" t="s">
        <v>15</v>
      </c>
      <c r="E7" s="13">
        <v>8</v>
      </c>
      <c r="F7" s="14">
        <f t="shared" si="0"/>
        <v>4.47058823529412</v>
      </c>
      <c r="G7" s="15">
        <f t="shared" si="1"/>
        <v>0.85</v>
      </c>
      <c r="H7" s="16">
        <v>3.8</v>
      </c>
      <c r="I7" s="16">
        <f t="shared" si="2"/>
        <v>30.4</v>
      </c>
      <c r="J7" s="12"/>
    </row>
    <row r="8" s="3" customFormat="1" ht="16" customHeight="1" spans="1:10">
      <c r="A8" s="12">
        <v>3</v>
      </c>
      <c r="B8" s="12" t="s">
        <v>74</v>
      </c>
      <c r="C8" s="12"/>
      <c r="D8" s="13" t="s">
        <v>15</v>
      </c>
      <c r="E8" s="13">
        <v>8.3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29.05</v>
      </c>
      <c r="J8" s="12"/>
    </row>
    <row r="9" s="3" customFormat="1" ht="16" customHeight="1" spans="1:10">
      <c r="A9" s="12">
        <v>4</v>
      </c>
      <c r="B9" s="17" t="s">
        <v>42</v>
      </c>
      <c r="C9" s="17"/>
      <c r="D9" s="13" t="s">
        <v>15</v>
      </c>
      <c r="E9" s="13">
        <v>2</v>
      </c>
      <c r="F9" s="14">
        <f t="shared" si="0"/>
        <v>8.82352941176471</v>
      </c>
      <c r="G9" s="15">
        <f t="shared" si="1"/>
        <v>0.85</v>
      </c>
      <c r="H9" s="16">
        <v>7.5</v>
      </c>
      <c r="I9" s="16">
        <f t="shared" si="2"/>
        <v>15</v>
      </c>
      <c r="J9" s="12"/>
    </row>
    <row r="10" s="3" customFormat="1" ht="16" customHeight="1" spans="1:10">
      <c r="A10" s="12">
        <v>5</v>
      </c>
      <c r="B10" s="17" t="s">
        <v>43</v>
      </c>
      <c r="C10" s="17"/>
      <c r="D10" s="13" t="s">
        <v>15</v>
      </c>
      <c r="E10" s="13">
        <v>2</v>
      </c>
      <c r="F10" s="14">
        <f t="shared" si="0"/>
        <v>4.70588235294118</v>
      </c>
      <c r="G10" s="15">
        <f t="shared" si="1"/>
        <v>0.85</v>
      </c>
      <c r="H10" s="16">
        <v>4</v>
      </c>
      <c r="I10" s="16">
        <f t="shared" si="2"/>
        <v>8</v>
      </c>
      <c r="J10" s="12"/>
    </row>
    <row r="11" s="3" customFormat="1" ht="16" customHeight="1" spans="1:10">
      <c r="A11" s="12">
        <v>6</v>
      </c>
      <c r="B11" s="12" t="s">
        <v>105</v>
      </c>
      <c r="C11" s="12"/>
      <c r="D11" s="13" t="s">
        <v>15</v>
      </c>
      <c r="E11" s="13">
        <v>8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30.4</v>
      </c>
      <c r="J11" s="12"/>
    </row>
    <row r="12" s="3" customFormat="1" ht="16" customHeight="1" spans="1:10">
      <c r="A12" s="12">
        <v>7</v>
      </c>
      <c r="B12" s="12" t="s">
        <v>106</v>
      </c>
      <c r="C12" s="12"/>
      <c r="D12" s="13" t="s">
        <v>15</v>
      </c>
      <c r="E12" s="13">
        <v>9.3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23.25</v>
      </c>
      <c r="J12" s="12"/>
    </row>
    <row r="13" s="3" customFormat="1" ht="16" customHeight="1" spans="1:10">
      <c r="A13" s="12">
        <v>8</v>
      </c>
      <c r="B13" s="17" t="s">
        <v>28</v>
      </c>
      <c r="C13" s="17"/>
      <c r="D13" s="18" t="s">
        <v>15</v>
      </c>
      <c r="E13" s="18">
        <v>9.6</v>
      </c>
      <c r="F13" s="14">
        <f t="shared" si="0"/>
        <v>2.11764705882353</v>
      </c>
      <c r="G13" s="15">
        <f t="shared" si="1"/>
        <v>0.85</v>
      </c>
      <c r="H13" s="16">
        <v>1.8</v>
      </c>
      <c r="I13" s="16">
        <f t="shared" si="2"/>
        <v>17.28</v>
      </c>
      <c r="J13" s="17"/>
    </row>
    <row r="14" s="3" customFormat="1" ht="16" customHeight="1" spans="1:10">
      <c r="A14" s="12">
        <v>9</v>
      </c>
      <c r="B14" s="17" t="s">
        <v>82</v>
      </c>
      <c r="C14" s="17"/>
      <c r="D14" s="18" t="s">
        <v>15</v>
      </c>
      <c r="E14" s="18">
        <v>10.3</v>
      </c>
      <c r="F14" s="14">
        <f t="shared" si="0"/>
        <v>2.35294117647059</v>
      </c>
      <c r="G14" s="15">
        <f t="shared" si="1"/>
        <v>0.85</v>
      </c>
      <c r="H14" s="16">
        <v>2</v>
      </c>
      <c r="I14" s="16">
        <f t="shared" si="2"/>
        <v>20.6</v>
      </c>
      <c r="J14" s="17"/>
    </row>
    <row r="15" s="3" customFormat="1" ht="16" customHeight="1" spans="1:10">
      <c r="A15" s="12">
        <v>10</v>
      </c>
      <c r="B15" s="17" t="s">
        <v>57</v>
      </c>
      <c r="C15" s="17"/>
      <c r="D15" s="18" t="s">
        <v>15</v>
      </c>
      <c r="E15" s="18">
        <v>2</v>
      </c>
      <c r="F15" s="14">
        <f t="shared" si="0"/>
        <v>5.64705882352941</v>
      </c>
      <c r="G15" s="15">
        <f t="shared" si="1"/>
        <v>0.85</v>
      </c>
      <c r="H15" s="16">
        <v>4.8</v>
      </c>
      <c r="I15" s="16">
        <f t="shared" si="2"/>
        <v>9.6</v>
      </c>
      <c r="J15" s="17"/>
    </row>
    <row r="16" s="3" customFormat="1" ht="16" customHeight="1" spans="1:10">
      <c r="A16" s="12">
        <v>11</v>
      </c>
      <c r="B16" s="17" t="s">
        <v>76</v>
      </c>
      <c r="C16" s="17"/>
      <c r="D16" s="18" t="s">
        <v>15</v>
      </c>
      <c r="E16" s="18">
        <v>8.2</v>
      </c>
      <c r="F16" s="14">
        <f t="shared" si="0"/>
        <v>5.29411764705882</v>
      </c>
      <c r="G16" s="15">
        <f t="shared" si="1"/>
        <v>0.85</v>
      </c>
      <c r="H16" s="16">
        <v>4.5</v>
      </c>
      <c r="I16" s="16">
        <f t="shared" si="2"/>
        <v>36.9</v>
      </c>
      <c r="J16" s="17"/>
    </row>
    <row r="17" s="3" customFormat="1" ht="16" customHeight="1" spans="1:10">
      <c r="A17" s="12">
        <v>12</v>
      </c>
      <c r="B17" s="17" t="s">
        <v>31</v>
      </c>
      <c r="C17" s="17"/>
      <c r="D17" s="18" t="s">
        <v>15</v>
      </c>
      <c r="E17" s="18">
        <v>5</v>
      </c>
      <c r="F17" s="14">
        <f t="shared" si="0"/>
        <v>16.2352941176471</v>
      </c>
      <c r="G17" s="15">
        <f t="shared" si="1"/>
        <v>0.85</v>
      </c>
      <c r="H17" s="16">
        <v>13.8</v>
      </c>
      <c r="I17" s="16">
        <f t="shared" si="2"/>
        <v>69</v>
      </c>
      <c r="J17" s="17"/>
    </row>
    <row r="18" s="3" customFormat="1" ht="16" customHeight="1" spans="1:10">
      <c r="A18" s="12">
        <v>13</v>
      </c>
      <c r="B18" s="12" t="s">
        <v>51</v>
      </c>
      <c r="C18" s="12"/>
      <c r="D18" s="13" t="s">
        <v>15</v>
      </c>
      <c r="E18" s="13">
        <v>5</v>
      </c>
      <c r="F18" s="14">
        <f t="shared" si="0"/>
        <v>23.5294117647059</v>
      </c>
      <c r="G18" s="15">
        <f t="shared" si="1"/>
        <v>0.85</v>
      </c>
      <c r="H18" s="16">
        <v>20</v>
      </c>
      <c r="I18" s="16">
        <f t="shared" si="2"/>
        <v>100</v>
      </c>
      <c r="J18" s="12"/>
    </row>
    <row r="19" s="3" customFormat="1" ht="16" customHeight="1" spans="1:10">
      <c r="A19" s="12">
        <v>14</v>
      </c>
      <c r="B19" s="17" t="s">
        <v>107</v>
      </c>
      <c r="C19" s="17" t="s">
        <v>108</v>
      </c>
      <c r="D19" s="18" t="s">
        <v>109</v>
      </c>
      <c r="E19" s="18">
        <v>3</v>
      </c>
      <c r="F19" s="14">
        <f t="shared" si="0"/>
        <v>16.2352941176471</v>
      </c>
      <c r="G19" s="15">
        <f t="shared" si="1"/>
        <v>0.85</v>
      </c>
      <c r="H19" s="16">
        <v>13.8</v>
      </c>
      <c r="I19" s="16">
        <f t="shared" si="2"/>
        <v>41.4</v>
      </c>
      <c r="J19" s="17"/>
    </row>
    <row r="20" s="3" customFormat="1" ht="16" customHeight="1" spans="1:10">
      <c r="A20" s="12">
        <v>15</v>
      </c>
      <c r="B20" s="17" t="s">
        <v>110</v>
      </c>
      <c r="C20" s="17" t="s">
        <v>111</v>
      </c>
      <c r="D20" s="18" t="s">
        <v>112</v>
      </c>
      <c r="E20" s="18">
        <v>1</v>
      </c>
      <c r="F20" s="14">
        <f t="shared" si="0"/>
        <v>12.9411764705882</v>
      </c>
      <c r="G20" s="15">
        <f t="shared" si="1"/>
        <v>0.85</v>
      </c>
      <c r="H20" s="16">
        <v>11</v>
      </c>
      <c r="I20" s="16">
        <f t="shared" si="2"/>
        <v>11</v>
      </c>
      <c r="J20" s="17"/>
    </row>
    <row r="21" s="3" customFormat="1" ht="16" customHeight="1" spans="1:10">
      <c r="A21" s="12">
        <v>16</v>
      </c>
      <c r="B21" s="17" t="s">
        <v>113</v>
      </c>
      <c r="C21" s="17" t="s">
        <v>114</v>
      </c>
      <c r="D21" s="18" t="s">
        <v>49</v>
      </c>
      <c r="E21" s="18">
        <v>1</v>
      </c>
      <c r="F21" s="14">
        <f t="shared" si="0"/>
        <v>76.4705882352941</v>
      </c>
      <c r="G21" s="15">
        <f t="shared" si="1"/>
        <v>0.85</v>
      </c>
      <c r="H21" s="16">
        <v>65</v>
      </c>
      <c r="I21" s="16">
        <f t="shared" si="2"/>
        <v>65</v>
      </c>
      <c r="J21" s="17"/>
    </row>
    <row r="22" s="3" customFormat="1" ht="16" customHeight="1" spans="1:10">
      <c r="A22" s="12">
        <v>17</v>
      </c>
      <c r="B22" s="17"/>
      <c r="C22" s="17"/>
      <c r="D22" s="17"/>
      <c r="E22" s="18"/>
      <c r="F22" s="14"/>
      <c r="G22" s="15"/>
      <c r="H22" s="16"/>
      <c r="I22" s="16"/>
      <c r="J22" s="17"/>
    </row>
    <row r="23" s="3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6"/>
      <c r="I23" s="16"/>
      <c r="J23" s="17"/>
    </row>
    <row r="24" s="3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3" customFormat="1" ht="16" customHeight="1" spans="1:10">
      <c r="A25" s="12">
        <v>20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3" customFormat="1" ht="16" customHeight="1" spans="1:10">
      <c r="A26" s="12">
        <v>21</v>
      </c>
      <c r="B26" s="17"/>
      <c r="C26" s="17"/>
      <c r="D26" s="17"/>
      <c r="E26" s="18"/>
      <c r="F26" s="14"/>
      <c r="G26" s="15"/>
      <c r="H26" s="16"/>
      <c r="I26" s="16"/>
      <c r="J26" s="17"/>
    </row>
    <row r="27" s="3" customFormat="1" ht="16" customHeight="1" spans="1:10">
      <c r="A27" s="12">
        <v>22</v>
      </c>
      <c r="B27" s="12"/>
      <c r="C27" s="12"/>
      <c r="D27" s="17"/>
      <c r="E27" s="13"/>
      <c r="F27" s="14"/>
      <c r="G27" s="15"/>
      <c r="H27" s="16"/>
      <c r="I27" s="16"/>
      <c r="J27" s="12"/>
    </row>
    <row r="28" s="3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3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3" customFormat="1" customHeight="1" spans="1:10">
      <c r="A34" s="12" t="s">
        <v>36</v>
      </c>
      <c r="B34" s="25">
        <f>SUM(I6:I33)</f>
        <v>523.88</v>
      </c>
      <c r="C34" s="26"/>
      <c r="D34" s="26"/>
      <c r="E34" s="26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523.88</v>
      </c>
      <c r="C35" s="29"/>
      <c r="D35" s="29"/>
      <c r="E35" s="29"/>
      <c r="F35" s="29"/>
      <c r="G35" s="29"/>
      <c r="H35" s="29"/>
      <c r="I35" s="29"/>
      <c r="J35" s="32"/>
    </row>
    <row r="36" s="3" customFormat="1" customHeight="1" spans="1:1">
      <c r="A36" s="3" t="s">
        <v>38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2" workbookViewId="0">
      <selection activeCell="B23" sqref="B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3.12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9">
        <v>45271</v>
      </c>
      <c r="C4" s="9"/>
      <c r="D4" s="10"/>
      <c r="E4" s="10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3</v>
      </c>
      <c r="F6" s="14">
        <f t="shared" ref="F6:F13" si="0">H6/0.85</f>
        <v>3.52941176470588</v>
      </c>
      <c r="G6" s="15">
        <f t="shared" ref="G6:G13" si="1">H6/F6</f>
        <v>0.85</v>
      </c>
      <c r="H6" s="16">
        <v>3</v>
      </c>
      <c r="I6" s="16">
        <f t="shared" ref="I6:I13" si="2">E6*H6</f>
        <v>9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2" t="s">
        <v>39</v>
      </c>
      <c r="C8" s="12"/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3" customFormat="1" ht="16" customHeight="1" spans="1:10">
      <c r="A9" s="12">
        <v>4</v>
      </c>
      <c r="B9" s="17" t="s">
        <v>115</v>
      </c>
      <c r="C9" s="17"/>
      <c r="D9" s="13" t="s">
        <v>15</v>
      </c>
      <c r="E9" s="13">
        <v>10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35</v>
      </c>
      <c r="J9" s="12"/>
    </row>
    <row r="10" s="3" customFormat="1" ht="16" customHeight="1" spans="1:10">
      <c r="A10" s="12">
        <v>6</v>
      </c>
      <c r="B10" s="12" t="s">
        <v>116</v>
      </c>
      <c r="C10" s="12"/>
      <c r="D10" s="13" t="s">
        <v>15</v>
      </c>
      <c r="E10" s="13">
        <v>7</v>
      </c>
      <c r="F10" s="14">
        <f t="shared" si="0"/>
        <v>5.64705882352941</v>
      </c>
      <c r="G10" s="15">
        <f t="shared" si="1"/>
        <v>0.85</v>
      </c>
      <c r="H10" s="16">
        <v>4.8</v>
      </c>
      <c r="I10" s="16">
        <f t="shared" si="2"/>
        <v>33.6</v>
      </c>
      <c r="J10" s="12"/>
    </row>
    <row r="11" s="3" customFormat="1" ht="16" customHeight="1" spans="1:10">
      <c r="A11" s="12">
        <v>7</v>
      </c>
      <c r="B11" s="12" t="s">
        <v>105</v>
      </c>
      <c r="C11" s="12"/>
      <c r="D11" s="13" t="s">
        <v>15</v>
      </c>
      <c r="E11" s="13">
        <v>5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19</v>
      </c>
      <c r="J11" s="12"/>
    </row>
    <row r="12" s="3" customFormat="1" ht="16" customHeight="1" spans="1:10">
      <c r="A12" s="12">
        <v>8</v>
      </c>
      <c r="B12" s="12" t="s">
        <v>117</v>
      </c>
      <c r="C12" s="12"/>
      <c r="D12" s="13" t="s">
        <v>15</v>
      </c>
      <c r="E12" s="13">
        <v>5</v>
      </c>
      <c r="F12" s="14">
        <f t="shared" si="0"/>
        <v>6.82352941176471</v>
      </c>
      <c r="G12" s="15">
        <f t="shared" si="1"/>
        <v>0.85</v>
      </c>
      <c r="H12" s="16">
        <v>5.8</v>
      </c>
      <c r="I12" s="16">
        <f t="shared" si="2"/>
        <v>29</v>
      </c>
      <c r="J12" s="12"/>
    </row>
    <row r="13" s="3" customFormat="1" ht="16" customHeight="1" spans="1:10">
      <c r="A13" s="12">
        <v>9</v>
      </c>
      <c r="B13" s="17" t="s">
        <v>44</v>
      </c>
      <c r="C13" s="17"/>
      <c r="D13" s="18" t="s">
        <v>15</v>
      </c>
      <c r="E13" s="18">
        <v>2</v>
      </c>
      <c r="F13" s="14">
        <f t="shared" si="0"/>
        <v>9.17647058823529</v>
      </c>
      <c r="G13" s="15">
        <f t="shared" si="1"/>
        <v>0.85</v>
      </c>
      <c r="H13" s="16">
        <v>7.8</v>
      </c>
      <c r="I13" s="16">
        <f t="shared" si="2"/>
        <v>15.6</v>
      </c>
      <c r="J13" s="17"/>
    </row>
    <row r="14" s="3" customFormat="1" ht="16" customHeight="1" spans="1:10">
      <c r="A14" s="12">
        <v>10</v>
      </c>
      <c r="B14" s="17" t="s">
        <v>118</v>
      </c>
      <c r="C14" s="17"/>
      <c r="D14" s="18" t="s">
        <v>15</v>
      </c>
      <c r="E14" s="18">
        <v>13</v>
      </c>
      <c r="F14" s="14">
        <f t="shared" ref="F14:F25" si="3">H14/0.85</f>
        <v>3.29411764705882</v>
      </c>
      <c r="G14" s="15">
        <f t="shared" ref="G14:G25" si="4">H14/F14</f>
        <v>0.85</v>
      </c>
      <c r="H14" s="16">
        <v>2.8</v>
      </c>
      <c r="I14" s="16">
        <f t="shared" ref="I14:I25" si="5">E14*H14</f>
        <v>36.4</v>
      </c>
      <c r="J14" s="17"/>
    </row>
    <row r="15" s="3" customFormat="1" ht="16" customHeight="1" spans="1:10">
      <c r="A15" s="12">
        <v>11</v>
      </c>
      <c r="B15" s="17" t="s">
        <v>45</v>
      </c>
      <c r="C15" s="17"/>
      <c r="D15" s="18" t="s">
        <v>15</v>
      </c>
      <c r="E15" s="18">
        <v>5</v>
      </c>
      <c r="F15" s="14">
        <f t="shared" si="3"/>
        <v>5.64705882352941</v>
      </c>
      <c r="G15" s="15">
        <f t="shared" si="4"/>
        <v>0.85</v>
      </c>
      <c r="H15" s="16">
        <v>4.8</v>
      </c>
      <c r="I15" s="16">
        <f t="shared" si="5"/>
        <v>24</v>
      </c>
      <c r="J15" s="17"/>
    </row>
    <row r="16" s="3" customFormat="1" ht="16" customHeight="1" spans="1:10">
      <c r="A16" s="12">
        <v>12</v>
      </c>
      <c r="B16" s="17" t="s">
        <v>119</v>
      </c>
      <c r="C16" s="17"/>
      <c r="D16" s="18" t="s">
        <v>15</v>
      </c>
      <c r="E16" s="18">
        <v>24.3</v>
      </c>
      <c r="F16" s="14">
        <f t="shared" si="3"/>
        <v>5.29411764705882</v>
      </c>
      <c r="G16" s="15">
        <f t="shared" si="4"/>
        <v>0.85</v>
      </c>
      <c r="H16" s="16">
        <v>4.5</v>
      </c>
      <c r="I16" s="16">
        <f t="shared" si="5"/>
        <v>109.35</v>
      </c>
      <c r="J16" s="17"/>
    </row>
    <row r="17" s="3" customFormat="1" ht="16" customHeight="1" spans="1:10">
      <c r="A17" s="12">
        <v>13</v>
      </c>
      <c r="B17" s="17" t="s">
        <v>60</v>
      </c>
      <c r="C17" s="17"/>
      <c r="D17" s="18" t="s">
        <v>15</v>
      </c>
      <c r="E17" s="18">
        <v>15</v>
      </c>
      <c r="F17" s="14">
        <f t="shared" si="3"/>
        <v>4.11764705882353</v>
      </c>
      <c r="G17" s="15">
        <f t="shared" si="4"/>
        <v>0.85</v>
      </c>
      <c r="H17" s="16">
        <v>3.5</v>
      </c>
      <c r="I17" s="16">
        <f t="shared" si="5"/>
        <v>52.5</v>
      </c>
      <c r="J17" s="17"/>
    </row>
    <row r="18" s="3" customFormat="1" ht="16" customHeight="1" spans="1:10">
      <c r="A18" s="12">
        <v>14</v>
      </c>
      <c r="B18" s="12" t="s">
        <v>61</v>
      </c>
      <c r="C18" s="12"/>
      <c r="D18" s="13" t="s">
        <v>15</v>
      </c>
      <c r="E18" s="13">
        <v>2</v>
      </c>
      <c r="F18" s="14">
        <f t="shared" si="3"/>
        <v>16.2352941176471</v>
      </c>
      <c r="G18" s="15">
        <f t="shared" si="4"/>
        <v>0.85</v>
      </c>
      <c r="H18" s="16">
        <v>13.8</v>
      </c>
      <c r="I18" s="16">
        <f t="shared" si="5"/>
        <v>27.6</v>
      </c>
      <c r="J18" s="12"/>
    </row>
    <row r="19" s="3" customFormat="1" ht="16" customHeight="1" spans="1:10">
      <c r="A19" s="12">
        <v>15</v>
      </c>
      <c r="B19" s="17" t="s">
        <v>31</v>
      </c>
      <c r="C19" s="17"/>
      <c r="D19" s="18" t="s">
        <v>15</v>
      </c>
      <c r="E19" s="18">
        <v>4</v>
      </c>
      <c r="F19" s="14">
        <f t="shared" si="3"/>
        <v>16.2352941176471</v>
      </c>
      <c r="G19" s="15">
        <f t="shared" si="4"/>
        <v>0.85</v>
      </c>
      <c r="H19" s="16">
        <v>13.8</v>
      </c>
      <c r="I19" s="16">
        <f t="shared" si="5"/>
        <v>55.2</v>
      </c>
      <c r="J19" s="17"/>
    </row>
    <row r="20" s="3" customFormat="1" ht="16" customHeight="1" spans="1:10">
      <c r="A20" s="12">
        <v>16</v>
      </c>
      <c r="B20" s="17" t="s">
        <v>120</v>
      </c>
      <c r="C20" s="17"/>
      <c r="D20" s="18" t="s">
        <v>15</v>
      </c>
      <c r="E20" s="18">
        <v>6.5</v>
      </c>
      <c r="F20" s="14">
        <f t="shared" si="3"/>
        <v>28.2352941176471</v>
      </c>
      <c r="G20" s="15">
        <f t="shared" si="4"/>
        <v>0.85</v>
      </c>
      <c r="H20" s="16">
        <v>24</v>
      </c>
      <c r="I20" s="16">
        <f t="shared" si="5"/>
        <v>156</v>
      </c>
      <c r="J20" s="17"/>
    </row>
    <row r="21" s="3" customFormat="1" ht="16" customHeight="1" spans="1:10">
      <c r="A21" s="12">
        <v>17</v>
      </c>
      <c r="B21" s="17" t="s">
        <v>121</v>
      </c>
      <c r="C21" s="17" t="s">
        <v>122</v>
      </c>
      <c r="D21" s="18" t="s">
        <v>55</v>
      </c>
      <c r="E21" s="18">
        <v>5</v>
      </c>
      <c r="F21" s="14">
        <f t="shared" si="3"/>
        <v>10.5882352941176</v>
      </c>
      <c r="G21" s="15">
        <f t="shared" si="4"/>
        <v>0.85</v>
      </c>
      <c r="H21" s="16">
        <v>9</v>
      </c>
      <c r="I21" s="16">
        <f t="shared" si="5"/>
        <v>45</v>
      </c>
      <c r="J21" s="17"/>
    </row>
    <row r="22" s="3" customFormat="1" ht="16" customHeight="1" spans="1:10">
      <c r="A22" s="12">
        <v>18</v>
      </c>
      <c r="B22" s="17" t="s">
        <v>123</v>
      </c>
      <c r="C22" s="17" t="s">
        <v>124</v>
      </c>
      <c r="D22" s="17" t="s">
        <v>125</v>
      </c>
      <c r="E22" s="18">
        <v>6</v>
      </c>
      <c r="F22" s="14">
        <f t="shared" si="3"/>
        <v>10</v>
      </c>
      <c r="G22" s="15">
        <f t="shared" si="4"/>
        <v>0.85</v>
      </c>
      <c r="H22" s="16">
        <v>8.5</v>
      </c>
      <c r="I22" s="16">
        <f t="shared" si="5"/>
        <v>51</v>
      </c>
      <c r="J22" s="17"/>
    </row>
    <row r="23" s="3" customFormat="1" ht="16" customHeight="1" spans="1:10">
      <c r="A23" s="12">
        <v>19</v>
      </c>
      <c r="B23" s="17" t="s">
        <v>71</v>
      </c>
      <c r="C23" s="17" t="s">
        <v>72</v>
      </c>
      <c r="D23" s="18" t="s">
        <v>15</v>
      </c>
      <c r="E23" s="18">
        <v>7</v>
      </c>
      <c r="F23" s="14">
        <f t="shared" si="3"/>
        <v>5.76470588235294</v>
      </c>
      <c r="G23" s="15">
        <f t="shared" si="4"/>
        <v>0.85</v>
      </c>
      <c r="H23" s="16">
        <v>4.9</v>
      </c>
      <c r="I23" s="16">
        <f t="shared" si="5"/>
        <v>34.3</v>
      </c>
      <c r="J23" s="17"/>
    </row>
    <row r="24" s="3" customFormat="1" ht="16" customHeight="1" spans="1:10">
      <c r="A24" s="12">
        <v>20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3" customFormat="1" ht="16" customHeight="1" spans="1:10">
      <c r="A25" s="12">
        <v>21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3" customFormat="1" ht="16" customHeight="1" spans="1:10">
      <c r="A26" s="12">
        <v>22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3" customFormat="1" ht="16" customHeight="1" spans="1:10">
      <c r="A27" s="12">
        <v>23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3" customFormat="1" ht="16" customHeight="1" spans="1:10">
      <c r="A28" s="12">
        <v>24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3" customFormat="1" ht="16" customHeight="1" spans="1:10">
      <c r="A29" s="12">
        <v>25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26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27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3" customFormat="1" ht="16" customHeight="1" spans="1:10">
      <c r="A32" s="12">
        <v>28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3" customFormat="1" customHeight="1" spans="1:10">
      <c r="A33" s="12" t="s">
        <v>36</v>
      </c>
      <c r="B33" s="25">
        <f>SUM(I6:I32)</f>
        <v>760.55</v>
      </c>
      <c r="C33" s="26"/>
      <c r="D33" s="26"/>
      <c r="E33" s="26"/>
      <c r="F33" s="26"/>
      <c r="G33" s="26"/>
      <c r="H33" s="26"/>
      <c r="I33" s="26"/>
      <c r="J33" s="31"/>
    </row>
    <row r="34" s="3" customFormat="1" customHeight="1" spans="1:10">
      <c r="A34" s="12" t="s">
        <v>37</v>
      </c>
      <c r="B34" s="28">
        <f>B33</f>
        <v>760.55</v>
      </c>
      <c r="C34" s="29"/>
      <c r="D34" s="29"/>
      <c r="E34" s="29"/>
      <c r="F34" s="29"/>
      <c r="G34" s="29"/>
      <c r="H34" s="29"/>
      <c r="I34" s="29"/>
      <c r="J34" s="32"/>
    </row>
    <row r="35" s="3" customFormat="1" customHeight="1" spans="1:1">
      <c r="A35" s="3" t="s">
        <v>38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B25">
    <cfRule type="duplicateValues" dxfId="0" priority="2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2" workbookViewId="0">
      <selection activeCell="F27" sqref="F27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45272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13" si="0">H6/0.85</f>
        <v>3.52941176470588</v>
      </c>
      <c r="G6" s="15">
        <f t="shared" ref="G6:G13" si="1">H6/F6</f>
        <v>0.85</v>
      </c>
      <c r="H6" s="16">
        <v>3</v>
      </c>
      <c r="I6" s="16">
        <f t="shared" ref="I6:I13" si="2">E6*H6</f>
        <v>21</v>
      </c>
      <c r="J6" s="12"/>
    </row>
    <row r="7" s="3" customFormat="1" ht="16" customHeight="1" spans="1:10">
      <c r="A7" s="12">
        <v>2</v>
      </c>
      <c r="B7" s="12" t="s">
        <v>126</v>
      </c>
      <c r="C7" s="12"/>
      <c r="D7" s="13" t="s">
        <v>15</v>
      </c>
      <c r="E7" s="13">
        <v>2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8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3" customFormat="1" ht="16" customHeight="1" spans="1:10">
      <c r="A9" s="12">
        <v>4</v>
      </c>
      <c r="B9" s="17" t="s">
        <v>56</v>
      </c>
      <c r="C9" s="17"/>
      <c r="D9" s="13" t="s">
        <v>15</v>
      </c>
      <c r="E9" s="13">
        <v>5</v>
      </c>
      <c r="F9" s="14">
        <f t="shared" si="0"/>
        <v>15.0588235294118</v>
      </c>
      <c r="G9" s="15">
        <f t="shared" si="1"/>
        <v>0.85</v>
      </c>
      <c r="H9" s="16">
        <v>12.8</v>
      </c>
      <c r="I9" s="16">
        <f t="shared" si="2"/>
        <v>64</v>
      </c>
      <c r="J9" s="12"/>
    </row>
    <row r="10" s="3" customFormat="1" ht="16" customHeight="1" spans="1:10">
      <c r="A10" s="12">
        <v>5</v>
      </c>
      <c r="B10" s="17" t="s">
        <v>127</v>
      </c>
      <c r="C10" s="17"/>
      <c r="D10" s="13" t="s">
        <v>15</v>
      </c>
      <c r="E10" s="13">
        <v>4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31.2</v>
      </c>
      <c r="J10" s="12"/>
    </row>
    <row r="11" s="3" customFormat="1" ht="16" customHeight="1" spans="1:10">
      <c r="A11" s="12">
        <v>6</v>
      </c>
      <c r="B11" s="12" t="s">
        <v>20</v>
      </c>
      <c r="C11" s="12"/>
      <c r="D11" s="13" t="s">
        <v>15</v>
      </c>
      <c r="E11" s="13">
        <v>2</v>
      </c>
      <c r="F11" s="14">
        <f t="shared" si="0"/>
        <v>8</v>
      </c>
      <c r="G11" s="15">
        <f t="shared" si="1"/>
        <v>0.85</v>
      </c>
      <c r="H11" s="16">
        <v>6.8</v>
      </c>
      <c r="I11" s="16">
        <f t="shared" si="2"/>
        <v>13.6</v>
      </c>
      <c r="J11" s="12"/>
    </row>
    <row r="12" s="3" customFormat="1" ht="16" customHeight="1" spans="1:10">
      <c r="A12" s="12">
        <v>7</v>
      </c>
      <c r="B12" s="12" t="s">
        <v>42</v>
      </c>
      <c r="C12" s="12"/>
      <c r="D12" s="13" t="s">
        <v>15</v>
      </c>
      <c r="E12" s="13">
        <v>2</v>
      </c>
      <c r="F12" s="14">
        <f t="shared" si="0"/>
        <v>8.82352941176471</v>
      </c>
      <c r="G12" s="15">
        <f t="shared" si="1"/>
        <v>0.85</v>
      </c>
      <c r="H12" s="16">
        <v>7.5</v>
      </c>
      <c r="I12" s="16">
        <f t="shared" si="2"/>
        <v>15</v>
      </c>
      <c r="J12" s="12"/>
    </row>
    <row r="13" s="3" customFormat="1" ht="16" customHeight="1" spans="1:10">
      <c r="A13" s="12">
        <v>8</v>
      </c>
      <c r="B13" s="17" t="s">
        <v>25</v>
      </c>
      <c r="C13" s="17"/>
      <c r="D13" s="18" t="s">
        <v>26</v>
      </c>
      <c r="E13" s="18">
        <v>14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42</v>
      </c>
      <c r="J13" s="17"/>
    </row>
    <row r="14" s="3" customFormat="1" ht="16" customHeight="1" spans="1:10">
      <c r="A14" s="12">
        <v>9</v>
      </c>
      <c r="B14" s="17" t="s">
        <v>43</v>
      </c>
      <c r="C14" s="17"/>
      <c r="D14" s="18" t="s">
        <v>15</v>
      </c>
      <c r="E14" s="18">
        <v>2</v>
      </c>
      <c r="F14" s="14">
        <f t="shared" ref="F14:F24" si="3">H14/0.85</f>
        <v>4.70588235294118</v>
      </c>
      <c r="G14" s="15">
        <f t="shared" ref="G14:G24" si="4">H14/F14</f>
        <v>0.85</v>
      </c>
      <c r="H14" s="19">
        <v>4</v>
      </c>
      <c r="I14" s="16">
        <f t="shared" ref="I14:I24" si="5">E14*H14</f>
        <v>8</v>
      </c>
      <c r="J14" s="17"/>
    </row>
    <row r="15" s="3" customFormat="1" ht="16" customHeight="1" spans="1:10">
      <c r="A15" s="12">
        <v>10</v>
      </c>
      <c r="B15" s="12" t="s">
        <v>128</v>
      </c>
      <c r="C15" s="12"/>
      <c r="D15" s="13" t="s">
        <v>15</v>
      </c>
      <c r="E15" s="13">
        <v>14</v>
      </c>
      <c r="F15" s="14">
        <f t="shared" si="3"/>
        <v>6.82352941176471</v>
      </c>
      <c r="G15" s="15">
        <f t="shared" si="4"/>
        <v>0.85</v>
      </c>
      <c r="H15" s="16">
        <v>5.8</v>
      </c>
      <c r="I15" s="16">
        <f t="shared" si="5"/>
        <v>81.2</v>
      </c>
      <c r="J15" s="12"/>
    </row>
    <row r="16" s="3" customFormat="1" ht="16" customHeight="1" spans="1:10">
      <c r="A16" s="12">
        <v>11</v>
      </c>
      <c r="B16" s="17" t="s">
        <v>44</v>
      </c>
      <c r="C16" s="17"/>
      <c r="D16" s="18" t="s">
        <v>15</v>
      </c>
      <c r="E16" s="18">
        <v>2</v>
      </c>
      <c r="F16" s="14">
        <f t="shared" si="3"/>
        <v>9.17647058823529</v>
      </c>
      <c r="G16" s="15">
        <f t="shared" si="4"/>
        <v>0.85</v>
      </c>
      <c r="H16" s="16">
        <v>7.8</v>
      </c>
      <c r="I16" s="16">
        <f t="shared" si="5"/>
        <v>15.6</v>
      </c>
      <c r="J16" s="17"/>
    </row>
    <row r="17" s="3" customFormat="1" ht="16" customHeight="1" spans="1:10">
      <c r="A17" s="12">
        <v>12</v>
      </c>
      <c r="B17" s="17" t="s">
        <v>75</v>
      </c>
      <c r="C17" s="17"/>
      <c r="D17" s="18" t="s">
        <v>15</v>
      </c>
      <c r="E17" s="18">
        <v>2</v>
      </c>
      <c r="F17" s="14">
        <f t="shared" si="3"/>
        <v>11.5294117647059</v>
      </c>
      <c r="G17" s="15">
        <f t="shared" si="4"/>
        <v>0.85</v>
      </c>
      <c r="H17" s="16">
        <v>9.8</v>
      </c>
      <c r="I17" s="16">
        <f t="shared" si="5"/>
        <v>19.6</v>
      </c>
      <c r="J17" s="17"/>
    </row>
    <row r="18" s="3" customFormat="1" ht="16" customHeight="1" spans="1:10">
      <c r="A18" s="12">
        <v>13</v>
      </c>
      <c r="B18" s="17" t="s">
        <v>129</v>
      </c>
      <c r="C18" s="17"/>
      <c r="D18" s="17" t="s">
        <v>15</v>
      </c>
      <c r="E18" s="18">
        <v>10</v>
      </c>
      <c r="F18" s="14">
        <f t="shared" si="3"/>
        <v>6.82352941176471</v>
      </c>
      <c r="G18" s="15">
        <f t="shared" si="4"/>
        <v>0.85</v>
      </c>
      <c r="H18" s="16">
        <v>5.8</v>
      </c>
      <c r="I18" s="16">
        <f t="shared" si="5"/>
        <v>58</v>
      </c>
      <c r="J18" s="17"/>
    </row>
    <row r="19" s="3" customFormat="1" ht="16" customHeight="1" spans="1:10">
      <c r="A19" s="12">
        <v>14</v>
      </c>
      <c r="B19" s="17" t="s">
        <v>130</v>
      </c>
      <c r="C19" s="17"/>
      <c r="D19" s="18" t="s">
        <v>15</v>
      </c>
      <c r="E19" s="18">
        <v>14</v>
      </c>
      <c r="F19" s="14">
        <f t="shared" si="3"/>
        <v>5.64705882352941</v>
      </c>
      <c r="G19" s="15">
        <f t="shared" si="4"/>
        <v>0.85</v>
      </c>
      <c r="H19" s="16">
        <v>4.8</v>
      </c>
      <c r="I19" s="16">
        <f t="shared" si="5"/>
        <v>67.2</v>
      </c>
      <c r="J19" s="17"/>
    </row>
    <row r="20" s="3" customFormat="1" ht="16" customHeight="1" spans="1:10">
      <c r="A20" s="12">
        <v>15</v>
      </c>
      <c r="B20" s="17" t="s">
        <v>57</v>
      </c>
      <c r="C20" s="17"/>
      <c r="D20" s="18" t="s">
        <v>15</v>
      </c>
      <c r="E20" s="18">
        <v>5</v>
      </c>
      <c r="F20" s="14">
        <f t="shared" si="3"/>
        <v>5.64705882352941</v>
      </c>
      <c r="G20" s="15">
        <f t="shared" si="4"/>
        <v>0.85</v>
      </c>
      <c r="H20" s="16">
        <v>4.8</v>
      </c>
      <c r="I20" s="16">
        <f t="shared" si="5"/>
        <v>24</v>
      </c>
      <c r="J20" s="17"/>
    </row>
    <row r="21" s="3" customFormat="1" ht="16" customHeight="1" spans="1:10">
      <c r="A21" s="12">
        <v>16</v>
      </c>
      <c r="B21" s="12" t="s">
        <v>131</v>
      </c>
      <c r="C21" s="12"/>
      <c r="D21" s="13" t="s">
        <v>15</v>
      </c>
      <c r="E21" s="13">
        <v>2</v>
      </c>
      <c r="F21" s="14">
        <f t="shared" si="3"/>
        <v>4.11764705882353</v>
      </c>
      <c r="G21" s="15">
        <f t="shared" si="4"/>
        <v>0.85</v>
      </c>
      <c r="H21" s="16">
        <v>3.5</v>
      </c>
      <c r="I21" s="16">
        <f t="shared" si="5"/>
        <v>7</v>
      </c>
      <c r="J21" s="12"/>
    </row>
    <row r="22" s="3" customFormat="1" ht="16" customHeight="1" spans="1:10">
      <c r="A22" s="12">
        <v>17</v>
      </c>
      <c r="B22" s="17" t="s">
        <v>47</v>
      </c>
      <c r="C22" s="17" t="s">
        <v>48</v>
      </c>
      <c r="D22" s="13" t="s">
        <v>49</v>
      </c>
      <c r="E22" s="13">
        <v>1</v>
      </c>
      <c r="F22" s="14">
        <f t="shared" si="3"/>
        <v>352.941176470588</v>
      </c>
      <c r="G22" s="15">
        <f t="shared" si="4"/>
        <v>0.85</v>
      </c>
      <c r="H22" s="16">
        <v>300</v>
      </c>
      <c r="I22" s="16">
        <f t="shared" si="5"/>
        <v>300</v>
      </c>
      <c r="J22" s="12"/>
    </row>
    <row r="23" s="3" customFormat="1" ht="16" customHeight="1" spans="1:10">
      <c r="A23" s="12">
        <v>18</v>
      </c>
      <c r="B23" s="17" t="s">
        <v>31</v>
      </c>
      <c r="C23" s="17"/>
      <c r="D23" s="17" t="s">
        <v>15</v>
      </c>
      <c r="E23" s="18">
        <v>3</v>
      </c>
      <c r="F23" s="14">
        <f t="shared" si="3"/>
        <v>16.2352941176471</v>
      </c>
      <c r="G23" s="15">
        <f t="shared" si="4"/>
        <v>0.85</v>
      </c>
      <c r="H23" s="16">
        <v>13.8</v>
      </c>
      <c r="I23" s="16">
        <f t="shared" si="5"/>
        <v>41.4</v>
      </c>
      <c r="J23" s="17"/>
    </row>
    <row r="24" s="3" customFormat="1" ht="16" customHeight="1" spans="1:10">
      <c r="A24" s="12">
        <v>19</v>
      </c>
      <c r="B24" s="12" t="s">
        <v>78</v>
      </c>
      <c r="C24" s="12"/>
      <c r="D24" s="17" t="s">
        <v>15</v>
      </c>
      <c r="E24" s="13">
        <v>8</v>
      </c>
      <c r="F24" s="14">
        <f t="shared" si="3"/>
        <v>32.9411764705882</v>
      </c>
      <c r="G24" s="15">
        <f t="shared" si="4"/>
        <v>0.85</v>
      </c>
      <c r="H24" s="16">
        <v>28</v>
      </c>
      <c r="I24" s="16">
        <f t="shared" si="5"/>
        <v>224</v>
      </c>
      <c r="J24" s="12"/>
    </row>
    <row r="25" s="3" customFormat="1" ht="16" customHeight="1" spans="1:10">
      <c r="A25" s="12">
        <v>20</v>
      </c>
      <c r="B25" s="12" t="s">
        <v>52</v>
      </c>
      <c r="C25" s="12"/>
      <c r="D25" s="13" t="s">
        <v>15</v>
      </c>
      <c r="E25" s="13">
        <v>15.3</v>
      </c>
      <c r="F25" s="14">
        <f t="shared" ref="F25:F30" si="6">H25/0.85</f>
        <v>16.2352941176471</v>
      </c>
      <c r="G25" s="15">
        <f t="shared" ref="G25:G30" si="7">H25/F25</f>
        <v>0.85</v>
      </c>
      <c r="H25" s="16">
        <v>13.8</v>
      </c>
      <c r="I25" s="16">
        <f t="shared" ref="I25:I30" si="8">E25*H25</f>
        <v>211.14</v>
      </c>
      <c r="J25" s="12"/>
    </row>
    <row r="26" s="3" customFormat="1" ht="16" customHeight="1" spans="1:10">
      <c r="A26" s="12">
        <v>21</v>
      </c>
      <c r="B26" s="17" t="s">
        <v>32</v>
      </c>
      <c r="C26" s="17"/>
      <c r="D26" s="18" t="s">
        <v>33</v>
      </c>
      <c r="E26" s="18">
        <v>55</v>
      </c>
      <c r="F26" s="14">
        <f t="shared" si="6"/>
        <v>4.11764705882353</v>
      </c>
      <c r="G26" s="15">
        <f t="shared" si="7"/>
        <v>0.85</v>
      </c>
      <c r="H26" s="16">
        <v>3.5</v>
      </c>
      <c r="I26" s="16">
        <f t="shared" si="8"/>
        <v>192.5</v>
      </c>
      <c r="J26" s="17"/>
    </row>
    <row r="27" s="3" customFormat="1" ht="16" customHeight="1" spans="1:10">
      <c r="A27" s="12">
        <v>22</v>
      </c>
      <c r="B27" s="12" t="s">
        <v>132</v>
      </c>
      <c r="C27" s="12"/>
      <c r="D27" s="17" t="s">
        <v>15</v>
      </c>
      <c r="E27" s="13">
        <v>5</v>
      </c>
      <c r="F27" s="14">
        <f t="shared" si="6"/>
        <v>103.529411764706</v>
      </c>
      <c r="G27" s="15">
        <f t="shared" si="7"/>
        <v>0.85</v>
      </c>
      <c r="H27" s="16">
        <v>88</v>
      </c>
      <c r="I27" s="16">
        <f t="shared" si="8"/>
        <v>440</v>
      </c>
      <c r="J27" s="12"/>
    </row>
    <row r="28" s="3" customFormat="1" ht="16" customHeight="1" spans="1:10">
      <c r="A28" s="12">
        <v>23</v>
      </c>
      <c r="B28" s="12"/>
      <c r="C28" s="12"/>
      <c r="D28" s="12"/>
      <c r="E28" s="13"/>
      <c r="F28" s="14"/>
      <c r="G28" s="15"/>
      <c r="H28" s="16"/>
      <c r="I28" s="16"/>
      <c r="J28" s="12"/>
    </row>
    <row r="29" s="3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3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3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9"/>
      <c r="I31" s="16"/>
      <c r="J31" s="12"/>
    </row>
    <row r="32" s="3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9"/>
      <c r="I32" s="16"/>
      <c r="J32" s="12"/>
    </row>
    <row r="33" s="3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9"/>
      <c r="I33" s="16"/>
      <c r="J33" s="12"/>
    </row>
    <row r="34" s="3" customFormat="1" customHeight="1" spans="1:10">
      <c r="A34" s="12" t="s">
        <v>36</v>
      </c>
      <c r="B34" s="25">
        <f>SUM(I6:I33)</f>
        <v>1908.94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1908.94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sortState ref="A12:J27">
    <sortCondition ref="A12"/>
  </sortState>
  <mergeCells count="4">
    <mergeCell ref="A1:J1"/>
    <mergeCell ref="B34:J34"/>
    <mergeCell ref="B35:J35"/>
    <mergeCell ref="A36:J36"/>
  </mergeCells>
  <conditionalFormatting sqref="B6:B23">
    <cfRule type="duplicateValues" dxfId="0" priority="2"/>
  </conditionalFormatting>
  <conditionalFormatting sqref="B6:B33">
    <cfRule type="duplicateValues" dxfId="0" priority="1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9" workbookViewId="0">
      <selection activeCell="I5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4" width="11.6666666666667" style="3" customWidth="1"/>
    <col min="16335" max="16335" width="11.6666666666667" style="3"/>
    <col min="16336" max="16341" width="11" style="3"/>
    <col min="1634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45273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15</v>
      </c>
      <c r="J6" s="12"/>
    </row>
    <row r="7" s="3" customFormat="1" ht="16" customHeight="1" spans="1:10">
      <c r="A7" s="12">
        <v>2</v>
      </c>
      <c r="B7" s="12" t="s">
        <v>126</v>
      </c>
      <c r="C7" s="12"/>
      <c r="D7" s="13" t="s">
        <v>15</v>
      </c>
      <c r="E7" s="13">
        <v>2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8</v>
      </c>
      <c r="J7" s="12"/>
    </row>
    <row r="8" s="3" customFormat="1" ht="16" customHeight="1" spans="1:10">
      <c r="A8" s="12">
        <v>3</v>
      </c>
      <c r="B8" s="12" t="s">
        <v>18</v>
      </c>
      <c r="C8" s="12"/>
      <c r="D8" s="13" t="s">
        <v>15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3" customFormat="1" ht="16" customHeight="1" spans="1:10">
      <c r="A9" s="12">
        <v>4</v>
      </c>
      <c r="B9" s="17" t="s">
        <v>19</v>
      </c>
      <c r="C9" s="17"/>
      <c r="D9" s="13" t="s">
        <v>15</v>
      </c>
      <c r="E9" s="13">
        <v>6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21</v>
      </c>
      <c r="J9" s="12"/>
    </row>
    <row r="10" s="3" customFormat="1" ht="16" customHeight="1" spans="1:10">
      <c r="A10" s="12">
        <v>5</v>
      </c>
      <c r="B10" s="12" t="s">
        <v>40</v>
      </c>
      <c r="C10" s="12"/>
      <c r="D10" s="13" t="s">
        <v>15</v>
      </c>
      <c r="E10" s="13">
        <v>2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7</v>
      </c>
      <c r="J10" s="12"/>
    </row>
    <row r="11" s="3" customFormat="1" ht="16" customHeight="1" spans="1:10">
      <c r="A11" s="12">
        <v>6</v>
      </c>
      <c r="B11" s="17" t="s">
        <v>73</v>
      </c>
      <c r="C11" s="17"/>
      <c r="D11" s="18" t="s">
        <v>15</v>
      </c>
      <c r="E11" s="18">
        <v>5</v>
      </c>
      <c r="F11" s="14">
        <f t="shared" si="0"/>
        <v>7.05882352941176</v>
      </c>
      <c r="G11" s="15">
        <f t="shared" si="1"/>
        <v>0.85</v>
      </c>
      <c r="H11" s="19">
        <v>6</v>
      </c>
      <c r="I11" s="16">
        <f t="shared" si="2"/>
        <v>30</v>
      </c>
      <c r="J11" s="12"/>
    </row>
    <row r="12" s="3" customFormat="1" ht="16" customHeight="1" spans="1:10">
      <c r="A12" s="12">
        <v>7</v>
      </c>
      <c r="B12" s="17" t="s">
        <v>22</v>
      </c>
      <c r="C12" s="17"/>
      <c r="D12" s="18" t="s">
        <v>15</v>
      </c>
      <c r="E12" s="18">
        <v>6</v>
      </c>
      <c r="F12" s="14">
        <f t="shared" si="0"/>
        <v>2.35294117647059</v>
      </c>
      <c r="G12" s="15">
        <f t="shared" si="1"/>
        <v>0.85</v>
      </c>
      <c r="H12" s="19">
        <v>2</v>
      </c>
      <c r="I12" s="16">
        <f t="shared" si="2"/>
        <v>12</v>
      </c>
      <c r="J12" s="17"/>
    </row>
    <row r="13" s="3" customFormat="1" ht="16" customHeight="1" spans="1:10">
      <c r="A13" s="12">
        <v>8</v>
      </c>
      <c r="B13" s="17" t="s">
        <v>23</v>
      </c>
      <c r="C13" s="17"/>
      <c r="D13" s="18" t="s">
        <v>15</v>
      </c>
      <c r="E13" s="18">
        <v>8</v>
      </c>
      <c r="F13" s="14">
        <f t="shared" si="0"/>
        <v>2.94117647058824</v>
      </c>
      <c r="G13" s="15">
        <f t="shared" si="1"/>
        <v>0.85</v>
      </c>
      <c r="H13" s="19">
        <v>2.5</v>
      </c>
      <c r="I13" s="16">
        <f t="shared" si="2"/>
        <v>20</v>
      </c>
      <c r="J13" s="17"/>
    </row>
    <row r="14" s="3" customFormat="1" ht="16" customHeight="1" spans="1:10">
      <c r="A14" s="12">
        <v>9</v>
      </c>
      <c r="B14" s="17" t="s">
        <v>133</v>
      </c>
      <c r="C14" s="17"/>
      <c r="D14" s="18" t="s">
        <v>15</v>
      </c>
      <c r="E14" s="18">
        <v>2</v>
      </c>
      <c r="F14" s="14">
        <f t="shared" si="0"/>
        <v>10.3529411764706</v>
      </c>
      <c r="G14" s="15">
        <f t="shared" si="1"/>
        <v>0.85</v>
      </c>
      <c r="H14" s="19">
        <v>8.8</v>
      </c>
      <c r="I14" s="16">
        <f t="shared" si="2"/>
        <v>17.6</v>
      </c>
      <c r="J14" s="17"/>
    </row>
    <row r="15" s="3" customFormat="1" ht="16" customHeight="1" spans="1:10">
      <c r="A15" s="12">
        <v>10</v>
      </c>
      <c r="B15" s="17" t="s">
        <v>106</v>
      </c>
      <c r="C15" s="17"/>
      <c r="D15" s="18" t="s">
        <v>15</v>
      </c>
      <c r="E15" s="18">
        <v>12</v>
      </c>
      <c r="F15" s="14">
        <f t="shared" si="0"/>
        <v>2.94117647058824</v>
      </c>
      <c r="G15" s="15">
        <f t="shared" si="1"/>
        <v>0.85</v>
      </c>
      <c r="H15" s="19">
        <v>2.5</v>
      </c>
      <c r="I15" s="16">
        <f t="shared" si="2"/>
        <v>30</v>
      </c>
      <c r="J15" s="17"/>
    </row>
    <row r="16" s="3" customFormat="1" ht="16" customHeight="1" spans="1:10">
      <c r="A16" s="12">
        <v>11</v>
      </c>
      <c r="B16" s="17" t="s">
        <v>94</v>
      </c>
      <c r="C16" s="17"/>
      <c r="D16" s="18" t="s">
        <v>15</v>
      </c>
      <c r="E16" s="18">
        <v>12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57.6</v>
      </c>
      <c r="J16" s="17"/>
    </row>
    <row r="17" s="3" customFormat="1" ht="16" customHeight="1" spans="1:10">
      <c r="A17" s="12">
        <v>12</v>
      </c>
      <c r="B17" s="12" t="s">
        <v>134</v>
      </c>
      <c r="C17" s="12"/>
      <c r="D17" s="13" t="s">
        <v>15</v>
      </c>
      <c r="E17" s="13">
        <v>22.3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151.64</v>
      </c>
      <c r="J17" s="17"/>
    </row>
    <row r="18" s="3" customFormat="1" ht="16" customHeight="1" spans="1:10">
      <c r="A18" s="12">
        <v>13</v>
      </c>
      <c r="B18" s="17" t="s">
        <v>135</v>
      </c>
      <c r="C18" s="17"/>
      <c r="D18" s="17" t="s">
        <v>15</v>
      </c>
      <c r="E18" s="18">
        <v>8</v>
      </c>
      <c r="F18" s="14">
        <f t="shared" si="0"/>
        <v>24.7058823529412</v>
      </c>
      <c r="G18" s="15">
        <f t="shared" si="1"/>
        <v>0.85</v>
      </c>
      <c r="H18" s="19">
        <v>21</v>
      </c>
      <c r="I18" s="16">
        <f t="shared" si="2"/>
        <v>168</v>
      </c>
      <c r="J18" s="12"/>
    </row>
    <row r="19" s="3" customFormat="1" ht="16" customHeight="1" spans="1:10">
      <c r="A19" s="12">
        <v>14</v>
      </c>
      <c r="B19" s="12" t="s">
        <v>50</v>
      </c>
      <c r="C19" s="12"/>
      <c r="D19" s="17" t="s">
        <v>15</v>
      </c>
      <c r="E19" s="13">
        <v>19.4</v>
      </c>
      <c r="F19" s="14">
        <f t="shared" si="0"/>
        <v>25.8823529411765</v>
      </c>
      <c r="G19" s="15">
        <f t="shared" si="1"/>
        <v>0.85</v>
      </c>
      <c r="H19" s="19">
        <v>22</v>
      </c>
      <c r="I19" s="16">
        <f t="shared" si="2"/>
        <v>426.8</v>
      </c>
      <c r="J19" s="17"/>
    </row>
    <row r="20" s="3" customFormat="1" ht="16" customHeight="1" spans="1:10">
      <c r="A20" s="12">
        <v>15</v>
      </c>
      <c r="B20" s="12" t="s">
        <v>136</v>
      </c>
      <c r="C20" s="12"/>
      <c r="D20" s="12" t="s">
        <v>15</v>
      </c>
      <c r="E20" s="13">
        <v>9</v>
      </c>
      <c r="F20" s="14">
        <f t="shared" si="0"/>
        <v>23.5294117647059</v>
      </c>
      <c r="G20" s="15">
        <f t="shared" si="1"/>
        <v>0.85</v>
      </c>
      <c r="H20" s="19">
        <v>20</v>
      </c>
      <c r="I20" s="16">
        <f t="shared" si="2"/>
        <v>180</v>
      </c>
      <c r="J20" s="12"/>
    </row>
    <row r="21" s="3" customFormat="1" ht="16" customHeight="1" spans="1:10">
      <c r="A21" s="12">
        <v>16</v>
      </c>
      <c r="B21" s="12" t="s">
        <v>137</v>
      </c>
      <c r="C21" s="12" t="s">
        <v>138</v>
      </c>
      <c r="D21" s="12" t="s">
        <v>55</v>
      </c>
      <c r="E21" s="13">
        <v>2</v>
      </c>
      <c r="F21" s="14">
        <f t="shared" si="0"/>
        <v>25.8823529411765</v>
      </c>
      <c r="G21" s="15">
        <f t="shared" si="1"/>
        <v>0.85</v>
      </c>
      <c r="H21" s="19">
        <v>22</v>
      </c>
      <c r="I21" s="16">
        <f t="shared" si="2"/>
        <v>44</v>
      </c>
      <c r="J21" s="12"/>
    </row>
    <row r="22" s="3" customFormat="1" ht="16" customHeight="1" spans="1:10">
      <c r="A22" s="12">
        <v>17</v>
      </c>
      <c r="B22" s="12" t="s">
        <v>139</v>
      </c>
      <c r="C22" s="12" t="s">
        <v>17</v>
      </c>
      <c r="D22" s="12" t="s">
        <v>15</v>
      </c>
      <c r="E22" s="13">
        <v>1</v>
      </c>
      <c r="F22" s="14">
        <f t="shared" si="0"/>
        <v>32.9411764705882</v>
      </c>
      <c r="G22" s="15">
        <f t="shared" si="1"/>
        <v>0.85</v>
      </c>
      <c r="H22" s="19">
        <v>28</v>
      </c>
      <c r="I22" s="16">
        <f t="shared" si="2"/>
        <v>28</v>
      </c>
      <c r="J22" s="12"/>
    </row>
    <row r="23" s="3" customFormat="1" ht="16" customHeight="1" spans="1:10">
      <c r="A23" s="12">
        <v>18</v>
      </c>
      <c r="B23" s="14" t="s">
        <v>35</v>
      </c>
      <c r="C23" s="14"/>
      <c r="D23" s="14" t="s">
        <v>15</v>
      </c>
      <c r="E23" s="13">
        <v>5</v>
      </c>
      <c r="F23" s="14">
        <f t="shared" si="0"/>
        <v>103.529411764706</v>
      </c>
      <c r="G23" s="15">
        <f t="shared" si="1"/>
        <v>0.85</v>
      </c>
      <c r="H23" s="19">
        <v>88</v>
      </c>
      <c r="I23" s="16">
        <f t="shared" si="2"/>
        <v>440</v>
      </c>
      <c r="J23" s="12"/>
    </row>
    <row r="24" s="3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3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3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3" customFormat="1" customHeight="1" spans="1:10">
      <c r="A28" s="12">
        <v>23</v>
      </c>
      <c r="B28" s="12"/>
      <c r="C28" s="12"/>
      <c r="D28" s="13"/>
      <c r="E28" s="13"/>
      <c r="F28" s="14"/>
      <c r="G28" s="15"/>
      <c r="H28" s="16"/>
      <c r="I28" s="16"/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3" customFormat="1" customHeight="1" spans="1:10">
      <c r="A33" s="12" t="s">
        <v>36</v>
      </c>
      <c r="B33" s="25">
        <f>SUM(I6:I32)</f>
        <v>1663.64</v>
      </c>
      <c r="C33" s="26"/>
      <c r="D33" s="26"/>
      <c r="E33" s="27"/>
      <c r="F33" s="26"/>
      <c r="G33" s="26"/>
      <c r="H33" s="26"/>
      <c r="I33" s="26"/>
      <c r="J33" s="31"/>
    </row>
    <row r="34" s="3" customFormat="1" customHeight="1" spans="1:10">
      <c r="A34" s="12" t="s">
        <v>37</v>
      </c>
      <c r="B34" s="28">
        <f>B33</f>
        <v>1663.64</v>
      </c>
      <c r="C34" s="29"/>
      <c r="D34" s="29"/>
      <c r="E34" s="27"/>
      <c r="F34" s="29"/>
      <c r="G34" s="29"/>
      <c r="H34" s="29"/>
      <c r="I34" s="29"/>
      <c r="J34" s="32"/>
    </row>
    <row r="35" s="3" customFormat="1" customHeight="1" spans="1:5">
      <c r="A35" s="3" t="s">
        <v>38</v>
      </c>
      <c r="E35" s="5"/>
    </row>
  </sheetData>
  <sortState ref="A11:I29">
    <sortCondition ref="A11"/>
  </sortState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18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8" workbookViewId="0">
      <selection activeCell="H12" sqref="H1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9" width="11.6666666666667" style="3" customWidth="1"/>
    <col min="16320" max="16320" width="11.6666666666667" style="3"/>
    <col min="16321" max="16326" width="11" style="3"/>
    <col min="1632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45274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14" si="0">H6/0.85</f>
        <v>3.52941176470588</v>
      </c>
      <c r="G6" s="15">
        <f t="shared" ref="G6:G14" si="1">H6/F6</f>
        <v>0.85</v>
      </c>
      <c r="H6" s="16">
        <v>3</v>
      </c>
      <c r="I6" s="16">
        <f t="shared" ref="I6:I14" si="2">E6*H6</f>
        <v>15</v>
      </c>
      <c r="J6" s="12"/>
    </row>
    <row r="7" s="3" customFormat="1" ht="16" customHeight="1" spans="1:10">
      <c r="A7" s="12">
        <v>2</v>
      </c>
      <c r="B7" s="12" t="s">
        <v>19</v>
      </c>
      <c r="C7" s="12"/>
      <c r="D7" s="13" t="s">
        <v>15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3" customFormat="1" ht="16" customHeight="1" spans="1:10">
      <c r="A8" s="12">
        <v>3</v>
      </c>
      <c r="B8" s="12" t="s">
        <v>74</v>
      </c>
      <c r="C8" s="12"/>
      <c r="D8" s="13" t="s">
        <v>15</v>
      </c>
      <c r="E8" s="13">
        <v>9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31.5</v>
      </c>
      <c r="J8" s="12"/>
    </row>
    <row r="9" s="3" customFormat="1" ht="16" customHeight="1" spans="1:10">
      <c r="A9" s="12">
        <v>4</v>
      </c>
      <c r="B9" s="17" t="s">
        <v>42</v>
      </c>
      <c r="C9" s="17"/>
      <c r="D9" s="13" t="s">
        <v>15</v>
      </c>
      <c r="E9" s="13">
        <v>3</v>
      </c>
      <c r="F9" s="14">
        <f t="shared" si="0"/>
        <v>8.82352941176471</v>
      </c>
      <c r="G9" s="15">
        <f t="shared" si="1"/>
        <v>0.85</v>
      </c>
      <c r="H9" s="16">
        <v>7.5</v>
      </c>
      <c r="I9" s="16">
        <f t="shared" si="2"/>
        <v>22.5</v>
      </c>
      <c r="J9" s="12"/>
    </row>
    <row r="10" s="3" customFormat="1" ht="16" customHeight="1" spans="1:10">
      <c r="A10" s="12">
        <v>5</v>
      </c>
      <c r="B10" s="12" t="s">
        <v>43</v>
      </c>
      <c r="C10" s="12"/>
      <c r="D10" s="13" t="s">
        <v>15</v>
      </c>
      <c r="E10" s="13">
        <v>3</v>
      </c>
      <c r="F10" s="14">
        <f t="shared" si="0"/>
        <v>4.70588235294118</v>
      </c>
      <c r="G10" s="15">
        <f t="shared" si="1"/>
        <v>0.85</v>
      </c>
      <c r="H10" s="16">
        <v>4</v>
      </c>
      <c r="I10" s="16">
        <f t="shared" si="2"/>
        <v>12</v>
      </c>
      <c r="J10" s="12"/>
    </row>
    <row r="11" s="3" customFormat="1" ht="16" customHeight="1" spans="1:10">
      <c r="A11" s="12">
        <v>6</v>
      </c>
      <c r="B11" s="12" t="s">
        <v>106</v>
      </c>
      <c r="C11" s="12"/>
      <c r="D11" s="13" t="s">
        <v>15</v>
      </c>
      <c r="E11" s="13">
        <v>7</v>
      </c>
      <c r="F11" s="14">
        <f t="shared" si="0"/>
        <v>2.94117647058824</v>
      </c>
      <c r="G11" s="15">
        <f t="shared" si="1"/>
        <v>0.85</v>
      </c>
      <c r="H11" s="16">
        <v>2.5</v>
      </c>
      <c r="I11" s="16">
        <f t="shared" si="2"/>
        <v>17.5</v>
      </c>
      <c r="J11" s="12"/>
    </row>
    <row r="12" s="3" customFormat="1" ht="16" customHeight="1" spans="1:10">
      <c r="A12" s="12">
        <v>7</v>
      </c>
      <c r="B12" s="17" t="s">
        <v>81</v>
      </c>
      <c r="C12" s="17"/>
      <c r="D12" s="18" t="s">
        <v>15</v>
      </c>
      <c r="E12" s="18">
        <v>5.9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14.75</v>
      </c>
      <c r="J12" s="17"/>
    </row>
    <row r="13" s="3" customFormat="1" ht="16" customHeight="1" spans="1:10">
      <c r="A13" s="12">
        <v>8</v>
      </c>
      <c r="B13" s="17" t="s">
        <v>140</v>
      </c>
      <c r="C13" s="17" t="s">
        <v>141</v>
      </c>
      <c r="D13" s="18" t="s">
        <v>15</v>
      </c>
      <c r="E13" s="18">
        <v>7</v>
      </c>
      <c r="F13" s="14">
        <f t="shared" si="0"/>
        <v>10.3529411764706</v>
      </c>
      <c r="G13" s="15">
        <f t="shared" si="1"/>
        <v>0.85</v>
      </c>
      <c r="H13" s="16">
        <v>8.8</v>
      </c>
      <c r="I13" s="16">
        <f t="shared" si="2"/>
        <v>61.6</v>
      </c>
      <c r="J13" s="17"/>
    </row>
    <row r="14" s="3" customFormat="1" ht="16" customHeight="1" spans="1:10">
      <c r="A14" s="12">
        <v>9</v>
      </c>
      <c r="B14" s="17" t="s">
        <v>75</v>
      </c>
      <c r="C14" s="17"/>
      <c r="D14" s="18" t="s">
        <v>15</v>
      </c>
      <c r="E14" s="18">
        <v>2</v>
      </c>
      <c r="F14" s="14">
        <f t="shared" si="0"/>
        <v>11.5294117647059</v>
      </c>
      <c r="G14" s="15">
        <f t="shared" si="1"/>
        <v>0.85</v>
      </c>
      <c r="H14" s="16">
        <v>9.8</v>
      </c>
      <c r="I14" s="16">
        <f t="shared" si="2"/>
        <v>19.6</v>
      </c>
      <c r="J14" s="17"/>
    </row>
    <row r="15" s="3" customFormat="1" ht="16" customHeight="1" spans="1:10">
      <c r="A15" s="12">
        <v>10</v>
      </c>
      <c r="B15" s="17" t="s">
        <v>57</v>
      </c>
      <c r="C15" s="17"/>
      <c r="D15" s="18" t="s">
        <v>15</v>
      </c>
      <c r="E15" s="18">
        <v>2</v>
      </c>
      <c r="F15" s="14">
        <f t="shared" ref="F15:F27" si="3">H15/0.85</f>
        <v>5.64705882352941</v>
      </c>
      <c r="G15" s="15">
        <f t="shared" ref="G15:G27" si="4">H15/F15</f>
        <v>0.85</v>
      </c>
      <c r="H15" s="16">
        <v>4.8</v>
      </c>
      <c r="I15" s="16">
        <f t="shared" ref="I15:I27" si="5">E15*H15</f>
        <v>9.6</v>
      </c>
      <c r="J15" s="17"/>
    </row>
    <row r="16" s="3" customFormat="1" ht="16" customHeight="1" spans="1:10">
      <c r="A16" s="12">
        <v>11</v>
      </c>
      <c r="B16" s="17" t="s">
        <v>76</v>
      </c>
      <c r="C16" s="17"/>
      <c r="D16" s="18" t="s">
        <v>15</v>
      </c>
      <c r="E16" s="18">
        <v>12</v>
      </c>
      <c r="F16" s="14">
        <f t="shared" si="3"/>
        <v>5.29411764705882</v>
      </c>
      <c r="G16" s="15">
        <f t="shared" si="4"/>
        <v>0.85</v>
      </c>
      <c r="H16" s="16">
        <v>4.5</v>
      </c>
      <c r="I16" s="16">
        <f t="shared" si="5"/>
        <v>54</v>
      </c>
      <c r="J16" s="17"/>
    </row>
    <row r="17" s="3" customFormat="1" ht="16" customHeight="1" spans="1:10">
      <c r="A17" s="12">
        <v>12</v>
      </c>
      <c r="B17" s="17" t="s">
        <v>84</v>
      </c>
      <c r="C17" s="17"/>
      <c r="D17" s="18" t="s">
        <v>15</v>
      </c>
      <c r="E17" s="18">
        <v>5</v>
      </c>
      <c r="F17" s="14">
        <f t="shared" si="3"/>
        <v>8</v>
      </c>
      <c r="G17" s="15">
        <f t="shared" si="4"/>
        <v>0.85</v>
      </c>
      <c r="H17" s="16">
        <v>6.8</v>
      </c>
      <c r="I17" s="16">
        <f t="shared" si="5"/>
        <v>34</v>
      </c>
      <c r="J17" s="17"/>
    </row>
    <row r="18" s="3" customFormat="1" ht="16" customHeight="1" spans="1:10">
      <c r="A18" s="12">
        <v>13</v>
      </c>
      <c r="B18" s="17" t="s">
        <v>60</v>
      </c>
      <c r="C18" s="17"/>
      <c r="D18" s="17" t="s">
        <v>15</v>
      </c>
      <c r="E18" s="18">
        <v>6</v>
      </c>
      <c r="F18" s="14">
        <f t="shared" si="3"/>
        <v>4.11764705882353</v>
      </c>
      <c r="G18" s="15">
        <f t="shared" si="4"/>
        <v>0.85</v>
      </c>
      <c r="H18" s="16">
        <v>3.5</v>
      </c>
      <c r="I18" s="16">
        <f t="shared" si="5"/>
        <v>21</v>
      </c>
      <c r="J18" s="12"/>
    </row>
    <row r="19" s="3" customFormat="1" ht="16" customHeight="1" spans="1:10">
      <c r="A19" s="12">
        <v>14</v>
      </c>
      <c r="B19" s="12" t="s">
        <v>50</v>
      </c>
      <c r="C19" s="12"/>
      <c r="D19" s="17" t="s">
        <v>15</v>
      </c>
      <c r="E19" s="13">
        <v>9.4</v>
      </c>
      <c r="F19" s="14">
        <f t="shared" si="3"/>
        <v>25.8823529411765</v>
      </c>
      <c r="G19" s="15">
        <f t="shared" si="4"/>
        <v>0.85</v>
      </c>
      <c r="H19" s="16">
        <v>22</v>
      </c>
      <c r="I19" s="16">
        <f t="shared" si="5"/>
        <v>206.8</v>
      </c>
      <c r="J19" s="17"/>
    </row>
    <row r="20" s="3" customFormat="1" ht="16" customHeight="1" spans="1:10">
      <c r="A20" s="12">
        <v>15</v>
      </c>
      <c r="B20" s="12" t="s">
        <v>77</v>
      </c>
      <c r="C20" s="12"/>
      <c r="D20" s="12" t="s">
        <v>15</v>
      </c>
      <c r="E20" s="13">
        <v>6</v>
      </c>
      <c r="F20" s="14">
        <f t="shared" si="3"/>
        <v>17.4117647058824</v>
      </c>
      <c r="G20" s="15">
        <f t="shared" si="4"/>
        <v>0.85</v>
      </c>
      <c r="H20" s="16">
        <v>14.8</v>
      </c>
      <c r="I20" s="16">
        <f t="shared" si="5"/>
        <v>88.8</v>
      </c>
      <c r="J20" s="12"/>
    </row>
    <row r="21" s="3" customFormat="1" ht="16" customHeight="1" spans="1:10">
      <c r="A21" s="12">
        <v>16</v>
      </c>
      <c r="B21" s="12" t="s">
        <v>31</v>
      </c>
      <c r="C21" s="12"/>
      <c r="D21" s="12" t="s">
        <v>15</v>
      </c>
      <c r="E21" s="13">
        <v>2</v>
      </c>
      <c r="F21" s="14">
        <f t="shared" si="3"/>
        <v>16.2352941176471</v>
      </c>
      <c r="G21" s="15">
        <f t="shared" si="4"/>
        <v>0.85</v>
      </c>
      <c r="H21" s="16">
        <v>13.8</v>
      </c>
      <c r="I21" s="16">
        <f t="shared" si="5"/>
        <v>27.6</v>
      </c>
      <c r="J21" s="12"/>
    </row>
    <row r="22" s="3" customFormat="1" ht="16" customHeight="1" spans="1:10">
      <c r="A22" s="12">
        <v>17</v>
      </c>
      <c r="B22" s="12" t="s">
        <v>51</v>
      </c>
      <c r="C22" s="12"/>
      <c r="D22" s="12" t="s">
        <v>15</v>
      </c>
      <c r="E22" s="13">
        <v>6</v>
      </c>
      <c r="F22" s="14">
        <f t="shared" si="3"/>
        <v>23.5294117647059</v>
      </c>
      <c r="G22" s="15">
        <f t="shared" si="4"/>
        <v>0.85</v>
      </c>
      <c r="H22" s="16">
        <v>20</v>
      </c>
      <c r="I22" s="16">
        <f t="shared" si="5"/>
        <v>120</v>
      </c>
      <c r="J22" s="12"/>
    </row>
    <row r="23" s="3" customFormat="1" customHeight="1" spans="1:10">
      <c r="A23" s="12">
        <v>18</v>
      </c>
      <c r="B23" s="14" t="s">
        <v>142</v>
      </c>
      <c r="C23" s="14"/>
      <c r="D23" s="14" t="s">
        <v>15</v>
      </c>
      <c r="E23" s="13">
        <v>7</v>
      </c>
      <c r="F23" s="14">
        <f t="shared" si="3"/>
        <v>19.7647058823529</v>
      </c>
      <c r="G23" s="15">
        <f t="shared" si="4"/>
        <v>0.85</v>
      </c>
      <c r="H23" s="16">
        <v>16.8</v>
      </c>
      <c r="I23" s="16">
        <f t="shared" si="5"/>
        <v>117.6</v>
      </c>
      <c r="J23" s="12"/>
    </row>
    <row r="24" s="3" customFormat="1" customHeight="1" spans="1:10">
      <c r="A24" s="12">
        <v>19</v>
      </c>
      <c r="B24" s="14" t="s">
        <v>143</v>
      </c>
      <c r="C24" s="14"/>
      <c r="D24" s="14" t="s">
        <v>15</v>
      </c>
      <c r="E24" s="13">
        <v>6</v>
      </c>
      <c r="F24" s="14">
        <f t="shared" si="3"/>
        <v>5.88235294117647</v>
      </c>
      <c r="G24" s="15">
        <f t="shared" si="4"/>
        <v>0.85</v>
      </c>
      <c r="H24" s="16">
        <v>5</v>
      </c>
      <c r="I24" s="16">
        <f t="shared" si="5"/>
        <v>30</v>
      </c>
      <c r="J24" s="14"/>
    </row>
    <row r="25" s="3" customFormat="1" customHeight="1" spans="1:10">
      <c r="A25" s="12">
        <v>20</v>
      </c>
      <c r="B25" s="14" t="s">
        <v>32</v>
      </c>
      <c r="C25" s="14"/>
      <c r="D25" s="14" t="s">
        <v>33</v>
      </c>
      <c r="E25" s="13">
        <v>55</v>
      </c>
      <c r="F25" s="14">
        <f t="shared" si="3"/>
        <v>4.11764705882353</v>
      </c>
      <c r="G25" s="15">
        <f t="shared" si="4"/>
        <v>0.85</v>
      </c>
      <c r="H25" s="16">
        <v>3.5</v>
      </c>
      <c r="I25" s="16">
        <f t="shared" si="5"/>
        <v>192.5</v>
      </c>
      <c r="J25" s="14"/>
    </row>
    <row r="26" s="3" customFormat="1" customHeight="1" spans="1:10">
      <c r="A26" s="12">
        <v>21</v>
      </c>
      <c r="B26" s="14" t="s">
        <v>34</v>
      </c>
      <c r="C26" s="14"/>
      <c r="D26" s="14" t="s">
        <v>15</v>
      </c>
      <c r="E26" s="13">
        <v>8</v>
      </c>
      <c r="F26" s="14">
        <f t="shared" si="3"/>
        <v>51.7647058823529</v>
      </c>
      <c r="G26" s="15">
        <f t="shared" si="4"/>
        <v>0.85</v>
      </c>
      <c r="H26" s="16">
        <v>44</v>
      </c>
      <c r="I26" s="16">
        <f t="shared" si="5"/>
        <v>352</v>
      </c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 t="s">
        <v>36</v>
      </c>
      <c r="B31" s="25">
        <f>SUM(I6:I30)</f>
        <v>1462.35</v>
      </c>
      <c r="C31" s="26"/>
      <c r="D31" s="26"/>
      <c r="E31" s="27"/>
      <c r="F31" s="26"/>
      <c r="G31" s="26"/>
      <c r="H31" s="26"/>
      <c r="I31" s="26"/>
      <c r="J31" s="31"/>
    </row>
    <row r="32" s="3" customFormat="1" customHeight="1" spans="1:10">
      <c r="A32" s="12" t="s">
        <v>37</v>
      </c>
      <c r="B32" s="28">
        <f>B31</f>
        <v>1462.35</v>
      </c>
      <c r="C32" s="29"/>
      <c r="D32" s="29"/>
      <c r="E32" s="27"/>
      <c r="F32" s="29"/>
      <c r="G32" s="29"/>
      <c r="H32" s="29"/>
      <c r="I32" s="29"/>
      <c r="J32" s="32"/>
    </row>
    <row r="33" s="3" customFormat="1" customHeight="1" spans="1:5">
      <c r="A33" s="3" t="s">
        <v>38</v>
      </c>
      <c r="E33" s="5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8" workbookViewId="0">
      <selection activeCell="E20" sqref="E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45275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11" si="0">H6/0.85</f>
        <v>3.52941176470588</v>
      </c>
      <c r="G6" s="15">
        <f t="shared" ref="G6:G11" si="1">H6/F6</f>
        <v>0.85</v>
      </c>
      <c r="H6" s="16">
        <v>3</v>
      </c>
      <c r="I6" s="16">
        <f t="shared" ref="I6:I11" si="2">E6*H6</f>
        <v>12</v>
      </c>
      <c r="J6" s="12"/>
    </row>
    <row r="7" s="3" customFormat="1" ht="16" customHeight="1" spans="1:10">
      <c r="A7" s="12">
        <v>2</v>
      </c>
      <c r="B7" s="12" t="s">
        <v>16</v>
      </c>
      <c r="C7" s="12" t="s">
        <v>17</v>
      </c>
      <c r="D7" s="13" t="s">
        <v>15</v>
      </c>
      <c r="E7" s="13">
        <v>10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35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3" customFormat="1" ht="16" customHeight="1" spans="1:10">
      <c r="A9" s="12">
        <v>4</v>
      </c>
      <c r="B9" s="12" t="s">
        <v>22</v>
      </c>
      <c r="C9" s="12"/>
      <c r="D9" s="13" t="s">
        <v>15</v>
      </c>
      <c r="E9" s="13">
        <v>4</v>
      </c>
      <c r="F9" s="14">
        <f t="shared" si="0"/>
        <v>2.35294117647059</v>
      </c>
      <c r="G9" s="15">
        <f t="shared" si="1"/>
        <v>0.85</v>
      </c>
      <c r="H9" s="16">
        <v>2</v>
      </c>
      <c r="I9" s="16">
        <f t="shared" si="2"/>
        <v>8</v>
      </c>
      <c r="J9" s="12"/>
    </row>
    <row r="10" s="3" customFormat="1" ht="16" customHeight="1" spans="1:10">
      <c r="A10" s="12">
        <v>5</v>
      </c>
      <c r="B10" s="12" t="s">
        <v>42</v>
      </c>
      <c r="C10" s="12"/>
      <c r="D10" s="13" t="s">
        <v>15</v>
      </c>
      <c r="E10" s="13">
        <v>2</v>
      </c>
      <c r="F10" s="14">
        <f t="shared" si="0"/>
        <v>8.82352941176471</v>
      </c>
      <c r="G10" s="15">
        <f t="shared" si="1"/>
        <v>0.85</v>
      </c>
      <c r="H10" s="16">
        <v>7.5</v>
      </c>
      <c r="I10" s="16">
        <f t="shared" si="2"/>
        <v>15</v>
      </c>
      <c r="J10" s="12"/>
    </row>
    <row r="11" s="3" customFormat="1" ht="16" customHeight="1" spans="1:10">
      <c r="A11" s="12">
        <v>6</v>
      </c>
      <c r="B11" s="17" t="s">
        <v>23</v>
      </c>
      <c r="C11" s="17"/>
      <c r="D11" s="18" t="s">
        <v>15</v>
      </c>
      <c r="E11" s="18">
        <v>3</v>
      </c>
      <c r="F11" s="14">
        <f t="shared" si="0"/>
        <v>2.94117647058824</v>
      </c>
      <c r="G11" s="15">
        <f t="shared" si="1"/>
        <v>0.85</v>
      </c>
      <c r="H11" s="19">
        <v>2.5</v>
      </c>
      <c r="I11" s="16">
        <f t="shared" si="2"/>
        <v>7.5</v>
      </c>
      <c r="J11" s="17"/>
    </row>
    <row r="12" s="3" customFormat="1" ht="16" customHeight="1" spans="1:10">
      <c r="A12" s="12">
        <v>7</v>
      </c>
      <c r="B12" s="17" t="s">
        <v>25</v>
      </c>
      <c r="C12" s="17"/>
      <c r="D12" s="18" t="s">
        <v>26</v>
      </c>
      <c r="E12" s="18">
        <v>8</v>
      </c>
      <c r="F12" s="14">
        <f t="shared" ref="F12:F28" si="3">H12/0.85</f>
        <v>3.52941176470588</v>
      </c>
      <c r="G12" s="15">
        <f t="shared" ref="G12:G28" si="4">H12/F12</f>
        <v>0.85</v>
      </c>
      <c r="H12" s="19">
        <v>3</v>
      </c>
      <c r="I12" s="16">
        <f t="shared" ref="I12:I28" si="5">E12*H12</f>
        <v>24</v>
      </c>
      <c r="J12" s="17"/>
    </row>
    <row r="13" s="3" customFormat="1" ht="16" customHeight="1" spans="1:10">
      <c r="A13" s="12">
        <v>8</v>
      </c>
      <c r="B13" s="17" t="s">
        <v>133</v>
      </c>
      <c r="C13" s="17"/>
      <c r="D13" s="18" t="s">
        <v>15</v>
      </c>
      <c r="E13" s="18">
        <v>5</v>
      </c>
      <c r="F13" s="14">
        <f t="shared" si="3"/>
        <v>10.3529411764706</v>
      </c>
      <c r="G13" s="15">
        <f t="shared" si="4"/>
        <v>0.85</v>
      </c>
      <c r="H13" s="19">
        <v>8.8</v>
      </c>
      <c r="I13" s="16">
        <f t="shared" si="5"/>
        <v>44</v>
      </c>
      <c r="J13" s="17"/>
    </row>
    <row r="14" s="3" customFormat="1" ht="16" customHeight="1" spans="1:10">
      <c r="A14" s="12">
        <v>9</v>
      </c>
      <c r="B14" s="17" t="s">
        <v>43</v>
      </c>
      <c r="C14" s="17"/>
      <c r="D14" s="18" t="s">
        <v>15</v>
      </c>
      <c r="E14" s="18">
        <v>2</v>
      </c>
      <c r="F14" s="14">
        <f t="shared" si="3"/>
        <v>4.70588235294118</v>
      </c>
      <c r="G14" s="15">
        <f t="shared" si="4"/>
        <v>0.85</v>
      </c>
      <c r="H14" s="19">
        <v>4</v>
      </c>
      <c r="I14" s="16">
        <f t="shared" si="5"/>
        <v>8</v>
      </c>
      <c r="J14" s="17"/>
    </row>
    <row r="15" s="3" customFormat="1" ht="16" customHeight="1" spans="1:10">
      <c r="A15" s="12">
        <v>10</v>
      </c>
      <c r="B15" s="17" t="s">
        <v>27</v>
      </c>
      <c r="C15" s="17"/>
      <c r="D15" s="18" t="s">
        <v>15</v>
      </c>
      <c r="E15" s="18">
        <v>14</v>
      </c>
      <c r="F15" s="14">
        <f t="shared" si="3"/>
        <v>4.47058823529412</v>
      </c>
      <c r="G15" s="15">
        <f t="shared" si="4"/>
        <v>0.85</v>
      </c>
      <c r="H15" s="19">
        <v>3.8</v>
      </c>
      <c r="I15" s="16">
        <f t="shared" si="5"/>
        <v>53.2</v>
      </c>
      <c r="J15" s="17"/>
    </row>
    <row r="16" s="3" customFormat="1" ht="16" customHeight="1" spans="1:10">
      <c r="A16" s="12">
        <v>11</v>
      </c>
      <c r="B16" s="12" t="s">
        <v>144</v>
      </c>
      <c r="C16" s="12"/>
      <c r="D16" s="13" t="s">
        <v>15</v>
      </c>
      <c r="E16" s="13">
        <v>5</v>
      </c>
      <c r="F16" s="14">
        <f t="shared" si="3"/>
        <v>4.47058823529412</v>
      </c>
      <c r="G16" s="15">
        <f t="shared" si="4"/>
        <v>0.85</v>
      </c>
      <c r="H16" s="19">
        <v>3.8</v>
      </c>
      <c r="I16" s="16">
        <f t="shared" si="5"/>
        <v>19</v>
      </c>
      <c r="J16" s="12"/>
    </row>
    <row r="17" s="3" customFormat="1" ht="16" customHeight="1" spans="1:10">
      <c r="A17" s="12">
        <v>12</v>
      </c>
      <c r="B17" s="17" t="s">
        <v>28</v>
      </c>
      <c r="C17" s="17"/>
      <c r="D17" s="17" t="s">
        <v>15</v>
      </c>
      <c r="E17" s="18">
        <v>13</v>
      </c>
      <c r="F17" s="14">
        <f t="shared" si="3"/>
        <v>2.11764705882353</v>
      </c>
      <c r="G17" s="15">
        <f t="shared" si="4"/>
        <v>0.85</v>
      </c>
      <c r="H17" s="19">
        <v>1.8</v>
      </c>
      <c r="I17" s="16">
        <f t="shared" si="5"/>
        <v>23.4</v>
      </c>
      <c r="J17" s="17"/>
    </row>
    <row r="18" s="3" customFormat="1" ht="16" customHeight="1" spans="1:10">
      <c r="A18" s="12">
        <v>13</v>
      </c>
      <c r="B18" s="12" t="s">
        <v>145</v>
      </c>
      <c r="C18" s="12"/>
      <c r="D18" s="17" t="s">
        <v>15</v>
      </c>
      <c r="E18" s="13">
        <v>28.7</v>
      </c>
      <c r="F18" s="14">
        <f t="shared" si="3"/>
        <v>12.7058823529412</v>
      </c>
      <c r="G18" s="15">
        <f t="shared" si="4"/>
        <v>0.85</v>
      </c>
      <c r="H18" s="19">
        <v>10.8</v>
      </c>
      <c r="I18" s="16">
        <f t="shared" si="5"/>
        <v>309.96</v>
      </c>
      <c r="J18" s="12"/>
    </row>
    <row r="19" s="3" customFormat="1" ht="16" customHeight="1" spans="1:10">
      <c r="A19" s="12">
        <v>14</v>
      </c>
      <c r="B19" s="12" t="s">
        <v>77</v>
      </c>
      <c r="C19" s="12"/>
      <c r="D19" s="12" t="s">
        <v>15</v>
      </c>
      <c r="E19" s="13">
        <v>5.7</v>
      </c>
      <c r="F19" s="14">
        <f t="shared" si="3"/>
        <v>17.4117647058824</v>
      </c>
      <c r="G19" s="15">
        <f t="shared" si="4"/>
        <v>0.85</v>
      </c>
      <c r="H19" s="19">
        <v>14.8</v>
      </c>
      <c r="I19" s="16">
        <f t="shared" si="5"/>
        <v>84.36</v>
      </c>
      <c r="J19" s="12"/>
    </row>
    <row r="20" s="3" customFormat="1" ht="16" customHeight="1" spans="1:10">
      <c r="A20" s="12">
        <v>15</v>
      </c>
      <c r="B20" s="12" t="s">
        <v>146</v>
      </c>
      <c r="C20" s="12"/>
      <c r="D20" s="12" t="s">
        <v>15</v>
      </c>
      <c r="E20" s="13">
        <v>8</v>
      </c>
      <c r="F20" s="14">
        <f t="shared" si="3"/>
        <v>44.7058823529412</v>
      </c>
      <c r="G20" s="15">
        <f t="shared" si="4"/>
        <v>0.85</v>
      </c>
      <c r="H20" s="19">
        <v>38</v>
      </c>
      <c r="I20" s="16">
        <f t="shared" si="5"/>
        <v>304</v>
      </c>
      <c r="J20" s="12"/>
    </row>
    <row r="21" s="3" customFormat="1" ht="16" customHeight="1" spans="1:10">
      <c r="A21" s="12">
        <v>16</v>
      </c>
      <c r="B21" s="12" t="s">
        <v>147</v>
      </c>
      <c r="C21" s="12" t="s">
        <v>148</v>
      </c>
      <c r="D21" s="12" t="s">
        <v>125</v>
      </c>
      <c r="E21" s="13">
        <v>12</v>
      </c>
      <c r="F21" s="14">
        <f t="shared" si="3"/>
        <v>25.8823529411765</v>
      </c>
      <c r="G21" s="15">
        <f t="shared" si="4"/>
        <v>0.85</v>
      </c>
      <c r="H21" s="19">
        <v>22</v>
      </c>
      <c r="I21" s="16">
        <f t="shared" si="5"/>
        <v>264</v>
      </c>
      <c r="J21" s="12"/>
    </row>
    <row r="22" s="3" customFormat="1" customHeight="1" spans="1:10">
      <c r="A22" s="12">
        <v>17</v>
      </c>
      <c r="B22" s="14" t="s">
        <v>149</v>
      </c>
      <c r="C22" s="14" t="s">
        <v>150</v>
      </c>
      <c r="D22" s="14" t="s">
        <v>55</v>
      </c>
      <c r="E22" s="13">
        <v>20</v>
      </c>
      <c r="F22" s="14">
        <f t="shared" si="3"/>
        <v>10.5882352941176</v>
      </c>
      <c r="G22" s="15">
        <f t="shared" si="4"/>
        <v>0.85</v>
      </c>
      <c r="H22" s="19">
        <v>9</v>
      </c>
      <c r="I22" s="16">
        <f t="shared" si="5"/>
        <v>180</v>
      </c>
      <c r="J22" s="14"/>
    </row>
    <row r="23" s="3" customFormat="1" customHeight="1" spans="1:10">
      <c r="A23" s="12">
        <v>18</v>
      </c>
      <c r="B23" s="14" t="s">
        <v>151</v>
      </c>
      <c r="C23" s="14" t="s">
        <v>152</v>
      </c>
      <c r="D23" s="14" t="s">
        <v>49</v>
      </c>
      <c r="E23" s="13">
        <v>1</v>
      </c>
      <c r="F23" s="14">
        <f t="shared" si="3"/>
        <v>176.470588235294</v>
      </c>
      <c r="G23" s="15">
        <f t="shared" si="4"/>
        <v>0.85</v>
      </c>
      <c r="H23" s="19">
        <v>150</v>
      </c>
      <c r="I23" s="16">
        <f t="shared" si="5"/>
        <v>150</v>
      </c>
      <c r="J23" s="14"/>
    </row>
    <row r="24" s="3" customFormat="1" customHeight="1" spans="1:10">
      <c r="A24" s="12">
        <v>19</v>
      </c>
      <c r="B24" s="14" t="s">
        <v>153</v>
      </c>
      <c r="C24" s="14" t="s">
        <v>154</v>
      </c>
      <c r="D24" s="14" t="s">
        <v>15</v>
      </c>
      <c r="E24" s="13">
        <v>6</v>
      </c>
      <c r="F24" s="14">
        <f t="shared" si="3"/>
        <v>11.5294117647059</v>
      </c>
      <c r="G24" s="15">
        <f t="shared" si="4"/>
        <v>0.85</v>
      </c>
      <c r="H24" s="19">
        <v>9.8</v>
      </c>
      <c r="I24" s="16">
        <f t="shared" si="5"/>
        <v>58.8</v>
      </c>
      <c r="J24" s="14"/>
    </row>
    <row r="25" s="3" customFormat="1" customHeight="1" spans="1:10">
      <c r="A25" s="12">
        <v>20</v>
      </c>
      <c r="B25" s="14" t="s">
        <v>155</v>
      </c>
      <c r="C25" s="14" t="s">
        <v>156</v>
      </c>
      <c r="D25" s="14" t="s">
        <v>55</v>
      </c>
      <c r="E25" s="13">
        <v>2</v>
      </c>
      <c r="F25" s="14">
        <f t="shared" si="3"/>
        <v>8</v>
      </c>
      <c r="G25" s="15">
        <f t="shared" si="4"/>
        <v>0.85</v>
      </c>
      <c r="H25" s="19">
        <v>6.8</v>
      </c>
      <c r="I25" s="16">
        <f t="shared" si="5"/>
        <v>13.6</v>
      </c>
      <c r="J25" s="14"/>
    </row>
    <row r="26" s="3" customFormat="1" customHeight="1" spans="1:10">
      <c r="A26" s="12">
        <v>21</v>
      </c>
      <c r="B26" s="14" t="s">
        <v>157</v>
      </c>
      <c r="C26" s="14" t="s">
        <v>158</v>
      </c>
      <c r="D26" s="14" t="s">
        <v>55</v>
      </c>
      <c r="E26" s="13">
        <v>5</v>
      </c>
      <c r="F26" s="14">
        <f t="shared" si="3"/>
        <v>11.5294117647059</v>
      </c>
      <c r="G26" s="15">
        <f t="shared" si="4"/>
        <v>0.85</v>
      </c>
      <c r="H26" s="19">
        <v>9.8</v>
      </c>
      <c r="I26" s="16">
        <f t="shared" si="5"/>
        <v>49</v>
      </c>
      <c r="J26" s="14"/>
    </row>
    <row r="27" s="3" customFormat="1" customHeight="1" spans="1:10">
      <c r="A27" s="12">
        <v>22</v>
      </c>
      <c r="B27" s="14" t="s">
        <v>159</v>
      </c>
      <c r="C27" s="14" t="s">
        <v>160</v>
      </c>
      <c r="D27" s="14" t="s">
        <v>55</v>
      </c>
      <c r="E27" s="13">
        <v>1</v>
      </c>
      <c r="F27" s="14">
        <f t="shared" si="3"/>
        <v>1.76470588235294</v>
      </c>
      <c r="G27" s="15">
        <f t="shared" si="4"/>
        <v>0.85</v>
      </c>
      <c r="H27" s="19">
        <v>1.5</v>
      </c>
      <c r="I27" s="16">
        <f t="shared" si="5"/>
        <v>1.5</v>
      </c>
      <c r="J27" s="14"/>
    </row>
    <row r="28" s="3" customFormat="1" customHeight="1" spans="1:10">
      <c r="A28" s="12">
        <v>23</v>
      </c>
      <c r="B28" s="14" t="s">
        <v>161</v>
      </c>
      <c r="C28" s="14" t="s">
        <v>162</v>
      </c>
      <c r="D28" s="14" t="s">
        <v>163</v>
      </c>
      <c r="E28" s="13">
        <v>3</v>
      </c>
      <c r="F28" s="14">
        <f t="shared" si="3"/>
        <v>4.94117647058824</v>
      </c>
      <c r="G28" s="15">
        <f t="shared" si="4"/>
        <v>0.85</v>
      </c>
      <c r="H28" s="19">
        <v>4.2</v>
      </c>
      <c r="I28" s="16">
        <f t="shared" si="5"/>
        <v>12.6</v>
      </c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3" customFormat="1" customHeight="1" spans="1:10">
      <c r="A34" s="12" t="s">
        <v>36</v>
      </c>
      <c r="B34" s="25">
        <f>SUM(I6:I33)</f>
        <v>1687.42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1687.42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2" workbookViewId="0">
      <selection activeCell="B26" sqref="B2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45278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15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3" customFormat="1" ht="16" customHeight="1" spans="1:10">
      <c r="A9" s="12">
        <v>4</v>
      </c>
      <c r="B9" s="12" t="s">
        <v>115</v>
      </c>
      <c r="C9" s="12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3" customFormat="1" ht="16" customHeight="1" spans="1:10">
      <c r="A10" s="12">
        <v>5</v>
      </c>
      <c r="B10" s="12" t="s">
        <v>74</v>
      </c>
      <c r="C10" s="12"/>
      <c r="D10" s="13" t="s">
        <v>15</v>
      </c>
      <c r="E10" s="13">
        <v>10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35</v>
      </c>
      <c r="J10" s="12"/>
    </row>
    <row r="11" s="3" customFormat="1" ht="16" customHeight="1" spans="1:10">
      <c r="A11" s="12">
        <v>6</v>
      </c>
      <c r="B11" s="17" t="s">
        <v>42</v>
      </c>
      <c r="C11" s="17"/>
      <c r="D11" s="18" t="s">
        <v>15</v>
      </c>
      <c r="E11" s="18">
        <v>2</v>
      </c>
      <c r="F11" s="14">
        <f t="shared" si="0"/>
        <v>8.82352941176471</v>
      </c>
      <c r="G11" s="15">
        <f t="shared" si="1"/>
        <v>0.85</v>
      </c>
      <c r="H11" s="19">
        <v>7.5</v>
      </c>
      <c r="I11" s="16">
        <f t="shared" si="2"/>
        <v>15</v>
      </c>
      <c r="J11" s="17"/>
    </row>
    <row r="12" s="3" customFormat="1" ht="16" customHeight="1" spans="1:10">
      <c r="A12" s="12">
        <v>7</v>
      </c>
      <c r="B12" s="17" t="s">
        <v>43</v>
      </c>
      <c r="C12" s="17"/>
      <c r="D12" s="18" t="s">
        <v>15</v>
      </c>
      <c r="E12" s="18">
        <v>2</v>
      </c>
      <c r="F12" s="14">
        <f t="shared" si="0"/>
        <v>4.70588235294118</v>
      </c>
      <c r="G12" s="15">
        <f t="shared" si="1"/>
        <v>0.85</v>
      </c>
      <c r="H12" s="19">
        <v>4</v>
      </c>
      <c r="I12" s="16">
        <f t="shared" si="2"/>
        <v>8</v>
      </c>
      <c r="J12" s="17"/>
    </row>
    <row r="13" s="3" customFormat="1" ht="16" customHeight="1" spans="1:10">
      <c r="A13" s="12">
        <v>8</v>
      </c>
      <c r="B13" s="17" t="s">
        <v>94</v>
      </c>
      <c r="C13" s="17"/>
      <c r="D13" s="18" t="s">
        <v>15</v>
      </c>
      <c r="E13" s="18">
        <v>13</v>
      </c>
      <c r="F13" s="14">
        <f t="shared" ref="F13:F26" si="3">H13/0.85</f>
        <v>5.64705882352941</v>
      </c>
      <c r="G13" s="15">
        <f t="shared" ref="G13:G26" si="4">H13/F13</f>
        <v>0.85</v>
      </c>
      <c r="H13" s="19">
        <v>4.8</v>
      </c>
      <c r="I13" s="16">
        <f t="shared" ref="I13:I26" si="5">E13*H13</f>
        <v>62.4</v>
      </c>
      <c r="J13" s="17"/>
    </row>
    <row r="14" s="3" customFormat="1" ht="16" customHeight="1" spans="1:10">
      <c r="A14" s="12">
        <v>9</v>
      </c>
      <c r="B14" s="17" t="s">
        <v>57</v>
      </c>
      <c r="C14" s="17"/>
      <c r="D14" s="18" t="s">
        <v>15</v>
      </c>
      <c r="E14" s="18">
        <v>3</v>
      </c>
      <c r="F14" s="14">
        <f t="shared" si="3"/>
        <v>5.64705882352941</v>
      </c>
      <c r="G14" s="15">
        <f t="shared" si="4"/>
        <v>0.85</v>
      </c>
      <c r="H14" s="19">
        <v>4.8</v>
      </c>
      <c r="I14" s="16">
        <f t="shared" si="5"/>
        <v>14.4</v>
      </c>
      <c r="J14" s="17"/>
    </row>
    <row r="15" s="3" customFormat="1" ht="16" customHeight="1" spans="1:10">
      <c r="A15" s="12">
        <v>10</v>
      </c>
      <c r="B15" s="17" t="s">
        <v>58</v>
      </c>
      <c r="C15" s="17"/>
      <c r="D15" s="18" t="s">
        <v>15</v>
      </c>
      <c r="E15" s="18">
        <v>1</v>
      </c>
      <c r="F15" s="14">
        <f t="shared" si="3"/>
        <v>9.41176470588235</v>
      </c>
      <c r="G15" s="15">
        <f t="shared" si="4"/>
        <v>0.85</v>
      </c>
      <c r="H15" s="19">
        <v>8</v>
      </c>
      <c r="I15" s="16">
        <f t="shared" si="5"/>
        <v>8</v>
      </c>
      <c r="J15" s="17"/>
    </row>
    <row r="16" s="3" customFormat="1" ht="16" customHeight="1" spans="1:10">
      <c r="A16" s="12">
        <v>11</v>
      </c>
      <c r="B16" s="12" t="s">
        <v>84</v>
      </c>
      <c r="C16" s="12"/>
      <c r="D16" s="13" t="s">
        <v>15</v>
      </c>
      <c r="E16" s="13">
        <v>7</v>
      </c>
      <c r="F16" s="14">
        <f t="shared" si="3"/>
        <v>8</v>
      </c>
      <c r="G16" s="15">
        <f t="shared" si="4"/>
        <v>0.85</v>
      </c>
      <c r="H16" s="19">
        <v>6.8</v>
      </c>
      <c r="I16" s="16">
        <f t="shared" si="5"/>
        <v>47.6</v>
      </c>
      <c r="J16" s="12"/>
    </row>
    <row r="17" s="3" customFormat="1" ht="16" customHeight="1" spans="1:10">
      <c r="A17" s="12">
        <v>12</v>
      </c>
      <c r="B17" s="17" t="s">
        <v>31</v>
      </c>
      <c r="C17" s="17"/>
      <c r="D17" s="17" t="s">
        <v>15</v>
      </c>
      <c r="E17" s="18">
        <v>5</v>
      </c>
      <c r="F17" s="14">
        <f t="shared" si="3"/>
        <v>16.2352941176471</v>
      </c>
      <c r="G17" s="15">
        <f t="shared" si="4"/>
        <v>0.85</v>
      </c>
      <c r="H17" s="19">
        <v>13.8</v>
      </c>
      <c r="I17" s="16">
        <f t="shared" si="5"/>
        <v>69</v>
      </c>
      <c r="J17" s="17"/>
    </row>
    <row r="18" s="3" customFormat="1" ht="16" customHeight="1" spans="1:10">
      <c r="A18" s="12">
        <v>13</v>
      </c>
      <c r="B18" s="12" t="s">
        <v>136</v>
      </c>
      <c r="C18" s="12"/>
      <c r="D18" s="17" t="s">
        <v>15</v>
      </c>
      <c r="E18" s="13">
        <v>5</v>
      </c>
      <c r="F18" s="14">
        <f t="shared" si="3"/>
        <v>23.5294117647059</v>
      </c>
      <c r="G18" s="15">
        <f t="shared" si="4"/>
        <v>0.85</v>
      </c>
      <c r="H18" s="19">
        <v>20</v>
      </c>
      <c r="I18" s="16">
        <f t="shared" si="5"/>
        <v>100</v>
      </c>
      <c r="J18" s="12"/>
    </row>
    <row r="19" s="3" customFormat="1" ht="16" customHeight="1" spans="1:10">
      <c r="A19" s="12">
        <v>14</v>
      </c>
      <c r="B19" s="12" t="s">
        <v>164</v>
      </c>
      <c r="C19" s="12" t="s">
        <v>165</v>
      </c>
      <c r="D19" s="12" t="s">
        <v>49</v>
      </c>
      <c r="E19" s="13">
        <v>1</v>
      </c>
      <c r="F19" s="14">
        <f t="shared" si="3"/>
        <v>223.529411764706</v>
      </c>
      <c r="G19" s="15">
        <f t="shared" si="4"/>
        <v>0.85</v>
      </c>
      <c r="H19" s="19">
        <v>190</v>
      </c>
      <c r="I19" s="16">
        <f t="shared" si="5"/>
        <v>190</v>
      </c>
      <c r="J19" s="12"/>
    </row>
    <row r="20" s="3" customFormat="1" ht="16" customHeight="1" spans="1:10">
      <c r="A20" s="12">
        <v>15</v>
      </c>
      <c r="B20" s="12" t="s">
        <v>166</v>
      </c>
      <c r="C20" s="12" t="s">
        <v>17</v>
      </c>
      <c r="D20" s="12" t="s">
        <v>15</v>
      </c>
      <c r="E20" s="13">
        <v>0.5</v>
      </c>
      <c r="F20" s="14">
        <f t="shared" si="3"/>
        <v>56.4705882352941</v>
      </c>
      <c r="G20" s="15">
        <f t="shared" si="4"/>
        <v>0.85</v>
      </c>
      <c r="H20" s="19">
        <v>48</v>
      </c>
      <c r="I20" s="16">
        <f t="shared" si="5"/>
        <v>24</v>
      </c>
      <c r="J20" s="12"/>
    </row>
    <row r="21" s="3" customFormat="1" customHeight="1" spans="1:10">
      <c r="A21" s="12">
        <v>16</v>
      </c>
      <c r="B21" s="14" t="s">
        <v>167</v>
      </c>
      <c r="C21" s="14" t="s">
        <v>17</v>
      </c>
      <c r="D21" s="14" t="s">
        <v>15</v>
      </c>
      <c r="E21" s="13">
        <v>0.5</v>
      </c>
      <c r="F21" s="14">
        <f t="shared" si="3"/>
        <v>32.9411764705882</v>
      </c>
      <c r="G21" s="15">
        <f t="shared" si="4"/>
        <v>0.85</v>
      </c>
      <c r="H21" s="19">
        <v>28</v>
      </c>
      <c r="I21" s="16">
        <f t="shared" si="5"/>
        <v>14</v>
      </c>
      <c r="J21" s="14"/>
    </row>
    <row r="22" s="3" customFormat="1" customHeight="1" spans="1:10">
      <c r="A22" s="12">
        <v>17</v>
      </c>
      <c r="B22" s="14" t="s">
        <v>168</v>
      </c>
      <c r="C22" s="14" t="s">
        <v>169</v>
      </c>
      <c r="D22" s="14" t="s">
        <v>125</v>
      </c>
      <c r="E22" s="13">
        <v>2</v>
      </c>
      <c r="F22" s="14">
        <f t="shared" si="3"/>
        <v>7.05882352941176</v>
      </c>
      <c r="G22" s="15">
        <f t="shared" si="4"/>
        <v>0.85</v>
      </c>
      <c r="H22" s="19">
        <v>6</v>
      </c>
      <c r="I22" s="16">
        <f t="shared" si="5"/>
        <v>12</v>
      </c>
      <c r="J22" s="14"/>
    </row>
    <row r="23" s="3" customFormat="1" customHeight="1" spans="1:10">
      <c r="A23" s="12">
        <v>18</v>
      </c>
      <c r="B23" s="14" t="s">
        <v>170</v>
      </c>
      <c r="C23" s="14"/>
      <c r="D23" s="14" t="s">
        <v>15</v>
      </c>
      <c r="E23" s="13">
        <v>1</v>
      </c>
      <c r="F23" s="14">
        <f t="shared" si="3"/>
        <v>32.9411764705882</v>
      </c>
      <c r="G23" s="15">
        <f t="shared" si="4"/>
        <v>0.85</v>
      </c>
      <c r="H23" s="19">
        <v>28</v>
      </c>
      <c r="I23" s="16">
        <f t="shared" si="5"/>
        <v>28</v>
      </c>
      <c r="J23" s="14"/>
    </row>
    <row r="24" s="3" customFormat="1" customHeight="1" spans="1:10">
      <c r="A24" s="12">
        <v>19</v>
      </c>
      <c r="B24" s="14" t="s">
        <v>71</v>
      </c>
      <c r="C24" s="14" t="s">
        <v>72</v>
      </c>
      <c r="D24" s="14" t="s">
        <v>15</v>
      </c>
      <c r="E24" s="13">
        <v>4</v>
      </c>
      <c r="F24" s="14">
        <f t="shared" si="3"/>
        <v>5.76470588235294</v>
      </c>
      <c r="G24" s="15">
        <f t="shared" si="4"/>
        <v>0.85</v>
      </c>
      <c r="H24" s="19">
        <v>4.9</v>
      </c>
      <c r="I24" s="16">
        <f t="shared" si="5"/>
        <v>19.6</v>
      </c>
      <c r="J24" s="14"/>
    </row>
    <row r="25" s="3" customFormat="1" customHeight="1" spans="1:10">
      <c r="A25" s="12">
        <v>20</v>
      </c>
      <c r="B25" s="14" t="s">
        <v>32</v>
      </c>
      <c r="C25" s="14"/>
      <c r="D25" s="14" t="s">
        <v>33</v>
      </c>
      <c r="E25" s="13">
        <v>55</v>
      </c>
      <c r="F25" s="14">
        <f t="shared" si="3"/>
        <v>4.11764705882353</v>
      </c>
      <c r="G25" s="15">
        <f t="shared" si="4"/>
        <v>0.85</v>
      </c>
      <c r="H25" s="19">
        <v>3.5</v>
      </c>
      <c r="I25" s="16">
        <f t="shared" si="5"/>
        <v>192.5</v>
      </c>
      <c r="J25" s="14"/>
    </row>
    <row r="26" s="3" customFormat="1" customHeight="1" spans="1:10">
      <c r="A26" s="12">
        <v>21</v>
      </c>
      <c r="B26" s="14" t="s">
        <v>35</v>
      </c>
      <c r="C26" s="14"/>
      <c r="D26" s="14" t="s">
        <v>15</v>
      </c>
      <c r="E26" s="13">
        <v>5</v>
      </c>
      <c r="F26" s="14">
        <f t="shared" si="3"/>
        <v>103.529411764706</v>
      </c>
      <c r="G26" s="15">
        <f t="shared" si="4"/>
        <v>0.85</v>
      </c>
      <c r="H26" s="19">
        <v>88</v>
      </c>
      <c r="I26" s="16">
        <f t="shared" si="5"/>
        <v>440</v>
      </c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3" customFormat="1" customHeight="1" spans="1:10">
      <c r="A34" s="12" t="s">
        <v>36</v>
      </c>
      <c r="B34" s="25">
        <f>SUM(I6:I33)</f>
        <v>1343.5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1343.5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sortState ref="A23:J28">
    <sortCondition ref="A23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8" workbookViewId="0">
      <selection activeCell="I18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4" width="11.6666666666667" style="3" customWidth="1"/>
    <col min="16315" max="16315" width="11.6666666666667" style="3"/>
    <col min="16316" max="16321" width="11" style="3"/>
    <col min="16322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45279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27" si="0">H6/0.85</f>
        <v>3.52941176470588</v>
      </c>
      <c r="G6" s="15">
        <f t="shared" ref="G6:G27" si="1">H6/F6</f>
        <v>0.85</v>
      </c>
      <c r="H6" s="16">
        <v>3</v>
      </c>
      <c r="I6" s="16">
        <f t="shared" ref="I6:I27" si="2">E6*H6</f>
        <v>12</v>
      </c>
      <c r="J6" s="12"/>
    </row>
    <row r="7" s="3" customFormat="1" ht="16" customHeight="1" spans="1:10">
      <c r="A7" s="12">
        <v>2</v>
      </c>
      <c r="B7" s="12" t="s">
        <v>39</v>
      </c>
      <c r="C7" s="12"/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3" customFormat="1" ht="16" customHeight="1" spans="1:10">
      <c r="A9" s="12">
        <v>4</v>
      </c>
      <c r="B9" s="17" t="s">
        <v>56</v>
      </c>
      <c r="C9" s="17"/>
      <c r="D9" s="13" t="s">
        <v>15</v>
      </c>
      <c r="E9" s="13">
        <v>5</v>
      </c>
      <c r="F9" s="14">
        <f t="shared" si="0"/>
        <v>15.0588235294118</v>
      </c>
      <c r="G9" s="15">
        <f t="shared" si="1"/>
        <v>0.85</v>
      </c>
      <c r="H9" s="16">
        <v>12.8</v>
      </c>
      <c r="I9" s="16">
        <f t="shared" si="2"/>
        <v>64</v>
      </c>
      <c r="J9" s="12"/>
    </row>
    <row r="10" s="3" customFormat="1" ht="16" customHeight="1" spans="1:10">
      <c r="A10" s="12">
        <v>5</v>
      </c>
      <c r="B10" s="12" t="s">
        <v>41</v>
      </c>
      <c r="C10" s="12"/>
      <c r="D10" s="13" t="s">
        <v>15</v>
      </c>
      <c r="E10" s="13">
        <v>10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38</v>
      </c>
      <c r="J10" s="12"/>
    </row>
    <row r="11" s="3" customFormat="1" ht="16" customHeight="1" spans="1:10">
      <c r="A11" s="12">
        <v>6</v>
      </c>
      <c r="B11" s="12" t="s">
        <v>74</v>
      </c>
      <c r="C11" s="12"/>
      <c r="D11" s="13" t="s">
        <v>15</v>
      </c>
      <c r="E11" s="13">
        <v>8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28</v>
      </c>
      <c r="J11" s="12"/>
    </row>
    <row r="12" s="3" customFormat="1" ht="16" customHeight="1" spans="1:10">
      <c r="A12" s="12">
        <v>7</v>
      </c>
      <c r="B12" s="17" t="s">
        <v>23</v>
      </c>
      <c r="C12" s="17"/>
      <c r="D12" s="18" t="s">
        <v>15</v>
      </c>
      <c r="E12" s="18">
        <v>6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15</v>
      </c>
      <c r="J12" s="17"/>
    </row>
    <row r="13" s="3" customFormat="1" ht="16" customHeight="1" spans="1:10">
      <c r="A13" s="12">
        <v>8</v>
      </c>
      <c r="B13" s="17" t="s">
        <v>25</v>
      </c>
      <c r="C13" s="17"/>
      <c r="D13" s="18" t="s">
        <v>26</v>
      </c>
      <c r="E13" s="18">
        <v>8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24</v>
      </c>
      <c r="J13" s="17"/>
    </row>
    <row r="14" s="3" customFormat="1" ht="16" customHeight="1" spans="1:10">
      <c r="A14" s="12">
        <v>9</v>
      </c>
      <c r="B14" s="17" t="s">
        <v>133</v>
      </c>
      <c r="C14" s="17"/>
      <c r="D14" s="18" t="s">
        <v>15</v>
      </c>
      <c r="E14" s="18">
        <v>8</v>
      </c>
      <c r="F14" s="14">
        <f t="shared" si="0"/>
        <v>10.3529411764706</v>
      </c>
      <c r="G14" s="15">
        <f t="shared" si="1"/>
        <v>0.85</v>
      </c>
      <c r="H14" s="19">
        <v>8.8</v>
      </c>
      <c r="I14" s="16">
        <f t="shared" si="2"/>
        <v>70.4</v>
      </c>
      <c r="J14" s="17"/>
    </row>
    <row r="15" s="3" customFormat="1" ht="16" customHeight="1" spans="1:10">
      <c r="A15" s="12">
        <v>10</v>
      </c>
      <c r="B15" s="17" t="s">
        <v>44</v>
      </c>
      <c r="C15" s="17"/>
      <c r="D15" s="18" t="s">
        <v>15</v>
      </c>
      <c r="E15" s="18">
        <v>2</v>
      </c>
      <c r="F15" s="14">
        <f t="shared" si="0"/>
        <v>9.17647058823529</v>
      </c>
      <c r="G15" s="15">
        <f t="shared" si="1"/>
        <v>0.85</v>
      </c>
      <c r="H15" s="19">
        <v>7.8</v>
      </c>
      <c r="I15" s="16">
        <f t="shared" si="2"/>
        <v>15.6</v>
      </c>
      <c r="J15" s="17"/>
    </row>
    <row r="16" s="3" customFormat="1" ht="16" customHeight="1" spans="1:10">
      <c r="A16" s="12">
        <v>11</v>
      </c>
      <c r="B16" s="17" t="s">
        <v>45</v>
      </c>
      <c r="C16" s="17"/>
      <c r="D16" s="18" t="s">
        <v>15</v>
      </c>
      <c r="E16" s="18">
        <v>4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19.2</v>
      </c>
      <c r="J16" s="17"/>
    </row>
    <row r="17" s="3" customFormat="1" ht="16" customHeight="1" spans="1:10">
      <c r="A17" s="12">
        <v>12</v>
      </c>
      <c r="B17" s="17" t="s">
        <v>46</v>
      </c>
      <c r="C17" s="17"/>
      <c r="D17" s="17" t="s">
        <v>15</v>
      </c>
      <c r="E17" s="18">
        <v>13</v>
      </c>
      <c r="F17" s="14">
        <f t="shared" si="0"/>
        <v>2.94117647058824</v>
      </c>
      <c r="G17" s="15">
        <f t="shared" si="1"/>
        <v>0.85</v>
      </c>
      <c r="H17" s="19">
        <v>2.5</v>
      </c>
      <c r="I17" s="16">
        <f t="shared" si="2"/>
        <v>32.5</v>
      </c>
      <c r="J17" s="17"/>
    </row>
    <row r="18" s="3" customFormat="1" ht="16" customHeight="1" spans="1:10">
      <c r="A18" s="12">
        <v>13</v>
      </c>
      <c r="B18" s="12" t="s">
        <v>119</v>
      </c>
      <c r="C18" s="12"/>
      <c r="D18" s="12" t="s">
        <v>15</v>
      </c>
      <c r="E18" s="13">
        <v>21</v>
      </c>
      <c r="F18" s="14">
        <f t="shared" si="0"/>
        <v>5.29411764705882</v>
      </c>
      <c r="G18" s="15">
        <f t="shared" si="1"/>
        <v>0.85</v>
      </c>
      <c r="H18" s="19">
        <v>4.5</v>
      </c>
      <c r="I18" s="16">
        <f t="shared" si="2"/>
        <v>94.5</v>
      </c>
      <c r="J18" s="12"/>
    </row>
    <row r="19" s="3" customFormat="1" ht="16" customHeight="1" spans="1:10">
      <c r="A19" s="12">
        <v>14</v>
      </c>
      <c r="B19" s="17" t="s">
        <v>61</v>
      </c>
      <c r="C19" s="17"/>
      <c r="D19" s="18" t="s">
        <v>15</v>
      </c>
      <c r="E19" s="18">
        <v>2</v>
      </c>
      <c r="F19" s="14">
        <f t="shared" si="0"/>
        <v>16.2352941176471</v>
      </c>
      <c r="G19" s="15">
        <f t="shared" si="1"/>
        <v>0.85</v>
      </c>
      <c r="H19" s="19">
        <v>13.8</v>
      </c>
      <c r="I19" s="16">
        <f t="shared" si="2"/>
        <v>27.6</v>
      </c>
      <c r="J19" s="12"/>
    </row>
    <row r="20" s="3" customFormat="1" ht="16" customHeight="1" spans="1:10">
      <c r="A20" s="12">
        <v>15</v>
      </c>
      <c r="B20" s="12" t="s">
        <v>30</v>
      </c>
      <c r="C20" s="12"/>
      <c r="D20" s="12" t="s">
        <v>15</v>
      </c>
      <c r="E20" s="13">
        <v>10</v>
      </c>
      <c r="F20" s="14">
        <f t="shared" si="0"/>
        <v>56.4705882352941</v>
      </c>
      <c r="G20" s="15">
        <f t="shared" si="1"/>
        <v>0.85</v>
      </c>
      <c r="H20" s="19">
        <v>48</v>
      </c>
      <c r="I20" s="16">
        <f t="shared" si="2"/>
        <v>480</v>
      </c>
      <c r="J20" s="12"/>
    </row>
    <row r="21" s="3" customFormat="1" ht="16" customHeight="1" spans="1:10">
      <c r="A21" s="12">
        <v>16</v>
      </c>
      <c r="B21" s="12" t="s">
        <v>31</v>
      </c>
      <c r="C21" s="12"/>
      <c r="D21" s="12" t="s">
        <v>15</v>
      </c>
      <c r="E21" s="13">
        <v>4</v>
      </c>
      <c r="F21" s="14">
        <f t="shared" si="0"/>
        <v>16.2352941176471</v>
      </c>
      <c r="G21" s="15">
        <f t="shared" si="1"/>
        <v>0.85</v>
      </c>
      <c r="H21" s="19">
        <v>13.8</v>
      </c>
      <c r="I21" s="16">
        <f t="shared" si="2"/>
        <v>55.2</v>
      </c>
      <c r="J21" s="12"/>
    </row>
    <row r="22" s="3" customFormat="1" ht="16" customHeight="1" spans="1:10">
      <c r="A22" s="12">
        <v>17</v>
      </c>
      <c r="B22" s="14" t="s">
        <v>78</v>
      </c>
      <c r="C22" s="14"/>
      <c r="D22" s="14" t="s">
        <v>15</v>
      </c>
      <c r="E22" s="13">
        <v>7</v>
      </c>
      <c r="F22" s="14">
        <f t="shared" si="0"/>
        <v>32.9411764705882</v>
      </c>
      <c r="G22" s="15">
        <f t="shared" si="1"/>
        <v>0.85</v>
      </c>
      <c r="H22" s="19">
        <v>28</v>
      </c>
      <c r="I22" s="16">
        <f t="shared" si="2"/>
        <v>196</v>
      </c>
      <c r="J22" s="14"/>
    </row>
    <row r="23" s="3" customFormat="1" customHeight="1" spans="1:10">
      <c r="A23" s="12">
        <v>18</v>
      </c>
      <c r="B23" s="14" t="s">
        <v>171</v>
      </c>
      <c r="C23" s="14" t="s">
        <v>172</v>
      </c>
      <c r="D23" s="14" t="s">
        <v>49</v>
      </c>
      <c r="E23" s="13">
        <v>1</v>
      </c>
      <c r="F23" s="14">
        <f t="shared" si="0"/>
        <v>529.411764705882</v>
      </c>
      <c r="G23" s="15">
        <f t="shared" si="1"/>
        <v>0.85</v>
      </c>
      <c r="H23" s="19">
        <v>450</v>
      </c>
      <c r="I23" s="16">
        <f t="shared" si="2"/>
        <v>450</v>
      </c>
      <c r="J23" s="14"/>
    </row>
    <row r="24" s="3" customFormat="1" customHeight="1" spans="1:10">
      <c r="A24" s="12">
        <v>19</v>
      </c>
      <c r="B24" s="14" t="s">
        <v>173</v>
      </c>
      <c r="C24" s="14"/>
      <c r="D24" s="14" t="s">
        <v>49</v>
      </c>
      <c r="E24" s="13">
        <v>1</v>
      </c>
      <c r="F24" s="14">
        <f t="shared" si="0"/>
        <v>76.4705882352941</v>
      </c>
      <c r="G24" s="15">
        <f t="shared" si="1"/>
        <v>0.85</v>
      </c>
      <c r="H24" s="19">
        <v>65</v>
      </c>
      <c r="I24" s="16">
        <f t="shared" si="2"/>
        <v>65</v>
      </c>
      <c r="J24" s="14"/>
    </row>
    <row r="25" s="3" customFormat="1" customHeight="1" spans="1:10">
      <c r="A25" s="12">
        <v>20</v>
      </c>
      <c r="B25" s="14" t="s">
        <v>68</v>
      </c>
      <c r="C25" s="14" t="s">
        <v>69</v>
      </c>
      <c r="D25" s="14" t="s">
        <v>55</v>
      </c>
      <c r="E25" s="13">
        <v>2</v>
      </c>
      <c r="F25" s="14">
        <f t="shared" si="0"/>
        <v>205.882352941176</v>
      </c>
      <c r="G25" s="15">
        <f t="shared" si="1"/>
        <v>0.85</v>
      </c>
      <c r="H25" s="19">
        <v>175</v>
      </c>
      <c r="I25" s="16">
        <f t="shared" si="2"/>
        <v>350</v>
      </c>
      <c r="J25" s="14"/>
    </row>
    <row r="26" s="3" customFormat="1" customHeight="1" spans="1:10">
      <c r="A26" s="12">
        <v>21</v>
      </c>
      <c r="B26" s="14" t="s">
        <v>101</v>
      </c>
      <c r="C26" s="14" t="s">
        <v>102</v>
      </c>
      <c r="D26" s="14" t="s">
        <v>49</v>
      </c>
      <c r="E26" s="13">
        <v>3</v>
      </c>
      <c r="F26" s="14">
        <f t="shared" si="0"/>
        <v>411.764705882353</v>
      </c>
      <c r="G26" s="15">
        <f t="shared" si="1"/>
        <v>0.85</v>
      </c>
      <c r="H26" s="19">
        <v>350</v>
      </c>
      <c r="I26" s="16">
        <f t="shared" si="2"/>
        <v>1050</v>
      </c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3" customFormat="1" customHeight="1" spans="1:10">
      <c r="A29" s="12">
        <v>24</v>
      </c>
      <c r="B29" s="12"/>
      <c r="C29" s="12"/>
      <c r="D29" s="12"/>
      <c r="E29" s="13"/>
      <c r="F29" s="14"/>
      <c r="G29" s="15"/>
      <c r="H29" s="19"/>
      <c r="I29" s="16"/>
      <c r="J29" s="12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3" customFormat="1" customHeight="1" spans="1:10">
      <c r="A33" s="12" t="s">
        <v>36</v>
      </c>
      <c r="B33" s="25">
        <f>SUM(I6:I32)</f>
        <v>3125.5</v>
      </c>
      <c r="C33" s="26"/>
      <c r="D33" s="26"/>
      <c r="E33" s="27"/>
      <c r="F33" s="26"/>
      <c r="G33" s="26"/>
      <c r="H33" s="26"/>
      <c r="I33" s="26"/>
      <c r="J33" s="31"/>
    </row>
    <row r="34" s="3" customFormat="1" customHeight="1" spans="1:10">
      <c r="A34" s="12" t="s">
        <v>37</v>
      </c>
      <c r="B34" s="28">
        <f>B33</f>
        <v>3125.5</v>
      </c>
      <c r="C34" s="29"/>
      <c r="D34" s="29"/>
      <c r="E34" s="27"/>
      <c r="F34" s="29"/>
      <c r="G34" s="29"/>
      <c r="H34" s="29"/>
      <c r="I34" s="29"/>
      <c r="J34" s="32"/>
    </row>
    <row r="35" s="3" customFormat="1" customHeight="1" spans="1:5">
      <c r="A35" s="3" t="s">
        <v>38</v>
      </c>
      <c r="E35" s="5"/>
    </row>
  </sheetData>
  <sortState ref="A21:J30">
    <sortCondition ref="A21"/>
  </sortState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2" workbookViewId="0">
      <selection activeCell="B28" sqref="B2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45280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3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9</v>
      </c>
      <c r="J6" s="12"/>
    </row>
    <row r="7" s="3" customFormat="1" ht="16" customHeight="1" spans="1:10">
      <c r="A7" s="12">
        <v>2</v>
      </c>
      <c r="B7" s="12" t="s">
        <v>39</v>
      </c>
      <c r="C7" s="12"/>
      <c r="D7" s="13" t="s">
        <v>15</v>
      </c>
      <c r="E7" s="13">
        <v>10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35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3" customFormat="1" ht="16" customHeight="1" spans="1:10">
      <c r="A9" s="12">
        <v>4</v>
      </c>
      <c r="B9" s="17" t="s">
        <v>20</v>
      </c>
      <c r="C9" s="17"/>
      <c r="D9" s="13" t="s">
        <v>15</v>
      </c>
      <c r="E9" s="13">
        <v>1</v>
      </c>
      <c r="F9" s="14">
        <f t="shared" si="0"/>
        <v>8</v>
      </c>
      <c r="G9" s="15">
        <f t="shared" si="1"/>
        <v>0.85</v>
      </c>
      <c r="H9" s="16">
        <v>6.8</v>
      </c>
      <c r="I9" s="16">
        <f t="shared" si="2"/>
        <v>6.8</v>
      </c>
      <c r="J9" s="12"/>
    </row>
    <row r="10" s="3" customFormat="1" ht="16" customHeight="1" spans="1:10">
      <c r="A10" s="12">
        <v>5</v>
      </c>
      <c r="B10" s="12" t="s">
        <v>174</v>
      </c>
      <c r="C10" s="12"/>
      <c r="D10" s="13" t="s">
        <v>15</v>
      </c>
      <c r="E10" s="13">
        <v>13</v>
      </c>
      <c r="F10" s="14">
        <f t="shared" si="0"/>
        <v>10.5882352941176</v>
      </c>
      <c r="G10" s="15">
        <f t="shared" si="1"/>
        <v>0.85</v>
      </c>
      <c r="H10" s="16">
        <v>9</v>
      </c>
      <c r="I10" s="16">
        <f t="shared" si="2"/>
        <v>117</v>
      </c>
      <c r="J10" s="12"/>
    </row>
    <row r="11" s="3" customFormat="1" ht="16" customHeight="1" spans="1:10">
      <c r="A11" s="12">
        <v>6</v>
      </c>
      <c r="B11" s="12" t="s">
        <v>175</v>
      </c>
      <c r="C11" s="12"/>
      <c r="D11" s="13" t="s">
        <v>15</v>
      </c>
      <c r="E11" s="13">
        <v>12</v>
      </c>
      <c r="F11" s="14">
        <f t="shared" si="0"/>
        <v>4.70588235294118</v>
      </c>
      <c r="G11" s="15">
        <f t="shared" si="1"/>
        <v>0.85</v>
      </c>
      <c r="H11" s="16">
        <v>4</v>
      </c>
      <c r="I11" s="16">
        <f t="shared" si="2"/>
        <v>48</v>
      </c>
      <c r="J11" s="12"/>
    </row>
    <row r="12" s="3" customFormat="1" ht="16" customHeight="1" spans="1:10">
      <c r="A12" s="12">
        <v>7</v>
      </c>
      <c r="B12" s="17" t="s">
        <v>42</v>
      </c>
      <c r="C12" s="17"/>
      <c r="D12" s="18" t="s">
        <v>15</v>
      </c>
      <c r="E12" s="18">
        <v>2</v>
      </c>
      <c r="F12" s="14">
        <f t="shared" si="0"/>
        <v>8.82352941176471</v>
      </c>
      <c r="G12" s="15">
        <f t="shared" si="1"/>
        <v>0.85</v>
      </c>
      <c r="H12" s="19">
        <v>7.5</v>
      </c>
      <c r="I12" s="16">
        <f t="shared" si="2"/>
        <v>15</v>
      </c>
      <c r="J12" s="17"/>
    </row>
    <row r="13" s="3" customFormat="1" ht="16" customHeight="1" spans="1:10">
      <c r="A13" s="12">
        <v>8</v>
      </c>
      <c r="B13" s="17" t="s">
        <v>176</v>
      </c>
      <c r="C13" s="17"/>
      <c r="D13" s="18" t="s">
        <v>15</v>
      </c>
      <c r="E13" s="18">
        <v>2</v>
      </c>
      <c r="F13" s="14">
        <f t="shared" si="0"/>
        <v>4.70588235294118</v>
      </c>
      <c r="G13" s="15">
        <f t="shared" si="1"/>
        <v>0.85</v>
      </c>
      <c r="H13" s="19">
        <v>4</v>
      </c>
      <c r="I13" s="16">
        <f t="shared" si="2"/>
        <v>8</v>
      </c>
      <c r="J13" s="17"/>
    </row>
    <row r="14" s="3" customFormat="1" ht="16" customHeight="1" spans="1:10">
      <c r="A14" s="12">
        <v>9</v>
      </c>
      <c r="B14" s="17" t="s">
        <v>24</v>
      </c>
      <c r="C14" s="17"/>
      <c r="D14" s="18" t="s">
        <v>15</v>
      </c>
      <c r="E14" s="18">
        <v>10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98</v>
      </c>
      <c r="J14" s="17"/>
    </row>
    <row r="15" s="3" customFormat="1" ht="16" customHeight="1" spans="1:10">
      <c r="A15" s="12">
        <v>10</v>
      </c>
      <c r="B15" s="17" t="s">
        <v>25</v>
      </c>
      <c r="C15" s="17"/>
      <c r="D15" s="18" t="s">
        <v>26</v>
      </c>
      <c r="E15" s="18">
        <v>6</v>
      </c>
      <c r="F15" s="14">
        <f t="shared" si="0"/>
        <v>3.52941176470588</v>
      </c>
      <c r="G15" s="15">
        <f t="shared" si="1"/>
        <v>0.85</v>
      </c>
      <c r="H15" s="19">
        <v>3</v>
      </c>
      <c r="I15" s="16">
        <f t="shared" si="2"/>
        <v>18</v>
      </c>
      <c r="J15" s="17"/>
    </row>
    <row r="16" s="3" customFormat="1" ht="16" customHeight="1" spans="1:10">
      <c r="A16" s="12">
        <v>11</v>
      </c>
      <c r="B16" s="12" t="s">
        <v>133</v>
      </c>
      <c r="C16" s="12"/>
      <c r="D16" s="17" t="s">
        <v>15</v>
      </c>
      <c r="E16" s="13">
        <v>3</v>
      </c>
      <c r="F16" s="14">
        <f t="shared" si="0"/>
        <v>10.3529411764706</v>
      </c>
      <c r="G16" s="15">
        <f t="shared" si="1"/>
        <v>0.85</v>
      </c>
      <c r="H16" s="19">
        <v>8.8</v>
      </c>
      <c r="I16" s="16">
        <f t="shared" si="2"/>
        <v>26.4</v>
      </c>
      <c r="J16" s="17"/>
    </row>
    <row r="17" s="3" customFormat="1" ht="16" customHeight="1" spans="1:10">
      <c r="A17" s="12">
        <v>12</v>
      </c>
      <c r="B17" s="12" t="s">
        <v>144</v>
      </c>
      <c r="C17" s="12"/>
      <c r="D17" s="12" t="s">
        <v>15</v>
      </c>
      <c r="E17" s="13">
        <v>6.4</v>
      </c>
      <c r="F17" s="14">
        <f t="shared" si="0"/>
        <v>4.47058823529412</v>
      </c>
      <c r="G17" s="15">
        <f t="shared" si="1"/>
        <v>0.85</v>
      </c>
      <c r="H17" s="19">
        <v>3.8</v>
      </c>
      <c r="I17" s="16">
        <f t="shared" si="2"/>
        <v>24.32</v>
      </c>
      <c r="J17" s="17"/>
    </row>
    <row r="18" s="3" customFormat="1" ht="16" customHeight="1" spans="1:10">
      <c r="A18" s="12">
        <v>13</v>
      </c>
      <c r="B18" s="12" t="s">
        <v>47</v>
      </c>
      <c r="C18" s="12" t="s">
        <v>48</v>
      </c>
      <c r="D18" s="12" t="s">
        <v>49</v>
      </c>
      <c r="E18" s="13">
        <v>1</v>
      </c>
      <c r="F18" s="14">
        <f t="shared" si="0"/>
        <v>352.941176470588</v>
      </c>
      <c r="G18" s="15">
        <f t="shared" si="1"/>
        <v>0.85</v>
      </c>
      <c r="H18" s="19">
        <v>300</v>
      </c>
      <c r="I18" s="16">
        <f t="shared" si="2"/>
        <v>300</v>
      </c>
      <c r="J18" s="12"/>
    </row>
    <row r="19" s="3" customFormat="1" ht="16" customHeight="1" spans="1:10">
      <c r="A19" s="12">
        <v>14</v>
      </c>
      <c r="B19" s="12" t="s">
        <v>50</v>
      </c>
      <c r="C19" s="12"/>
      <c r="D19" s="12" t="s">
        <v>15</v>
      </c>
      <c r="E19" s="13">
        <v>9.6</v>
      </c>
      <c r="F19" s="14">
        <f t="shared" si="0"/>
        <v>25.8823529411765</v>
      </c>
      <c r="G19" s="15">
        <f t="shared" si="1"/>
        <v>0.85</v>
      </c>
      <c r="H19" s="19">
        <v>22</v>
      </c>
      <c r="I19" s="16">
        <f t="shared" si="2"/>
        <v>211.2</v>
      </c>
      <c r="J19" s="12"/>
    </row>
    <row r="20" s="3" customFormat="1" ht="16" customHeight="1" spans="1:10">
      <c r="A20" s="12">
        <v>15</v>
      </c>
      <c r="B20" s="14" t="s">
        <v>77</v>
      </c>
      <c r="C20" s="14"/>
      <c r="D20" s="14" t="s">
        <v>15</v>
      </c>
      <c r="E20" s="13">
        <v>6.6</v>
      </c>
      <c r="F20" s="14">
        <f t="shared" si="0"/>
        <v>17.4117647058824</v>
      </c>
      <c r="G20" s="15">
        <f t="shared" si="1"/>
        <v>0.85</v>
      </c>
      <c r="H20" s="19">
        <v>14.8</v>
      </c>
      <c r="I20" s="16">
        <f t="shared" si="2"/>
        <v>97.68</v>
      </c>
      <c r="J20" s="12"/>
    </row>
    <row r="21" s="3" customFormat="1" ht="16" customHeight="1" spans="1:10">
      <c r="A21" s="12">
        <v>16</v>
      </c>
      <c r="B21" s="14" t="s">
        <v>31</v>
      </c>
      <c r="C21" s="14"/>
      <c r="D21" s="14" t="s">
        <v>15</v>
      </c>
      <c r="E21" s="13">
        <v>4</v>
      </c>
      <c r="F21" s="14">
        <f t="shared" si="0"/>
        <v>16.2352941176471</v>
      </c>
      <c r="G21" s="15">
        <f t="shared" si="1"/>
        <v>0.85</v>
      </c>
      <c r="H21" s="19">
        <v>13.8</v>
      </c>
      <c r="I21" s="16">
        <f t="shared" si="2"/>
        <v>55.2</v>
      </c>
      <c r="J21" s="12"/>
    </row>
    <row r="22" s="3" customFormat="1" ht="16" customHeight="1" spans="1:10">
      <c r="A22" s="12">
        <v>17</v>
      </c>
      <c r="B22" s="14" t="s">
        <v>52</v>
      </c>
      <c r="C22" s="14"/>
      <c r="D22" s="14" t="s">
        <v>15</v>
      </c>
      <c r="E22" s="13">
        <v>13</v>
      </c>
      <c r="F22" s="14">
        <f t="shared" si="0"/>
        <v>16.2352941176471</v>
      </c>
      <c r="G22" s="15">
        <f t="shared" si="1"/>
        <v>0.85</v>
      </c>
      <c r="H22" s="19">
        <v>13.8</v>
      </c>
      <c r="I22" s="16">
        <f t="shared" si="2"/>
        <v>179.4</v>
      </c>
      <c r="J22" s="12"/>
    </row>
    <row r="23" s="3" customFormat="1" customHeight="1" spans="1:10">
      <c r="A23" s="12">
        <v>18</v>
      </c>
      <c r="B23" s="14" t="s">
        <v>177</v>
      </c>
      <c r="C23" s="14" t="s">
        <v>178</v>
      </c>
      <c r="D23" s="14" t="s">
        <v>49</v>
      </c>
      <c r="E23" s="13">
        <v>1</v>
      </c>
      <c r="F23" s="14">
        <f t="shared" si="0"/>
        <v>303.529411764706</v>
      </c>
      <c r="G23" s="15">
        <f t="shared" si="1"/>
        <v>0.85</v>
      </c>
      <c r="H23" s="19">
        <v>258</v>
      </c>
      <c r="I23" s="16">
        <f t="shared" si="2"/>
        <v>258</v>
      </c>
      <c r="J23" s="14"/>
    </row>
    <row r="24" s="3" customFormat="1" customHeight="1" spans="1:10">
      <c r="A24" s="12">
        <v>19</v>
      </c>
      <c r="B24" s="14" t="s">
        <v>179</v>
      </c>
      <c r="C24" s="14" t="s">
        <v>65</v>
      </c>
      <c r="D24" s="14" t="s">
        <v>180</v>
      </c>
      <c r="E24" s="13">
        <v>1</v>
      </c>
      <c r="F24" s="14">
        <f t="shared" si="0"/>
        <v>152.941176470588</v>
      </c>
      <c r="G24" s="15">
        <f t="shared" si="1"/>
        <v>0.85</v>
      </c>
      <c r="H24" s="19">
        <v>130</v>
      </c>
      <c r="I24" s="16">
        <f t="shared" si="2"/>
        <v>130</v>
      </c>
      <c r="J24" s="14"/>
    </row>
    <row r="25" s="3" customFormat="1" customHeight="1" spans="1:10">
      <c r="A25" s="12">
        <v>20</v>
      </c>
      <c r="B25" s="14" t="s">
        <v>159</v>
      </c>
      <c r="C25" s="14" t="s">
        <v>160</v>
      </c>
      <c r="D25" s="14" t="s">
        <v>55</v>
      </c>
      <c r="E25" s="13">
        <v>20</v>
      </c>
      <c r="F25" s="14">
        <f t="shared" si="0"/>
        <v>1.76470588235294</v>
      </c>
      <c r="G25" s="15">
        <f t="shared" si="1"/>
        <v>0.85</v>
      </c>
      <c r="H25" s="19">
        <v>1.5</v>
      </c>
      <c r="I25" s="16">
        <f t="shared" si="2"/>
        <v>30</v>
      </c>
      <c r="J25" s="14"/>
    </row>
    <row r="26" s="3" customFormat="1" customHeight="1" spans="1:10">
      <c r="A26" s="12">
        <v>21</v>
      </c>
      <c r="B26" s="14" t="s">
        <v>32</v>
      </c>
      <c r="C26" s="14"/>
      <c r="D26" s="14" t="s">
        <v>33</v>
      </c>
      <c r="E26" s="13">
        <v>45</v>
      </c>
      <c r="F26" s="14">
        <f t="shared" si="0"/>
        <v>4.11764705882353</v>
      </c>
      <c r="G26" s="15">
        <f t="shared" si="1"/>
        <v>0.85</v>
      </c>
      <c r="H26" s="19">
        <v>3.5</v>
      </c>
      <c r="I26" s="16">
        <f t="shared" si="2"/>
        <v>157.5</v>
      </c>
      <c r="J26" s="14"/>
    </row>
    <row r="27" s="3" customFormat="1" customHeight="1" spans="1:10">
      <c r="A27" s="12">
        <v>22</v>
      </c>
      <c r="B27" s="12" t="s">
        <v>73</v>
      </c>
      <c r="C27" s="12"/>
      <c r="D27" s="12" t="s">
        <v>15</v>
      </c>
      <c r="E27" s="13">
        <v>5</v>
      </c>
      <c r="F27" s="14">
        <f t="shared" si="0"/>
        <v>7.05882352941176</v>
      </c>
      <c r="G27" s="15">
        <f t="shared" si="1"/>
        <v>0.85</v>
      </c>
      <c r="H27" s="19">
        <v>6</v>
      </c>
      <c r="I27" s="16">
        <f t="shared" si="2"/>
        <v>30</v>
      </c>
      <c r="J27" s="14"/>
    </row>
    <row r="28" s="3" customFormat="1" customHeight="1" spans="1:10">
      <c r="A28" s="12">
        <v>23</v>
      </c>
      <c r="B28" s="14" t="s">
        <v>181</v>
      </c>
      <c r="C28" s="14"/>
      <c r="D28" s="14" t="s">
        <v>15</v>
      </c>
      <c r="E28" s="13">
        <v>4</v>
      </c>
      <c r="F28" s="14">
        <f t="shared" si="0"/>
        <v>4.11764705882353</v>
      </c>
      <c r="G28" s="15">
        <f t="shared" si="1"/>
        <v>0.85</v>
      </c>
      <c r="H28" s="19">
        <v>3.5</v>
      </c>
      <c r="I28" s="16">
        <f t="shared" si="2"/>
        <v>14</v>
      </c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7"/>
      <c r="C31" s="17"/>
      <c r="D31" s="18"/>
      <c r="E31" s="18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7"/>
      <c r="C32" s="17"/>
      <c r="D32" s="18"/>
      <c r="E32" s="18"/>
      <c r="F32" s="14"/>
      <c r="G32" s="15"/>
      <c r="H32" s="19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3" customFormat="1" customHeight="1" spans="1:10">
      <c r="A34" s="12" t="s">
        <v>36</v>
      </c>
      <c r="B34" s="25">
        <f>SUM(I6:I33)</f>
        <v>1886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1886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sortState ref="A23:I33">
    <sortCondition ref="A23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opLeftCell="A15" workbookViewId="0">
      <selection activeCell="A16" sqref="A16:A29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45281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3</v>
      </c>
      <c r="F6" s="14">
        <f t="shared" ref="F6:F29" si="0">H6/0.85</f>
        <v>3.52941176470588</v>
      </c>
      <c r="G6" s="15">
        <f t="shared" ref="G6:G29" si="1">H6/F6</f>
        <v>0.85</v>
      </c>
      <c r="H6" s="16">
        <v>3</v>
      </c>
      <c r="I6" s="16">
        <f t="shared" ref="I6:I29" si="2">E6*H6</f>
        <v>9</v>
      </c>
      <c r="J6" s="12"/>
    </row>
    <row r="7" s="3" customFormat="1" ht="16" customHeight="1" spans="1:10">
      <c r="A7" s="12">
        <v>2</v>
      </c>
      <c r="B7" s="12" t="s">
        <v>19</v>
      </c>
      <c r="C7" s="12"/>
      <c r="D7" s="13" t="s">
        <v>15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3" customFormat="1" ht="16" customHeight="1" spans="1:10">
      <c r="A8" s="12">
        <v>3</v>
      </c>
      <c r="B8" s="12" t="s">
        <v>182</v>
      </c>
      <c r="C8" s="12"/>
      <c r="D8" s="13" t="s">
        <v>15</v>
      </c>
      <c r="E8" s="13">
        <v>8</v>
      </c>
      <c r="F8" s="14">
        <f t="shared" si="0"/>
        <v>6.82352941176471</v>
      </c>
      <c r="G8" s="15">
        <f t="shared" si="1"/>
        <v>0.85</v>
      </c>
      <c r="H8" s="16">
        <v>5.8</v>
      </c>
      <c r="I8" s="16">
        <f t="shared" si="2"/>
        <v>46.4</v>
      </c>
      <c r="J8" s="12"/>
    </row>
    <row r="9" s="3" customFormat="1" ht="16" customHeight="1" spans="1:10">
      <c r="A9" s="12">
        <v>4</v>
      </c>
      <c r="B9" s="17" t="s">
        <v>183</v>
      </c>
      <c r="C9" s="17"/>
      <c r="D9" s="13" t="s">
        <v>15</v>
      </c>
      <c r="E9" s="13">
        <v>5</v>
      </c>
      <c r="F9" s="14">
        <f t="shared" si="0"/>
        <v>32.9411764705882</v>
      </c>
      <c r="G9" s="15">
        <f t="shared" si="1"/>
        <v>0.85</v>
      </c>
      <c r="H9" s="16">
        <v>28</v>
      </c>
      <c r="I9" s="16">
        <f t="shared" si="2"/>
        <v>140</v>
      </c>
      <c r="J9" s="12"/>
    </row>
    <row r="10" s="3" customFormat="1" ht="16" customHeight="1" spans="1:10">
      <c r="A10" s="12">
        <v>5</v>
      </c>
      <c r="B10" s="12" t="s">
        <v>184</v>
      </c>
      <c r="C10" s="12"/>
      <c r="D10" s="13" t="s">
        <v>15</v>
      </c>
      <c r="E10" s="13">
        <v>5</v>
      </c>
      <c r="F10" s="14">
        <f t="shared" si="0"/>
        <v>14.1176470588235</v>
      </c>
      <c r="G10" s="15">
        <f t="shared" si="1"/>
        <v>0.85</v>
      </c>
      <c r="H10" s="16">
        <v>12</v>
      </c>
      <c r="I10" s="16">
        <f t="shared" si="2"/>
        <v>60</v>
      </c>
      <c r="J10" s="12"/>
    </row>
    <row r="11" s="3" customFormat="1" ht="16" customHeight="1" spans="1:10">
      <c r="A11" s="12">
        <v>6</v>
      </c>
      <c r="B11" s="12" t="s">
        <v>23</v>
      </c>
      <c r="C11" s="12"/>
      <c r="D11" s="13" t="s">
        <v>15</v>
      </c>
      <c r="E11" s="13">
        <v>5</v>
      </c>
      <c r="F11" s="14">
        <f t="shared" si="0"/>
        <v>2.94117647058824</v>
      </c>
      <c r="G11" s="15">
        <f t="shared" si="1"/>
        <v>0.85</v>
      </c>
      <c r="H11" s="16">
        <v>2.5</v>
      </c>
      <c r="I11" s="16">
        <f t="shared" si="2"/>
        <v>12.5</v>
      </c>
      <c r="J11" s="12"/>
    </row>
    <row r="12" s="3" customFormat="1" ht="16" customHeight="1" spans="1:10">
      <c r="A12" s="12">
        <v>7</v>
      </c>
      <c r="B12" s="17" t="s">
        <v>105</v>
      </c>
      <c r="C12" s="17"/>
      <c r="D12" s="18" t="s">
        <v>15</v>
      </c>
      <c r="E12" s="18">
        <v>13</v>
      </c>
      <c r="F12" s="14">
        <f t="shared" si="0"/>
        <v>4.47058823529412</v>
      </c>
      <c r="G12" s="15">
        <f t="shared" si="1"/>
        <v>0.85</v>
      </c>
      <c r="H12" s="19">
        <v>3.8</v>
      </c>
      <c r="I12" s="16">
        <f t="shared" si="2"/>
        <v>49.4</v>
      </c>
      <c r="J12" s="17"/>
    </row>
    <row r="13" s="3" customFormat="1" ht="16" customHeight="1" spans="1:10">
      <c r="A13" s="12">
        <v>8</v>
      </c>
      <c r="B13" s="17" t="s">
        <v>44</v>
      </c>
      <c r="C13" s="17"/>
      <c r="D13" s="18" t="s">
        <v>15</v>
      </c>
      <c r="E13" s="18">
        <v>3</v>
      </c>
      <c r="F13" s="14">
        <f t="shared" si="0"/>
        <v>9.17647058823529</v>
      </c>
      <c r="G13" s="15">
        <f t="shared" si="1"/>
        <v>0.85</v>
      </c>
      <c r="H13" s="19">
        <v>7.8</v>
      </c>
      <c r="I13" s="16">
        <f t="shared" si="2"/>
        <v>23.4</v>
      </c>
      <c r="J13" s="17"/>
    </row>
    <row r="14" s="3" customFormat="1" ht="16" customHeight="1" spans="1:10">
      <c r="A14" s="12">
        <v>9</v>
      </c>
      <c r="B14" s="17" t="s">
        <v>28</v>
      </c>
      <c r="C14" s="17"/>
      <c r="D14" s="18" t="s">
        <v>15</v>
      </c>
      <c r="E14" s="18">
        <v>13</v>
      </c>
      <c r="F14" s="14">
        <f t="shared" si="0"/>
        <v>2.11764705882353</v>
      </c>
      <c r="G14" s="15">
        <f t="shared" si="1"/>
        <v>0.85</v>
      </c>
      <c r="H14" s="19">
        <v>1.8</v>
      </c>
      <c r="I14" s="16">
        <f t="shared" si="2"/>
        <v>23.4</v>
      </c>
      <c r="J14" s="17"/>
    </row>
    <row r="15" s="3" customFormat="1" ht="16" customHeight="1" spans="1:10">
      <c r="A15" s="12">
        <v>10</v>
      </c>
      <c r="B15" s="17" t="s">
        <v>134</v>
      </c>
      <c r="C15" s="17"/>
      <c r="D15" s="18" t="s">
        <v>15</v>
      </c>
      <c r="E15" s="18">
        <v>28</v>
      </c>
      <c r="F15" s="14">
        <f t="shared" si="0"/>
        <v>8</v>
      </c>
      <c r="G15" s="15">
        <f t="shared" si="1"/>
        <v>0.85</v>
      </c>
      <c r="H15" s="19">
        <v>6.8</v>
      </c>
      <c r="I15" s="16">
        <f t="shared" si="2"/>
        <v>190.4</v>
      </c>
      <c r="J15" s="17"/>
    </row>
    <row r="16" s="3" customFormat="1" ht="16" customHeight="1" spans="1:10">
      <c r="A16" s="12">
        <v>11</v>
      </c>
      <c r="B16" s="17" t="s">
        <v>185</v>
      </c>
      <c r="C16" s="17"/>
      <c r="D16" s="18" t="s">
        <v>15</v>
      </c>
      <c r="E16" s="18">
        <v>8</v>
      </c>
      <c r="F16" s="14">
        <f t="shared" si="0"/>
        <v>16.2352941176471</v>
      </c>
      <c r="G16" s="15">
        <f t="shared" si="1"/>
        <v>0.85</v>
      </c>
      <c r="H16" s="19">
        <v>13.8</v>
      </c>
      <c r="I16" s="16">
        <f t="shared" si="2"/>
        <v>110.4</v>
      </c>
      <c r="J16" s="17"/>
    </row>
    <row r="17" s="3" customFormat="1" ht="16" customHeight="1" spans="1:10">
      <c r="A17" s="12">
        <v>12</v>
      </c>
      <c r="B17" s="17" t="s">
        <v>31</v>
      </c>
      <c r="C17" s="17"/>
      <c r="D17" s="18" t="s">
        <v>15</v>
      </c>
      <c r="E17" s="18">
        <v>2</v>
      </c>
      <c r="F17" s="14">
        <f t="shared" si="0"/>
        <v>16.2352941176471</v>
      </c>
      <c r="G17" s="15">
        <f t="shared" si="1"/>
        <v>0.85</v>
      </c>
      <c r="H17" s="19">
        <v>13.8</v>
      </c>
      <c r="I17" s="16">
        <f t="shared" si="2"/>
        <v>27.6</v>
      </c>
      <c r="J17" s="17"/>
    </row>
    <row r="18" s="3" customFormat="1" ht="16" customHeight="1" spans="1:10">
      <c r="A18" s="12">
        <v>13</v>
      </c>
      <c r="B18" s="12" t="s">
        <v>136</v>
      </c>
      <c r="C18" s="12"/>
      <c r="D18" s="13" t="s">
        <v>15</v>
      </c>
      <c r="E18" s="13">
        <v>5</v>
      </c>
      <c r="F18" s="14">
        <f t="shared" si="0"/>
        <v>23.5294117647059</v>
      </c>
      <c r="G18" s="15">
        <f t="shared" si="1"/>
        <v>0.85</v>
      </c>
      <c r="H18" s="19">
        <v>20</v>
      </c>
      <c r="I18" s="16">
        <f t="shared" si="2"/>
        <v>100</v>
      </c>
      <c r="J18" s="12"/>
    </row>
    <row r="19" s="3" customFormat="1" ht="16" customHeight="1" spans="1:10">
      <c r="A19" s="12">
        <v>14</v>
      </c>
      <c r="B19" s="17" t="s">
        <v>66</v>
      </c>
      <c r="C19" s="17" t="s">
        <v>67</v>
      </c>
      <c r="D19" s="17" t="s">
        <v>55</v>
      </c>
      <c r="E19" s="18">
        <v>1</v>
      </c>
      <c r="F19" s="14">
        <f t="shared" si="0"/>
        <v>97.6470588235294</v>
      </c>
      <c r="G19" s="15">
        <f t="shared" si="1"/>
        <v>0.85</v>
      </c>
      <c r="H19" s="19">
        <v>83</v>
      </c>
      <c r="I19" s="16">
        <f t="shared" si="2"/>
        <v>83</v>
      </c>
      <c r="J19" s="17"/>
    </row>
    <row r="20" s="3" customFormat="1" ht="16" customHeight="1" spans="1:10">
      <c r="A20" s="12">
        <v>15</v>
      </c>
      <c r="B20" s="12" t="s">
        <v>85</v>
      </c>
      <c r="C20" s="12"/>
      <c r="D20" s="12" t="s">
        <v>15</v>
      </c>
      <c r="E20" s="13">
        <v>2</v>
      </c>
      <c r="F20" s="14">
        <f t="shared" ref="F20:F30" si="3">H20/0.85</f>
        <v>4.70588235294118</v>
      </c>
      <c r="G20" s="15">
        <f t="shared" ref="G20:G30" si="4">H20/F20</f>
        <v>0.85</v>
      </c>
      <c r="H20" s="19">
        <v>4</v>
      </c>
      <c r="I20" s="16">
        <f t="shared" ref="I20:I30" si="5">E20*H20</f>
        <v>8</v>
      </c>
      <c r="J20" s="12"/>
    </row>
    <row r="21" s="3" customFormat="1" ht="16" customHeight="1" spans="1:10">
      <c r="A21" s="12">
        <v>16</v>
      </c>
      <c r="B21" s="12" t="s">
        <v>86</v>
      </c>
      <c r="C21" s="12" t="s">
        <v>87</v>
      </c>
      <c r="D21" s="12" t="s">
        <v>15</v>
      </c>
      <c r="E21" s="13">
        <v>4</v>
      </c>
      <c r="F21" s="14">
        <f t="shared" si="3"/>
        <v>10</v>
      </c>
      <c r="G21" s="15">
        <f t="shared" si="4"/>
        <v>0.85</v>
      </c>
      <c r="H21" s="19">
        <v>8.5</v>
      </c>
      <c r="I21" s="16">
        <f t="shared" si="5"/>
        <v>34</v>
      </c>
      <c r="J21" s="12"/>
    </row>
    <row r="22" s="3" customFormat="1" ht="16" customHeight="1" spans="1:10">
      <c r="A22" s="12">
        <v>17</v>
      </c>
      <c r="B22" s="12" t="s">
        <v>88</v>
      </c>
      <c r="C22" s="12" t="s">
        <v>17</v>
      </c>
      <c r="D22" s="12" t="s">
        <v>15</v>
      </c>
      <c r="E22" s="13">
        <v>2</v>
      </c>
      <c r="F22" s="14">
        <f t="shared" si="3"/>
        <v>5.29411764705882</v>
      </c>
      <c r="G22" s="15">
        <f t="shared" si="4"/>
        <v>0.85</v>
      </c>
      <c r="H22" s="19">
        <v>4.5</v>
      </c>
      <c r="I22" s="16">
        <f t="shared" si="5"/>
        <v>9</v>
      </c>
      <c r="J22" s="12"/>
    </row>
    <row r="23" s="3" customFormat="1" ht="16" customHeight="1" spans="1:10">
      <c r="A23" s="12">
        <v>18</v>
      </c>
      <c r="B23" s="12" t="s">
        <v>89</v>
      </c>
      <c r="C23" s="12" t="s">
        <v>17</v>
      </c>
      <c r="D23" s="12" t="s">
        <v>15</v>
      </c>
      <c r="E23" s="13">
        <v>2</v>
      </c>
      <c r="F23" s="14">
        <f t="shared" si="3"/>
        <v>5.88235294117647</v>
      </c>
      <c r="G23" s="15">
        <f t="shared" si="4"/>
        <v>0.85</v>
      </c>
      <c r="H23" s="19">
        <v>5</v>
      </c>
      <c r="I23" s="16">
        <f t="shared" si="5"/>
        <v>10</v>
      </c>
      <c r="J23" s="12"/>
    </row>
    <row r="24" s="3" customFormat="1" customHeight="1" spans="1:10">
      <c r="A24" s="12">
        <v>19</v>
      </c>
      <c r="B24" s="14" t="s">
        <v>90</v>
      </c>
      <c r="C24" s="14"/>
      <c r="D24" s="14" t="s">
        <v>15</v>
      </c>
      <c r="E24" s="13">
        <v>2</v>
      </c>
      <c r="F24" s="14">
        <f t="shared" si="3"/>
        <v>5.29411764705882</v>
      </c>
      <c r="G24" s="15">
        <f t="shared" si="4"/>
        <v>0.85</v>
      </c>
      <c r="H24" s="19">
        <v>4.5</v>
      </c>
      <c r="I24" s="16">
        <f t="shared" si="5"/>
        <v>9</v>
      </c>
      <c r="J24" s="14"/>
    </row>
    <row r="25" s="3" customFormat="1" customHeight="1" spans="1:10">
      <c r="A25" s="12">
        <v>20</v>
      </c>
      <c r="B25" s="14" t="s">
        <v>91</v>
      </c>
      <c r="C25" s="14" t="s">
        <v>17</v>
      </c>
      <c r="D25" s="14" t="s">
        <v>15</v>
      </c>
      <c r="E25" s="13">
        <v>3</v>
      </c>
      <c r="F25" s="14">
        <f t="shared" si="3"/>
        <v>4.11764705882353</v>
      </c>
      <c r="G25" s="15">
        <f t="shared" si="4"/>
        <v>0.85</v>
      </c>
      <c r="H25" s="19">
        <v>3.5</v>
      </c>
      <c r="I25" s="16">
        <f t="shared" si="5"/>
        <v>10.5</v>
      </c>
      <c r="J25" s="14"/>
    </row>
    <row r="26" s="3" customFormat="1" customHeight="1" spans="1:10">
      <c r="A26" s="12">
        <v>21</v>
      </c>
      <c r="B26" s="14" t="s">
        <v>34</v>
      </c>
      <c r="C26" s="14"/>
      <c r="D26" s="14" t="s">
        <v>15</v>
      </c>
      <c r="E26" s="13">
        <v>6</v>
      </c>
      <c r="F26" s="14">
        <f t="shared" si="3"/>
        <v>51.7647058823529</v>
      </c>
      <c r="G26" s="15">
        <f t="shared" si="4"/>
        <v>0.85</v>
      </c>
      <c r="H26" s="19">
        <v>44</v>
      </c>
      <c r="I26" s="16">
        <f t="shared" si="5"/>
        <v>264</v>
      </c>
      <c r="J26" s="14"/>
    </row>
    <row r="27" s="3" customFormat="1" customHeight="1" spans="1:10">
      <c r="A27" s="12">
        <v>22</v>
      </c>
      <c r="B27" s="14" t="s">
        <v>186</v>
      </c>
      <c r="C27" s="14"/>
      <c r="D27" s="14" t="s">
        <v>15</v>
      </c>
      <c r="E27" s="13">
        <v>4</v>
      </c>
      <c r="F27" s="14">
        <f t="shared" si="3"/>
        <v>82.3529411764706</v>
      </c>
      <c r="G27" s="15">
        <f t="shared" si="4"/>
        <v>0.85</v>
      </c>
      <c r="H27" s="19">
        <v>70</v>
      </c>
      <c r="I27" s="16">
        <f t="shared" si="5"/>
        <v>280</v>
      </c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4"/>
      <c r="H29" s="14"/>
      <c r="I29" s="14"/>
      <c r="J29" s="14"/>
    </row>
    <row r="30" s="3" customFormat="1" customHeight="1" spans="1:10">
      <c r="A30" s="12" t="s">
        <v>36</v>
      </c>
      <c r="B30" s="25">
        <f>SUM(I6:I29)</f>
        <v>1514</v>
      </c>
      <c r="C30" s="26"/>
      <c r="D30" s="26"/>
      <c r="E30" s="27"/>
      <c r="F30" s="26"/>
      <c r="G30" s="26"/>
      <c r="H30" s="26"/>
      <c r="I30" s="26"/>
      <c r="J30" s="31"/>
    </row>
    <row r="31" s="3" customFormat="1" customHeight="1" spans="1:10">
      <c r="A31" s="12" t="s">
        <v>37</v>
      </c>
      <c r="B31" s="28">
        <f>B30</f>
        <v>1514</v>
      </c>
      <c r="C31" s="29"/>
      <c r="D31" s="29"/>
      <c r="E31" s="27"/>
      <c r="F31" s="29"/>
      <c r="G31" s="29"/>
      <c r="H31" s="29"/>
      <c r="I31" s="29"/>
      <c r="J31" s="32"/>
    </row>
    <row r="32" s="3" customFormat="1" customHeight="1" spans="1:5">
      <c r="A32" s="3" t="s">
        <v>38</v>
      </c>
      <c r="E32" s="5"/>
    </row>
  </sheetData>
  <mergeCells count="4">
    <mergeCell ref="A1:J1"/>
    <mergeCell ref="B30:J30"/>
    <mergeCell ref="B31:J31"/>
    <mergeCell ref="A32:J32"/>
  </mergeCells>
  <conditionalFormatting sqref="B27">
    <cfRule type="duplicateValues" dxfId="0" priority="2"/>
    <cfRule type="duplicateValues" dxfId="0" priority="1"/>
  </conditionalFormatting>
  <conditionalFormatting sqref="B1:B26 B28:B29 B32:B1048576">
    <cfRule type="duplicateValues" dxfId="0" priority="3"/>
  </conditionalFormatting>
  <conditionalFormatting sqref="B6:C18">
    <cfRule type="duplicateValues" dxfId="0" priority="5"/>
  </conditionalFormatting>
  <conditionalFormatting sqref="B6:B26 B28:B29">
    <cfRule type="duplicateValues" dxfId="0" priority="4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B20" sqref="B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5" width="11.6666666666667" style="3" customWidth="1"/>
    <col min="16306" max="16306" width="11.6666666666667" style="3"/>
    <col min="16307" max="16312" width="11" style="3"/>
    <col min="16313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45282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16</v>
      </c>
      <c r="C6" s="12" t="s">
        <v>17</v>
      </c>
      <c r="D6" s="13" t="s">
        <v>15</v>
      </c>
      <c r="E6" s="13">
        <v>10</v>
      </c>
      <c r="F6" s="14">
        <f t="shared" ref="F6:F20" si="0">H6/0.85</f>
        <v>4.11764705882353</v>
      </c>
      <c r="G6" s="15">
        <f t="shared" ref="G6:G20" si="1">H6/F6</f>
        <v>0.85</v>
      </c>
      <c r="H6" s="16">
        <v>3.5</v>
      </c>
      <c r="I6" s="16">
        <f t="shared" ref="I6:I20" si="2">E6*H6</f>
        <v>35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1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3.5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3" customFormat="1" ht="16" customHeight="1" spans="1:10">
      <c r="A9" s="12">
        <v>4</v>
      </c>
      <c r="B9" s="17" t="s">
        <v>21</v>
      </c>
      <c r="C9" s="17"/>
      <c r="D9" s="13" t="s">
        <v>15</v>
      </c>
      <c r="E9" s="13">
        <v>6</v>
      </c>
      <c r="F9" s="14">
        <f t="shared" si="0"/>
        <v>6.82352941176471</v>
      </c>
      <c r="G9" s="15">
        <f t="shared" si="1"/>
        <v>0.85</v>
      </c>
      <c r="H9" s="16">
        <v>5.8</v>
      </c>
      <c r="I9" s="16">
        <f t="shared" si="2"/>
        <v>34.8</v>
      </c>
      <c r="J9" s="12"/>
    </row>
    <row r="10" s="3" customFormat="1" ht="16" customHeight="1" spans="1:10">
      <c r="A10" s="12">
        <v>5</v>
      </c>
      <c r="B10" s="12" t="s">
        <v>22</v>
      </c>
      <c r="C10" s="12"/>
      <c r="D10" s="13" t="s">
        <v>15</v>
      </c>
      <c r="E10" s="13">
        <v>9</v>
      </c>
      <c r="F10" s="14">
        <f t="shared" si="0"/>
        <v>2.35294117647059</v>
      </c>
      <c r="G10" s="15">
        <f t="shared" si="1"/>
        <v>0.85</v>
      </c>
      <c r="H10" s="16">
        <v>2</v>
      </c>
      <c r="I10" s="16">
        <f t="shared" si="2"/>
        <v>18</v>
      </c>
      <c r="J10" s="12"/>
    </row>
    <row r="11" s="3" customFormat="1" ht="16" customHeight="1" spans="1:10">
      <c r="A11" s="12">
        <v>6</v>
      </c>
      <c r="B11" s="17" t="s">
        <v>74</v>
      </c>
      <c r="C11" s="17"/>
      <c r="D11" s="18" t="s">
        <v>15</v>
      </c>
      <c r="E11" s="18">
        <v>18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63</v>
      </c>
      <c r="J11" s="12"/>
    </row>
    <row r="12" s="3" customFormat="1" ht="16" customHeight="1" spans="1:10">
      <c r="A12" s="12">
        <v>7</v>
      </c>
      <c r="B12" s="17" t="s">
        <v>42</v>
      </c>
      <c r="C12" s="17"/>
      <c r="D12" s="18" t="s">
        <v>15</v>
      </c>
      <c r="E12" s="18">
        <v>3</v>
      </c>
      <c r="F12" s="14">
        <f t="shared" si="0"/>
        <v>8.82352941176471</v>
      </c>
      <c r="G12" s="15">
        <f t="shared" si="1"/>
        <v>0.85</v>
      </c>
      <c r="H12" s="16">
        <v>7.5</v>
      </c>
      <c r="I12" s="16">
        <f t="shared" si="2"/>
        <v>22.5</v>
      </c>
      <c r="J12" s="17"/>
    </row>
    <row r="13" s="3" customFormat="1" ht="16" customHeight="1" spans="1:10">
      <c r="A13" s="12">
        <v>8</v>
      </c>
      <c r="B13" s="17" t="s">
        <v>25</v>
      </c>
      <c r="C13" s="17"/>
      <c r="D13" s="18" t="s">
        <v>26</v>
      </c>
      <c r="E13" s="18">
        <v>8</v>
      </c>
      <c r="F13" s="14">
        <f t="shared" si="0"/>
        <v>3.52941176470588</v>
      </c>
      <c r="G13" s="15">
        <f t="shared" si="1"/>
        <v>0.85</v>
      </c>
      <c r="H13" s="16">
        <v>3</v>
      </c>
      <c r="I13" s="16">
        <f t="shared" si="2"/>
        <v>24</v>
      </c>
      <c r="J13" s="17"/>
    </row>
    <row r="14" s="3" customFormat="1" ht="16" customHeight="1" spans="1:10">
      <c r="A14" s="12">
        <v>9</v>
      </c>
      <c r="B14" s="17" t="s">
        <v>43</v>
      </c>
      <c r="C14" s="17"/>
      <c r="D14" s="18" t="s">
        <v>15</v>
      </c>
      <c r="E14" s="18">
        <v>3</v>
      </c>
      <c r="F14" s="14">
        <f t="shared" si="0"/>
        <v>4.70588235294118</v>
      </c>
      <c r="G14" s="15">
        <f t="shared" si="1"/>
        <v>0.85</v>
      </c>
      <c r="H14" s="16">
        <v>4</v>
      </c>
      <c r="I14" s="16">
        <f t="shared" si="2"/>
        <v>12</v>
      </c>
      <c r="J14" s="17"/>
    </row>
    <row r="15" s="3" customFormat="1" ht="16" customHeight="1" spans="1:10">
      <c r="A15" s="12">
        <v>10</v>
      </c>
      <c r="B15" s="17" t="s">
        <v>27</v>
      </c>
      <c r="C15" s="17"/>
      <c r="D15" s="18" t="s">
        <v>15</v>
      </c>
      <c r="E15" s="18">
        <v>6</v>
      </c>
      <c r="F15" s="14">
        <f t="shared" si="0"/>
        <v>4.47058823529412</v>
      </c>
      <c r="G15" s="15">
        <f t="shared" si="1"/>
        <v>0.85</v>
      </c>
      <c r="H15" s="16">
        <v>3.8</v>
      </c>
      <c r="I15" s="16">
        <f t="shared" si="2"/>
        <v>22.8</v>
      </c>
      <c r="J15" s="17"/>
    </row>
    <row r="16" s="3" customFormat="1" ht="16" customHeight="1" spans="1:10">
      <c r="A16" s="12">
        <v>11</v>
      </c>
      <c r="B16" s="17" t="s">
        <v>76</v>
      </c>
      <c r="C16" s="17"/>
      <c r="D16" s="18" t="s">
        <v>15</v>
      </c>
      <c r="E16" s="18">
        <v>12</v>
      </c>
      <c r="F16" s="14">
        <f t="shared" si="0"/>
        <v>5.29411764705882</v>
      </c>
      <c r="G16" s="15">
        <f t="shared" si="1"/>
        <v>0.85</v>
      </c>
      <c r="H16" s="16">
        <v>4.5</v>
      </c>
      <c r="I16" s="16">
        <f t="shared" si="2"/>
        <v>54</v>
      </c>
      <c r="J16" s="17"/>
    </row>
    <row r="17" s="3" customFormat="1" ht="16" customHeight="1" spans="1:10">
      <c r="A17" s="12">
        <v>12</v>
      </c>
      <c r="B17" s="12" t="s">
        <v>96</v>
      </c>
      <c r="C17" s="12"/>
      <c r="D17" s="12" t="s">
        <v>15</v>
      </c>
      <c r="E17" s="13">
        <v>8</v>
      </c>
      <c r="F17" s="14">
        <f t="shared" si="0"/>
        <v>37.6470588235294</v>
      </c>
      <c r="G17" s="15">
        <f t="shared" si="1"/>
        <v>0.85</v>
      </c>
      <c r="H17" s="16">
        <v>32</v>
      </c>
      <c r="I17" s="16">
        <f t="shared" si="2"/>
        <v>256</v>
      </c>
      <c r="J17" s="17"/>
    </row>
    <row r="18" s="3" customFormat="1" ht="16" customHeight="1" spans="1:10">
      <c r="A18" s="12">
        <v>13</v>
      </c>
      <c r="B18" s="12" t="s">
        <v>62</v>
      </c>
      <c r="C18" s="12"/>
      <c r="D18" s="12" t="s">
        <v>15</v>
      </c>
      <c r="E18" s="13">
        <v>8</v>
      </c>
      <c r="F18" s="14">
        <f t="shared" si="0"/>
        <v>22.9411764705882</v>
      </c>
      <c r="G18" s="15">
        <f t="shared" si="1"/>
        <v>0.85</v>
      </c>
      <c r="H18" s="16">
        <v>19.5</v>
      </c>
      <c r="I18" s="16">
        <f t="shared" si="2"/>
        <v>156</v>
      </c>
      <c r="J18" s="12"/>
    </row>
    <row r="19" s="3" customFormat="1" ht="16" customHeight="1" spans="1:10">
      <c r="A19" s="12">
        <v>14</v>
      </c>
      <c r="B19" s="12" t="s">
        <v>32</v>
      </c>
      <c r="C19" s="12"/>
      <c r="D19" s="12" t="s">
        <v>33</v>
      </c>
      <c r="E19" s="13">
        <v>40</v>
      </c>
      <c r="F19" s="14">
        <f t="shared" si="0"/>
        <v>4.11764705882353</v>
      </c>
      <c r="G19" s="15">
        <f t="shared" si="1"/>
        <v>0.85</v>
      </c>
      <c r="H19" s="16">
        <v>3.5</v>
      </c>
      <c r="I19" s="16">
        <f t="shared" si="2"/>
        <v>140</v>
      </c>
      <c r="J19" s="12"/>
    </row>
    <row r="20" s="3" customFormat="1" ht="16" customHeight="1" spans="1:10">
      <c r="A20" s="12">
        <v>15</v>
      </c>
      <c r="B20" s="14" t="s">
        <v>35</v>
      </c>
      <c r="C20" s="14"/>
      <c r="D20" s="14" t="s">
        <v>15</v>
      </c>
      <c r="E20" s="13">
        <v>8</v>
      </c>
      <c r="F20" s="14">
        <f t="shared" si="0"/>
        <v>103.529411764706</v>
      </c>
      <c r="G20" s="15">
        <f t="shared" si="1"/>
        <v>0.85</v>
      </c>
      <c r="H20" s="16">
        <v>88</v>
      </c>
      <c r="I20" s="16">
        <f t="shared" si="2"/>
        <v>704</v>
      </c>
      <c r="J20" s="12"/>
    </row>
    <row r="21" s="3" customFormat="1" ht="16" customHeight="1" spans="1:10">
      <c r="A21" s="12">
        <v>16</v>
      </c>
      <c r="B21" s="14"/>
      <c r="C21" s="14"/>
      <c r="D21" s="14"/>
      <c r="E21" s="13"/>
      <c r="F21" s="14"/>
      <c r="G21" s="15"/>
      <c r="H21" s="16"/>
      <c r="I21" s="16"/>
      <c r="J21" s="12"/>
    </row>
    <row r="22" s="3" customFormat="1" customHeight="1" spans="1:10">
      <c r="A22" s="12">
        <v>17</v>
      </c>
      <c r="B22" s="12"/>
      <c r="C22" s="12"/>
      <c r="D22" s="13"/>
      <c r="E22" s="13"/>
      <c r="F22" s="14"/>
      <c r="G22" s="15"/>
      <c r="H22" s="16"/>
      <c r="I22" s="16"/>
      <c r="J22" s="14"/>
    </row>
    <row r="23" s="3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6"/>
      <c r="I23" s="16"/>
      <c r="J23" s="14"/>
    </row>
    <row r="24" s="3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6"/>
      <c r="I24" s="16"/>
      <c r="J24" s="14"/>
    </row>
    <row r="25" s="3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6"/>
      <c r="I25" s="16"/>
      <c r="J25" s="14"/>
    </row>
    <row r="26" s="3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6"/>
      <c r="I26" s="16"/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6"/>
      <c r="I27" s="16"/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6"/>
      <c r="I28" s="16"/>
      <c r="J28" s="14"/>
    </row>
    <row r="29" s="3" customFormat="1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4"/>
    </row>
    <row r="30" s="3" customFormat="1" customHeight="1" spans="1:10">
      <c r="A30" s="12">
        <v>25</v>
      </c>
      <c r="B30" s="12"/>
      <c r="C30" s="12"/>
      <c r="D30" s="17"/>
      <c r="E30" s="13"/>
      <c r="F30" s="14"/>
      <c r="G30" s="15"/>
      <c r="H30" s="16"/>
      <c r="I30" s="16"/>
      <c r="J30" s="14"/>
    </row>
    <row r="31" s="3" customFormat="1" customHeight="1" spans="1:10">
      <c r="A31" s="12">
        <v>26</v>
      </c>
      <c r="B31" s="12"/>
      <c r="C31" s="12"/>
      <c r="D31" s="17"/>
      <c r="E31" s="13"/>
      <c r="F31" s="14"/>
      <c r="G31" s="15"/>
      <c r="H31" s="16"/>
      <c r="I31" s="16"/>
      <c r="J31" s="14"/>
    </row>
    <row r="32" s="3" customFormat="1" customHeight="1" spans="1:10">
      <c r="A32" s="12">
        <v>27</v>
      </c>
      <c r="B32" s="12"/>
      <c r="C32" s="12"/>
      <c r="D32" s="17"/>
      <c r="E32" s="13"/>
      <c r="F32" s="14"/>
      <c r="G32" s="15"/>
      <c r="H32" s="16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3" customFormat="1" customHeight="1" spans="1:10">
      <c r="A34" s="12" t="s">
        <v>36</v>
      </c>
      <c r="B34" s="25">
        <f>SUM(I6:I33)</f>
        <v>1563.1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1563.1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sortState ref="A10:I22">
    <sortCondition ref="A10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3" workbookViewId="0">
      <selection activeCell="B28" sqref="B2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2" width="11.6666666666667" style="3" customWidth="1"/>
    <col min="16323" max="16323" width="11.6666666666667" style="3"/>
    <col min="16324" max="16329" width="11" style="3"/>
    <col min="16330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45283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21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7" t="s">
        <v>19</v>
      </c>
      <c r="C8" s="17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3" customFormat="1" ht="16" customHeight="1" spans="1:10">
      <c r="A9" s="12">
        <v>4</v>
      </c>
      <c r="B9" s="12" t="s">
        <v>20</v>
      </c>
      <c r="C9" s="12"/>
      <c r="D9" s="13" t="s">
        <v>15</v>
      </c>
      <c r="E9" s="13">
        <v>2</v>
      </c>
      <c r="F9" s="14">
        <f t="shared" si="0"/>
        <v>8</v>
      </c>
      <c r="G9" s="15">
        <f t="shared" si="1"/>
        <v>0.85</v>
      </c>
      <c r="H9" s="16">
        <v>6.8</v>
      </c>
      <c r="I9" s="16">
        <f t="shared" si="2"/>
        <v>13.6</v>
      </c>
      <c r="J9" s="12"/>
    </row>
    <row r="10" s="3" customFormat="1" ht="16" customHeight="1" spans="1:10">
      <c r="A10" s="12">
        <v>5</v>
      </c>
      <c r="B10" s="17" t="s">
        <v>115</v>
      </c>
      <c r="C10" s="17"/>
      <c r="D10" s="18" t="s">
        <v>15</v>
      </c>
      <c r="E10" s="18">
        <v>10</v>
      </c>
      <c r="F10" s="14">
        <f t="shared" si="0"/>
        <v>4.11764705882353</v>
      </c>
      <c r="G10" s="15">
        <f t="shared" si="1"/>
        <v>0.85</v>
      </c>
      <c r="H10" s="19">
        <v>3.5</v>
      </c>
      <c r="I10" s="16">
        <f t="shared" si="2"/>
        <v>35</v>
      </c>
      <c r="J10" s="12"/>
    </row>
    <row r="11" s="3" customFormat="1" ht="16" customHeight="1" spans="1:10">
      <c r="A11" s="12">
        <v>6</v>
      </c>
      <c r="B11" s="17" t="s">
        <v>175</v>
      </c>
      <c r="C11" s="17"/>
      <c r="D11" s="18" t="s">
        <v>15</v>
      </c>
      <c r="E11" s="18">
        <v>13</v>
      </c>
      <c r="F11" s="14">
        <f t="shared" si="0"/>
        <v>4.70588235294118</v>
      </c>
      <c r="G11" s="15">
        <f t="shared" si="1"/>
        <v>0.85</v>
      </c>
      <c r="H11" s="19">
        <v>4</v>
      </c>
      <c r="I11" s="16">
        <f t="shared" si="2"/>
        <v>52</v>
      </c>
      <c r="J11" s="17"/>
    </row>
    <row r="12" s="3" customFormat="1" ht="16" customHeight="1" spans="1:10">
      <c r="A12" s="12">
        <v>7</v>
      </c>
      <c r="B12" s="17" t="s">
        <v>42</v>
      </c>
      <c r="C12" s="17"/>
      <c r="D12" s="18" t="s">
        <v>15</v>
      </c>
      <c r="E12" s="18">
        <v>3</v>
      </c>
      <c r="F12" s="14">
        <f t="shared" si="0"/>
        <v>8.82352941176471</v>
      </c>
      <c r="G12" s="15">
        <f t="shared" si="1"/>
        <v>0.85</v>
      </c>
      <c r="H12" s="19">
        <v>7.5</v>
      </c>
      <c r="I12" s="16">
        <f t="shared" si="2"/>
        <v>22.5</v>
      </c>
      <c r="J12" s="17"/>
    </row>
    <row r="13" s="3" customFormat="1" ht="16" customHeight="1" spans="1:10">
      <c r="A13" s="12">
        <v>8</v>
      </c>
      <c r="B13" s="17" t="s">
        <v>133</v>
      </c>
      <c r="C13" s="17"/>
      <c r="D13" s="18" t="s">
        <v>15</v>
      </c>
      <c r="E13" s="18">
        <v>5</v>
      </c>
      <c r="F13" s="14">
        <f t="shared" si="0"/>
        <v>10.3529411764706</v>
      </c>
      <c r="G13" s="15">
        <f t="shared" si="1"/>
        <v>0.85</v>
      </c>
      <c r="H13" s="19">
        <v>8.8</v>
      </c>
      <c r="I13" s="16">
        <f t="shared" si="2"/>
        <v>44</v>
      </c>
      <c r="J13" s="17"/>
    </row>
    <row r="14" s="3" customFormat="1" ht="16" customHeight="1" spans="1:10">
      <c r="A14" s="12">
        <v>9</v>
      </c>
      <c r="B14" s="12" t="s">
        <v>43</v>
      </c>
      <c r="C14" s="12"/>
      <c r="D14" s="17" t="s">
        <v>15</v>
      </c>
      <c r="E14" s="13">
        <v>3</v>
      </c>
      <c r="F14" s="14">
        <f t="shared" si="0"/>
        <v>4.70588235294118</v>
      </c>
      <c r="G14" s="15">
        <f t="shared" si="1"/>
        <v>0.85</v>
      </c>
      <c r="H14" s="19">
        <v>4</v>
      </c>
      <c r="I14" s="16">
        <f t="shared" si="2"/>
        <v>12</v>
      </c>
      <c r="J14" s="17"/>
    </row>
    <row r="15" s="3" customFormat="1" ht="16" customHeight="1" spans="1:10">
      <c r="A15" s="12">
        <v>10</v>
      </c>
      <c r="B15" s="12" t="s">
        <v>144</v>
      </c>
      <c r="C15" s="12"/>
      <c r="D15" s="12" t="s">
        <v>15</v>
      </c>
      <c r="E15" s="13">
        <v>6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22.8</v>
      </c>
      <c r="J15" s="12"/>
    </row>
    <row r="16" s="3" customFormat="1" ht="16" customHeight="1" spans="1:10">
      <c r="A16" s="12">
        <v>11</v>
      </c>
      <c r="B16" s="12" t="s">
        <v>75</v>
      </c>
      <c r="C16" s="12"/>
      <c r="D16" s="12" t="s">
        <v>15</v>
      </c>
      <c r="E16" s="13">
        <v>6</v>
      </c>
      <c r="F16" s="14">
        <f t="shared" si="0"/>
        <v>11.5294117647059</v>
      </c>
      <c r="G16" s="15">
        <f t="shared" si="1"/>
        <v>0.85</v>
      </c>
      <c r="H16" s="19">
        <v>9.8</v>
      </c>
      <c r="I16" s="16">
        <f t="shared" si="2"/>
        <v>58.8</v>
      </c>
      <c r="J16" s="12"/>
    </row>
    <row r="17" s="3" customFormat="1" ht="16" customHeight="1" spans="1:10">
      <c r="A17" s="12">
        <v>12</v>
      </c>
      <c r="B17" s="14" t="s">
        <v>131</v>
      </c>
      <c r="C17" s="14"/>
      <c r="D17" s="14" t="s">
        <v>15</v>
      </c>
      <c r="E17" s="13">
        <v>2</v>
      </c>
      <c r="F17" s="14">
        <f t="shared" si="0"/>
        <v>4.11764705882353</v>
      </c>
      <c r="G17" s="15">
        <f t="shared" si="1"/>
        <v>0.85</v>
      </c>
      <c r="H17" s="19">
        <v>3.5</v>
      </c>
      <c r="I17" s="16">
        <f t="shared" si="2"/>
        <v>7</v>
      </c>
      <c r="J17" s="12"/>
    </row>
    <row r="18" s="3" customFormat="1" customHeight="1" spans="1:10">
      <c r="A18" s="12">
        <v>13</v>
      </c>
      <c r="B18" s="14" t="s">
        <v>60</v>
      </c>
      <c r="C18" s="14"/>
      <c r="D18" s="14" t="s">
        <v>15</v>
      </c>
      <c r="E18" s="13">
        <v>16</v>
      </c>
      <c r="F18" s="14">
        <f t="shared" si="0"/>
        <v>4.11764705882353</v>
      </c>
      <c r="G18" s="15">
        <f t="shared" si="1"/>
        <v>0.85</v>
      </c>
      <c r="H18" s="19">
        <v>3.5</v>
      </c>
      <c r="I18" s="16">
        <f t="shared" si="2"/>
        <v>56</v>
      </c>
      <c r="J18" s="14"/>
    </row>
    <row r="19" s="3" customFormat="1" customHeight="1" spans="1:10">
      <c r="A19" s="12">
        <v>14</v>
      </c>
      <c r="B19" s="14" t="s">
        <v>77</v>
      </c>
      <c r="C19" s="14"/>
      <c r="D19" s="14" t="s">
        <v>15</v>
      </c>
      <c r="E19" s="13">
        <v>17</v>
      </c>
      <c r="F19" s="14">
        <f t="shared" si="0"/>
        <v>17.4117647058824</v>
      </c>
      <c r="G19" s="15">
        <f t="shared" si="1"/>
        <v>0.85</v>
      </c>
      <c r="H19" s="19">
        <v>14.8</v>
      </c>
      <c r="I19" s="16">
        <f t="shared" si="2"/>
        <v>251.6</v>
      </c>
      <c r="J19" s="14"/>
    </row>
    <row r="20" s="3" customFormat="1" customHeight="1" spans="1:10">
      <c r="A20" s="12">
        <v>15</v>
      </c>
      <c r="B20" s="14" t="s">
        <v>31</v>
      </c>
      <c r="C20" s="14"/>
      <c r="D20" s="14" t="s">
        <v>15</v>
      </c>
      <c r="E20" s="13">
        <v>3</v>
      </c>
      <c r="F20" s="14">
        <f t="shared" si="0"/>
        <v>16.2352941176471</v>
      </c>
      <c r="G20" s="15">
        <f t="shared" si="1"/>
        <v>0.85</v>
      </c>
      <c r="H20" s="19">
        <v>13.8</v>
      </c>
      <c r="I20" s="16">
        <f t="shared" si="2"/>
        <v>41.4</v>
      </c>
      <c r="J20" s="14"/>
    </row>
    <row r="21" s="3" customFormat="1" customHeight="1" spans="1:10">
      <c r="A21" s="12">
        <v>16</v>
      </c>
      <c r="B21" s="14" t="s">
        <v>78</v>
      </c>
      <c r="C21" s="14"/>
      <c r="D21" s="14" t="s">
        <v>15</v>
      </c>
      <c r="E21" s="13">
        <v>8</v>
      </c>
      <c r="F21" s="14">
        <f t="shared" si="0"/>
        <v>32.9411764705882</v>
      </c>
      <c r="G21" s="15">
        <f t="shared" si="1"/>
        <v>0.85</v>
      </c>
      <c r="H21" s="19">
        <v>28</v>
      </c>
      <c r="I21" s="16">
        <f t="shared" si="2"/>
        <v>224</v>
      </c>
      <c r="J21" s="14"/>
    </row>
    <row r="22" s="3" customFormat="1" customHeight="1" spans="1:10">
      <c r="A22" s="12">
        <v>17</v>
      </c>
      <c r="B22" s="14" t="s">
        <v>187</v>
      </c>
      <c r="C22" s="14" t="s">
        <v>17</v>
      </c>
      <c r="D22" s="14" t="s">
        <v>15</v>
      </c>
      <c r="E22" s="13">
        <v>2</v>
      </c>
      <c r="F22" s="14">
        <f t="shared" si="0"/>
        <v>17.6470588235294</v>
      </c>
      <c r="G22" s="15">
        <f t="shared" si="1"/>
        <v>0.85</v>
      </c>
      <c r="H22" s="19">
        <v>15</v>
      </c>
      <c r="I22" s="16">
        <f t="shared" si="2"/>
        <v>30</v>
      </c>
      <c r="J22" s="14"/>
    </row>
    <row r="23" s="3" customFormat="1" customHeight="1" spans="1:10">
      <c r="A23" s="12">
        <v>18</v>
      </c>
      <c r="B23" s="14" t="s">
        <v>188</v>
      </c>
      <c r="C23" s="14" t="s">
        <v>189</v>
      </c>
      <c r="D23" s="14" t="s">
        <v>55</v>
      </c>
      <c r="E23" s="13">
        <v>2</v>
      </c>
      <c r="F23" s="14">
        <f t="shared" si="0"/>
        <v>14.1176470588235</v>
      </c>
      <c r="G23" s="15">
        <f t="shared" si="1"/>
        <v>0.85</v>
      </c>
      <c r="H23" s="19">
        <v>12</v>
      </c>
      <c r="I23" s="16">
        <f t="shared" si="2"/>
        <v>24</v>
      </c>
      <c r="J23" s="14"/>
    </row>
    <row r="24" s="3" customFormat="1" customHeight="1" spans="1:10">
      <c r="A24" s="12">
        <v>19</v>
      </c>
      <c r="B24" s="14" t="s">
        <v>99</v>
      </c>
      <c r="C24" s="14" t="s">
        <v>100</v>
      </c>
      <c r="D24" s="14" t="s">
        <v>55</v>
      </c>
      <c r="E24" s="13">
        <v>10</v>
      </c>
      <c r="F24" s="14">
        <f t="shared" si="0"/>
        <v>2.35294117647059</v>
      </c>
      <c r="G24" s="15">
        <f t="shared" si="1"/>
        <v>0.85</v>
      </c>
      <c r="H24" s="19">
        <v>2</v>
      </c>
      <c r="I24" s="16">
        <f t="shared" si="2"/>
        <v>20</v>
      </c>
      <c r="J24" s="14"/>
    </row>
    <row r="25" s="3" customFormat="1" customHeight="1" spans="1:10">
      <c r="A25" s="12">
        <v>20</v>
      </c>
      <c r="B25" s="14" t="s">
        <v>86</v>
      </c>
      <c r="C25" s="14" t="s">
        <v>87</v>
      </c>
      <c r="D25" s="14" t="s">
        <v>15</v>
      </c>
      <c r="E25" s="13">
        <v>4</v>
      </c>
      <c r="F25" s="14">
        <f t="shared" si="0"/>
        <v>10</v>
      </c>
      <c r="G25" s="15">
        <f t="shared" si="1"/>
        <v>0.85</v>
      </c>
      <c r="H25" s="19">
        <v>8.5</v>
      </c>
      <c r="I25" s="16">
        <f t="shared" si="2"/>
        <v>34</v>
      </c>
      <c r="J25" s="14"/>
    </row>
    <row r="26" s="3" customFormat="1" customHeight="1" spans="1:10">
      <c r="A26" s="12">
        <v>21</v>
      </c>
      <c r="B26" s="14" t="s">
        <v>190</v>
      </c>
      <c r="C26" s="14" t="s">
        <v>17</v>
      </c>
      <c r="D26" s="14" t="s">
        <v>15</v>
      </c>
      <c r="E26" s="13">
        <v>2</v>
      </c>
      <c r="F26" s="14">
        <f t="shared" si="0"/>
        <v>8</v>
      </c>
      <c r="G26" s="15">
        <f t="shared" si="1"/>
        <v>0.85</v>
      </c>
      <c r="H26" s="19">
        <v>6.8</v>
      </c>
      <c r="I26" s="16">
        <f t="shared" si="2"/>
        <v>13.6</v>
      </c>
      <c r="J26" s="14"/>
    </row>
    <row r="27" s="3" customFormat="1" customHeight="1" spans="1:10">
      <c r="A27" s="12">
        <v>22</v>
      </c>
      <c r="B27" s="14" t="s">
        <v>32</v>
      </c>
      <c r="C27" s="14"/>
      <c r="D27" s="14" t="s">
        <v>33</v>
      </c>
      <c r="E27" s="13">
        <v>50</v>
      </c>
      <c r="F27" s="14">
        <f t="shared" si="0"/>
        <v>4.11764705882353</v>
      </c>
      <c r="G27" s="15">
        <f t="shared" si="1"/>
        <v>0.85</v>
      </c>
      <c r="H27" s="19">
        <v>3.5</v>
      </c>
      <c r="I27" s="16">
        <f t="shared" si="2"/>
        <v>175</v>
      </c>
      <c r="J27" s="14"/>
    </row>
    <row r="28" s="3" customFormat="1" customHeight="1" spans="1:10">
      <c r="A28" s="12">
        <v>23</v>
      </c>
      <c r="B28" s="14" t="s">
        <v>35</v>
      </c>
      <c r="C28" s="14"/>
      <c r="D28" s="14" t="s">
        <v>15</v>
      </c>
      <c r="E28" s="13">
        <v>5</v>
      </c>
      <c r="F28" s="14">
        <f t="shared" si="0"/>
        <v>103.529411764706</v>
      </c>
      <c r="G28" s="15">
        <f t="shared" si="1"/>
        <v>0.85</v>
      </c>
      <c r="H28" s="19">
        <v>88</v>
      </c>
      <c r="I28" s="16">
        <f t="shared" si="2"/>
        <v>440</v>
      </c>
      <c r="J28" s="14"/>
    </row>
    <row r="29" s="3" customFormat="1" customHeight="1" spans="1:10">
      <c r="A29" s="12">
        <v>24</v>
      </c>
      <c r="B29" s="12"/>
      <c r="C29" s="12"/>
      <c r="D29" s="13"/>
      <c r="E29" s="13"/>
      <c r="F29" s="14"/>
      <c r="G29" s="15"/>
      <c r="H29" s="16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3" customFormat="1" customHeight="1" spans="1:10">
      <c r="A34" s="12" t="s">
        <v>36</v>
      </c>
      <c r="B34" s="25">
        <f>SUM(I6:I33)</f>
        <v>1615.8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1615.8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sortState ref="A7:I29">
    <sortCondition ref="A7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4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B16" sqref="B1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6.1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45286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16" si="0">H6/0.85</f>
        <v>3.52941176470588</v>
      </c>
      <c r="G6" s="15">
        <f t="shared" ref="G6:G16" si="1">H6/F6</f>
        <v>0.85</v>
      </c>
      <c r="H6" s="16">
        <v>3</v>
      </c>
      <c r="I6" s="16">
        <f t="shared" ref="I6:I16" si="2">E6*H6</f>
        <v>15</v>
      </c>
      <c r="J6" s="12"/>
    </row>
    <row r="7" s="3" customFormat="1" ht="16" customHeight="1" spans="1:10">
      <c r="A7" s="12">
        <v>2</v>
      </c>
      <c r="B7" s="12" t="s">
        <v>19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2" t="s">
        <v>41</v>
      </c>
      <c r="C8" s="12"/>
      <c r="D8" s="13" t="s">
        <v>15</v>
      </c>
      <c r="E8" s="13">
        <v>18</v>
      </c>
      <c r="F8" s="14">
        <f t="shared" si="0"/>
        <v>4.47058823529412</v>
      </c>
      <c r="G8" s="15">
        <f t="shared" si="1"/>
        <v>0.85</v>
      </c>
      <c r="H8" s="16">
        <v>3.8</v>
      </c>
      <c r="I8" s="16">
        <f t="shared" si="2"/>
        <v>68.4</v>
      </c>
      <c r="J8" s="12"/>
    </row>
    <row r="9" s="3" customFormat="1" ht="16" customHeight="1" spans="1:10">
      <c r="A9" s="12">
        <v>4</v>
      </c>
      <c r="B9" s="17" t="s">
        <v>25</v>
      </c>
      <c r="C9" s="17"/>
      <c r="D9" s="13" t="s">
        <v>26</v>
      </c>
      <c r="E9" s="13">
        <v>8</v>
      </c>
      <c r="F9" s="14">
        <f t="shared" si="0"/>
        <v>3.52941176470588</v>
      </c>
      <c r="G9" s="15">
        <f t="shared" si="1"/>
        <v>0.85</v>
      </c>
      <c r="H9" s="16">
        <v>3</v>
      </c>
      <c r="I9" s="16">
        <f t="shared" si="2"/>
        <v>24</v>
      </c>
      <c r="J9" s="12"/>
    </row>
    <row r="10" s="3" customFormat="1" ht="16" customHeight="1" spans="1:10">
      <c r="A10" s="12">
        <v>5</v>
      </c>
      <c r="B10" s="12" t="s">
        <v>79</v>
      </c>
      <c r="C10" s="12"/>
      <c r="D10" s="13" t="s">
        <v>15</v>
      </c>
      <c r="E10" s="13">
        <v>6</v>
      </c>
      <c r="F10" s="14">
        <f t="shared" si="0"/>
        <v>5.64705882352941</v>
      </c>
      <c r="G10" s="15">
        <f t="shared" si="1"/>
        <v>0.85</v>
      </c>
      <c r="H10" s="16">
        <v>4.8</v>
      </c>
      <c r="I10" s="16">
        <f t="shared" si="2"/>
        <v>28.8</v>
      </c>
      <c r="J10" s="12"/>
    </row>
    <row r="11" s="3" customFormat="1" ht="16" customHeight="1" spans="1:10">
      <c r="A11" s="12">
        <v>6</v>
      </c>
      <c r="B11" s="12" t="s">
        <v>28</v>
      </c>
      <c r="C11" s="12"/>
      <c r="D11" s="13" t="s">
        <v>15</v>
      </c>
      <c r="E11" s="13">
        <v>14.5</v>
      </c>
      <c r="F11" s="14">
        <f t="shared" si="0"/>
        <v>2.11764705882353</v>
      </c>
      <c r="G11" s="15">
        <f t="shared" si="1"/>
        <v>0.85</v>
      </c>
      <c r="H11" s="16">
        <v>1.8</v>
      </c>
      <c r="I11" s="16">
        <f t="shared" si="2"/>
        <v>26.1</v>
      </c>
      <c r="J11" s="12"/>
    </row>
    <row r="12" s="3" customFormat="1" ht="16" customHeight="1" spans="1:10">
      <c r="A12" s="12">
        <v>7</v>
      </c>
      <c r="B12" s="17" t="s">
        <v>58</v>
      </c>
      <c r="C12" s="17"/>
      <c r="D12" s="18" t="s">
        <v>15</v>
      </c>
      <c r="E12" s="18">
        <v>1</v>
      </c>
      <c r="F12" s="14">
        <f t="shared" si="0"/>
        <v>9.41176470588235</v>
      </c>
      <c r="G12" s="15">
        <f t="shared" si="1"/>
        <v>0.85</v>
      </c>
      <c r="H12" s="19">
        <v>8</v>
      </c>
      <c r="I12" s="16">
        <f t="shared" si="2"/>
        <v>8</v>
      </c>
      <c r="J12" s="17"/>
    </row>
    <row r="13" s="3" customFormat="1" ht="16" customHeight="1" spans="1:10">
      <c r="A13" s="12">
        <v>8</v>
      </c>
      <c r="B13" s="17" t="s">
        <v>145</v>
      </c>
      <c r="C13" s="17"/>
      <c r="D13" s="18" t="s">
        <v>15</v>
      </c>
      <c r="E13" s="18">
        <v>23.4</v>
      </c>
      <c r="F13" s="14">
        <f t="shared" si="0"/>
        <v>10</v>
      </c>
      <c r="G13" s="15">
        <f t="shared" si="1"/>
        <v>0.85</v>
      </c>
      <c r="H13" s="19">
        <v>8.5</v>
      </c>
      <c r="I13" s="16">
        <f t="shared" si="2"/>
        <v>198.9</v>
      </c>
      <c r="J13" s="17"/>
    </row>
    <row r="14" s="3" customFormat="1" ht="16" customHeight="1" spans="1:10">
      <c r="A14" s="12">
        <v>9</v>
      </c>
      <c r="B14" s="17" t="s">
        <v>52</v>
      </c>
      <c r="C14" s="17"/>
      <c r="D14" s="18" t="s">
        <v>15</v>
      </c>
      <c r="E14" s="18">
        <v>13</v>
      </c>
      <c r="F14" s="14">
        <f t="shared" si="0"/>
        <v>16.2352941176471</v>
      </c>
      <c r="G14" s="15">
        <f t="shared" si="1"/>
        <v>0.85</v>
      </c>
      <c r="H14" s="19">
        <v>13.8</v>
      </c>
      <c r="I14" s="16">
        <f t="shared" si="2"/>
        <v>179.4</v>
      </c>
      <c r="J14" s="17"/>
    </row>
    <row r="15" s="3" customFormat="1" ht="16" customHeight="1" spans="1:10">
      <c r="A15" s="12">
        <v>10</v>
      </c>
      <c r="B15" s="17" t="s">
        <v>191</v>
      </c>
      <c r="C15" s="17" t="s">
        <v>17</v>
      </c>
      <c r="D15" s="18" t="s">
        <v>15</v>
      </c>
      <c r="E15" s="18">
        <v>2</v>
      </c>
      <c r="F15" s="14">
        <f t="shared" si="0"/>
        <v>8</v>
      </c>
      <c r="G15" s="15">
        <f t="shared" si="1"/>
        <v>0.85</v>
      </c>
      <c r="H15" s="19">
        <v>6.8</v>
      </c>
      <c r="I15" s="16">
        <f t="shared" si="2"/>
        <v>13.6</v>
      </c>
      <c r="J15" s="17"/>
    </row>
    <row r="16" s="3" customFormat="1" ht="16" customHeight="1" spans="1:10">
      <c r="A16" s="12">
        <v>11</v>
      </c>
      <c r="B16" s="17" t="s">
        <v>71</v>
      </c>
      <c r="C16" s="17" t="s">
        <v>72</v>
      </c>
      <c r="D16" s="18" t="s">
        <v>15</v>
      </c>
      <c r="E16" s="18">
        <v>4</v>
      </c>
      <c r="F16" s="14">
        <f t="shared" si="0"/>
        <v>5.76470588235294</v>
      </c>
      <c r="G16" s="15">
        <f t="shared" si="1"/>
        <v>0.85</v>
      </c>
      <c r="H16" s="19">
        <v>4.9</v>
      </c>
      <c r="I16" s="16">
        <f t="shared" si="2"/>
        <v>19.6</v>
      </c>
      <c r="J16" s="17"/>
    </row>
    <row r="17" s="3" customFormat="1" ht="16" customHeight="1" spans="1:10">
      <c r="A17" s="12">
        <v>12</v>
      </c>
      <c r="B17" s="12"/>
      <c r="C17" s="12"/>
      <c r="D17" s="12"/>
      <c r="E17" s="13"/>
      <c r="F17" s="14"/>
      <c r="G17" s="15"/>
      <c r="H17" s="19"/>
      <c r="I17" s="16"/>
      <c r="J17" s="17"/>
    </row>
    <row r="18" s="3" customFormat="1" ht="16" customHeight="1" spans="1:10">
      <c r="A18" s="12">
        <v>13</v>
      </c>
      <c r="B18" s="12"/>
      <c r="C18" s="12"/>
      <c r="D18" s="12"/>
      <c r="E18" s="13"/>
      <c r="F18" s="14"/>
      <c r="G18" s="15"/>
      <c r="H18" s="19"/>
      <c r="I18" s="16"/>
      <c r="J18" s="12"/>
    </row>
    <row r="19" s="3" customFormat="1" ht="16" customHeight="1" spans="1:10">
      <c r="A19" s="12">
        <v>14</v>
      </c>
      <c r="B19" s="14"/>
      <c r="C19" s="14"/>
      <c r="D19" s="14"/>
      <c r="E19" s="13"/>
      <c r="F19" s="14"/>
      <c r="G19" s="15"/>
      <c r="H19" s="19"/>
      <c r="I19" s="16"/>
      <c r="J19" s="12"/>
    </row>
    <row r="20" s="3" customFormat="1" customHeight="1" spans="1:10">
      <c r="A20" s="12">
        <v>15</v>
      </c>
      <c r="B20" s="14"/>
      <c r="C20" s="14"/>
      <c r="D20" s="14"/>
      <c r="E20" s="13"/>
      <c r="F20" s="14"/>
      <c r="G20" s="15"/>
      <c r="H20" s="19"/>
      <c r="I20" s="16"/>
      <c r="J20" s="14"/>
    </row>
    <row r="21" s="3" customFormat="1" customHeight="1" spans="1:10">
      <c r="A21" s="12">
        <v>16</v>
      </c>
      <c r="B21" s="14"/>
      <c r="C21" s="14"/>
      <c r="D21" s="14"/>
      <c r="E21" s="13"/>
      <c r="F21" s="14"/>
      <c r="G21" s="15"/>
      <c r="H21" s="19"/>
      <c r="I21" s="16"/>
      <c r="J21" s="14"/>
    </row>
    <row r="22" s="3" customFormat="1" customHeight="1" spans="1:10">
      <c r="A22" s="12">
        <v>17</v>
      </c>
      <c r="B22" s="14"/>
      <c r="C22" s="14"/>
      <c r="D22" s="14"/>
      <c r="E22" s="13"/>
      <c r="F22" s="14"/>
      <c r="G22" s="15"/>
      <c r="H22" s="19"/>
      <c r="I22" s="16"/>
      <c r="J22" s="14"/>
    </row>
    <row r="23" s="3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3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3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3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3" customFormat="1" customHeight="1" spans="1:10">
      <c r="A34" s="12" t="s">
        <v>36</v>
      </c>
      <c r="B34" s="25">
        <f>SUM(I6:I33)</f>
        <v>588.8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588.8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sortState ref="A22:I33">
    <sortCondition ref="A22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B22" sqref="B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2.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45287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12</v>
      </c>
      <c r="J6" s="12"/>
    </row>
    <row r="7" s="3" customFormat="1" ht="16" customHeight="1" spans="1:10">
      <c r="A7" s="12">
        <v>2</v>
      </c>
      <c r="B7" s="12" t="s">
        <v>18</v>
      </c>
      <c r="C7" s="12"/>
      <c r="D7" s="13" t="s">
        <v>15</v>
      </c>
      <c r="E7" s="13">
        <v>2</v>
      </c>
      <c r="F7" s="14">
        <f t="shared" ref="F7:F26" si="0">H7/0.85</f>
        <v>4.11764705882353</v>
      </c>
      <c r="G7" s="15">
        <f t="shared" ref="G7:G26" si="1">H7/F7</f>
        <v>0.85</v>
      </c>
      <c r="H7" s="16">
        <v>3.5</v>
      </c>
      <c r="I7" s="16">
        <f t="shared" ref="I7:I26" si="2">E7*H7</f>
        <v>7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3" customFormat="1" ht="16" customHeight="1" spans="1:10">
      <c r="A9" s="12">
        <v>4</v>
      </c>
      <c r="B9" s="17" t="s">
        <v>73</v>
      </c>
      <c r="C9" s="17"/>
      <c r="D9" s="13" t="s">
        <v>15</v>
      </c>
      <c r="E9" s="13">
        <v>5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30</v>
      </c>
      <c r="J9" s="12"/>
    </row>
    <row r="10" s="3" customFormat="1" ht="16" customHeight="1" spans="1:10">
      <c r="A10" s="12">
        <v>5</v>
      </c>
      <c r="B10" s="12" t="s">
        <v>43</v>
      </c>
      <c r="C10" s="12"/>
      <c r="D10" s="13" t="s">
        <v>15</v>
      </c>
      <c r="E10" s="13">
        <v>16</v>
      </c>
      <c r="F10" s="14">
        <f t="shared" si="0"/>
        <v>4.70588235294118</v>
      </c>
      <c r="G10" s="15">
        <f t="shared" si="1"/>
        <v>0.85</v>
      </c>
      <c r="H10" s="16">
        <v>4</v>
      </c>
      <c r="I10" s="16">
        <f t="shared" si="2"/>
        <v>64</v>
      </c>
      <c r="J10" s="12"/>
    </row>
    <row r="11" s="3" customFormat="1" ht="16" customHeight="1" spans="1:10">
      <c r="A11" s="12">
        <v>6</v>
      </c>
      <c r="B11" s="12" t="s">
        <v>117</v>
      </c>
      <c r="C11" s="12"/>
      <c r="D11" s="13" t="s">
        <v>15</v>
      </c>
      <c r="E11" s="13">
        <v>5</v>
      </c>
      <c r="F11" s="14">
        <f t="shared" si="0"/>
        <v>6.82352941176471</v>
      </c>
      <c r="G11" s="15">
        <f t="shared" si="1"/>
        <v>0.85</v>
      </c>
      <c r="H11" s="16">
        <v>5.8</v>
      </c>
      <c r="I11" s="16">
        <f t="shared" si="2"/>
        <v>29</v>
      </c>
      <c r="J11" s="12"/>
    </row>
    <row r="12" s="3" customFormat="1" ht="16" customHeight="1" spans="1:10">
      <c r="A12" s="12">
        <v>7</v>
      </c>
      <c r="B12" s="17" t="s">
        <v>192</v>
      </c>
      <c r="C12" s="17"/>
      <c r="D12" s="18" t="s">
        <v>15</v>
      </c>
      <c r="E12" s="18">
        <v>5</v>
      </c>
      <c r="F12" s="14">
        <f t="shared" si="0"/>
        <v>6.82352941176471</v>
      </c>
      <c r="G12" s="15">
        <f t="shared" si="1"/>
        <v>0.85</v>
      </c>
      <c r="H12" s="16">
        <v>5.8</v>
      </c>
      <c r="I12" s="16">
        <f t="shared" si="2"/>
        <v>29</v>
      </c>
      <c r="J12" s="17"/>
    </row>
    <row r="13" s="3" customFormat="1" ht="16" customHeight="1" spans="1:10">
      <c r="A13" s="12">
        <v>8</v>
      </c>
      <c r="B13" s="17" t="s">
        <v>44</v>
      </c>
      <c r="C13" s="17"/>
      <c r="D13" s="18" t="s">
        <v>15</v>
      </c>
      <c r="E13" s="18">
        <v>3</v>
      </c>
      <c r="F13" s="14">
        <f t="shared" si="0"/>
        <v>9.17647058823529</v>
      </c>
      <c r="G13" s="15">
        <f t="shared" si="1"/>
        <v>0.85</v>
      </c>
      <c r="H13" s="16">
        <v>7.8</v>
      </c>
      <c r="I13" s="16">
        <f t="shared" si="2"/>
        <v>23.4</v>
      </c>
      <c r="J13" s="17"/>
    </row>
    <row r="14" s="3" customFormat="1" ht="16" customHeight="1" spans="1:10">
      <c r="A14" s="12">
        <v>9</v>
      </c>
      <c r="B14" s="17" t="s">
        <v>94</v>
      </c>
      <c r="C14" s="17"/>
      <c r="D14" s="18" t="s">
        <v>15</v>
      </c>
      <c r="E14" s="18">
        <v>13</v>
      </c>
      <c r="F14" s="14">
        <f t="shared" si="0"/>
        <v>5.64705882352941</v>
      </c>
      <c r="G14" s="15">
        <f t="shared" si="1"/>
        <v>0.85</v>
      </c>
      <c r="H14" s="16">
        <v>4.8</v>
      </c>
      <c r="I14" s="16">
        <f t="shared" si="2"/>
        <v>62.4</v>
      </c>
      <c r="J14" s="17"/>
    </row>
    <row r="15" s="3" customFormat="1" ht="16" customHeight="1" spans="1:10">
      <c r="A15" s="12">
        <v>10</v>
      </c>
      <c r="B15" s="17" t="s">
        <v>57</v>
      </c>
      <c r="C15" s="17"/>
      <c r="D15" s="18" t="s">
        <v>15</v>
      </c>
      <c r="E15" s="18">
        <v>3</v>
      </c>
      <c r="F15" s="14">
        <f t="shared" si="0"/>
        <v>5.64705882352941</v>
      </c>
      <c r="G15" s="15">
        <f t="shared" si="1"/>
        <v>0.85</v>
      </c>
      <c r="H15" s="16">
        <v>4.8</v>
      </c>
      <c r="I15" s="16">
        <f t="shared" si="2"/>
        <v>14.4</v>
      </c>
      <c r="J15" s="17"/>
    </row>
    <row r="16" s="3" customFormat="1" ht="16" customHeight="1" spans="1:10">
      <c r="A16" s="12">
        <v>11</v>
      </c>
      <c r="B16" s="17" t="s">
        <v>193</v>
      </c>
      <c r="C16" s="17"/>
      <c r="D16" s="18" t="s">
        <v>15</v>
      </c>
      <c r="E16" s="18">
        <v>8</v>
      </c>
      <c r="F16" s="14">
        <f t="shared" si="0"/>
        <v>8</v>
      </c>
      <c r="G16" s="15">
        <f t="shared" si="1"/>
        <v>0.85</v>
      </c>
      <c r="H16" s="16">
        <v>6.8</v>
      </c>
      <c r="I16" s="16">
        <f t="shared" si="2"/>
        <v>54.4</v>
      </c>
      <c r="J16" s="17"/>
    </row>
    <row r="17" s="3" customFormat="1" ht="16" customHeight="1" spans="1:10">
      <c r="A17" s="12">
        <v>12</v>
      </c>
      <c r="B17" s="12" t="s">
        <v>47</v>
      </c>
      <c r="C17" s="12" t="s">
        <v>48</v>
      </c>
      <c r="D17" s="17" t="s">
        <v>49</v>
      </c>
      <c r="E17" s="13">
        <v>1</v>
      </c>
      <c r="F17" s="14">
        <f t="shared" si="0"/>
        <v>352.941176470588</v>
      </c>
      <c r="G17" s="15">
        <f t="shared" si="1"/>
        <v>0.85</v>
      </c>
      <c r="H17" s="16">
        <v>300</v>
      </c>
      <c r="I17" s="16">
        <f t="shared" si="2"/>
        <v>300</v>
      </c>
      <c r="J17" s="12"/>
    </row>
    <row r="18" s="3" customFormat="1" customHeight="1" spans="1:10">
      <c r="A18" s="12">
        <v>13</v>
      </c>
      <c r="B18" s="14" t="s">
        <v>31</v>
      </c>
      <c r="C18" s="14"/>
      <c r="D18" s="14" t="s">
        <v>15</v>
      </c>
      <c r="E18" s="13">
        <v>2</v>
      </c>
      <c r="F18" s="14">
        <f t="shared" si="0"/>
        <v>16.2352941176471</v>
      </c>
      <c r="G18" s="15">
        <f t="shared" si="1"/>
        <v>0.85</v>
      </c>
      <c r="H18" s="16">
        <v>13.8</v>
      </c>
      <c r="I18" s="16">
        <f t="shared" si="2"/>
        <v>27.6</v>
      </c>
      <c r="J18" s="14"/>
    </row>
    <row r="19" s="3" customFormat="1" customHeight="1" spans="1:10">
      <c r="A19" s="12">
        <v>14</v>
      </c>
      <c r="B19" s="14" t="s">
        <v>51</v>
      </c>
      <c r="C19" s="14"/>
      <c r="D19" s="14" t="s">
        <v>15</v>
      </c>
      <c r="E19" s="13">
        <v>5</v>
      </c>
      <c r="F19" s="14">
        <f t="shared" si="0"/>
        <v>23.5294117647059</v>
      </c>
      <c r="G19" s="15">
        <f t="shared" si="1"/>
        <v>0.85</v>
      </c>
      <c r="H19" s="16">
        <v>20</v>
      </c>
      <c r="I19" s="16">
        <f t="shared" si="2"/>
        <v>100</v>
      </c>
      <c r="J19" s="14"/>
    </row>
    <row r="20" s="3" customFormat="1" customHeight="1" spans="1:10">
      <c r="A20" s="12">
        <v>15</v>
      </c>
      <c r="B20" s="14" t="s">
        <v>142</v>
      </c>
      <c r="C20" s="14"/>
      <c r="D20" s="14" t="s">
        <v>15</v>
      </c>
      <c r="E20" s="13">
        <v>5</v>
      </c>
      <c r="F20" s="14">
        <f t="shared" si="0"/>
        <v>19.7647058823529</v>
      </c>
      <c r="G20" s="15">
        <f t="shared" si="1"/>
        <v>0.85</v>
      </c>
      <c r="H20" s="16">
        <v>16.8</v>
      </c>
      <c r="I20" s="16">
        <f t="shared" si="2"/>
        <v>84</v>
      </c>
      <c r="J20" s="14"/>
    </row>
    <row r="21" s="3" customFormat="1" customHeight="1" spans="1:10">
      <c r="A21" s="12">
        <v>16</v>
      </c>
      <c r="B21" s="14" t="s">
        <v>32</v>
      </c>
      <c r="C21" s="14"/>
      <c r="D21" s="14" t="s">
        <v>33</v>
      </c>
      <c r="E21" s="13">
        <v>48</v>
      </c>
      <c r="F21" s="14">
        <f t="shared" si="0"/>
        <v>4.11764705882353</v>
      </c>
      <c r="G21" s="15">
        <f t="shared" si="1"/>
        <v>0.85</v>
      </c>
      <c r="H21" s="16">
        <v>3.5</v>
      </c>
      <c r="I21" s="16">
        <f t="shared" si="2"/>
        <v>168</v>
      </c>
      <c r="J21" s="14"/>
    </row>
    <row r="22" s="3" customFormat="1" customHeight="1" spans="1:10">
      <c r="A22" s="12">
        <v>17</v>
      </c>
      <c r="B22" s="14" t="s">
        <v>35</v>
      </c>
      <c r="C22" s="14"/>
      <c r="D22" s="14" t="s">
        <v>15</v>
      </c>
      <c r="E22" s="13">
        <v>8</v>
      </c>
      <c r="F22" s="14">
        <f t="shared" si="0"/>
        <v>103.529411764706</v>
      </c>
      <c r="G22" s="15">
        <f t="shared" si="1"/>
        <v>0.85</v>
      </c>
      <c r="H22" s="16">
        <v>88</v>
      </c>
      <c r="I22" s="16">
        <f t="shared" si="2"/>
        <v>704</v>
      </c>
      <c r="J22" s="14"/>
    </row>
    <row r="23" s="3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6"/>
      <c r="I23" s="16"/>
      <c r="J23" s="14"/>
    </row>
    <row r="24" s="3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6"/>
      <c r="I24" s="16"/>
      <c r="J24" s="14"/>
    </row>
    <row r="25" s="3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6"/>
      <c r="I25" s="16"/>
      <c r="J25" s="14"/>
    </row>
    <row r="26" s="3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6"/>
      <c r="I26" s="16"/>
      <c r="J26" s="14"/>
    </row>
    <row r="27" s="3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6"/>
      <c r="I27" s="16"/>
      <c r="J27" s="14"/>
    </row>
    <row r="28" s="3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6"/>
      <c r="I28" s="16"/>
      <c r="J28" s="14"/>
    </row>
    <row r="29" s="3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6"/>
      <c r="I29" s="16"/>
      <c r="J29" s="14"/>
    </row>
    <row r="30" s="3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6"/>
      <c r="I30" s="16"/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6"/>
      <c r="I31" s="16"/>
      <c r="J31" s="14"/>
    </row>
    <row r="32" s="3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6"/>
      <c r="I32" s="16"/>
      <c r="J32" s="14"/>
    </row>
    <row r="33" s="3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6"/>
      <c r="I33" s="16"/>
      <c r="J33" s="14"/>
    </row>
    <row r="34" s="3" customFormat="1" customHeight="1" spans="1:10">
      <c r="A34" s="12" t="s">
        <v>36</v>
      </c>
      <c r="B34" s="25">
        <f>SUM(I6:I33)</f>
        <v>1726.7</v>
      </c>
      <c r="C34" s="26"/>
      <c r="D34" s="26"/>
      <c r="E34" s="27"/>
      <c r="F34" s="26"/>
      <c r="G34" s="26"/>
      <c r="H34" s="26"/>
      <c r="I34" s="26"/>
      <c r="J34" s="31"/>
    </row>
    <row r="35" s="3" customFormat="1" customHeight="1" spans="1:10">
      <c r="A35" s="12" t="s">
        <v>37</v>
      </c>
      <c r="B35" s="28">
        <f>B34</f>
        <v>1726.7</v>
      </c>
      <c r="C35" s="29"/>
      <c r="D35" s="29"/>
      <c r="E35" s="27"/>
      <c r="F35" s="29"/>
      <c r="G35" s="29"/>
      <c r="H35" s="29"/>
      <c r="I35" s="29"/>
      <c r="J35" s="32"/>
    </row>
    <row r="36" s="3" customFormat="1" customHeight="1" spans="1:5">
      <c r="A36" s="3" t="s">
        <v>38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3" workbookViewId="0">
      <selection activeCell="A13" sqref="A13:A31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45288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6</v>
      </c>
      <c r="F6" s="14">
        <f t="shared" ref="F6:F30" si="0">H6/0.85</f>
        <v>3.52941176470588</v>
      </c>
      <c r="G6" s="15">
        <f t="shared" ref="G6:G30" si="1">H6/F6</f>
        <v>0.85</v>
      </c>
      <c r="H6" s="16">
        <v>3</v>
      </c>
      <c r="I6" s="16">
        <f t="shared" ref="I6:I30" si="2">E6*H6</f>
        <v>18</v>
      </c>
      <c r="J6" s="12"/>
    </row>
    <row r="7" s="3" customFormat="1" ht="16" customHeight="1" spans="1:10">
      <c r="A7" s="12">
        <v>2</v>
      </c>
      <c r="B7" s="12" t="s">
        <v>19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3" customFormat="1" ht="16" customHeight="1" spans="1:10">
      <c r="A8" s="12">
        <v>3</v>
      </c>
      <c r="B8" s="12" t="s">
        <v>56</v>
      </c>
      <c r="C8" s="12"/>
      <c r="D8" s="13" t="s">
        <v>15</v>
      </c>
      <c r="E8" s="13">
        <v>6</v>
      </c>
      <c r="F8" s="14">
        <f t="shared" si="0"/>
        <v>15.0588235294118</v>
      </c>
      <c r="G8" s="15">
        <f t="shared" si="1"/>
        <v>0.85</v>
      </c>
      <c r="H8" s="16">
        <v>12.8</v>
      </c>
      <c r="I8" s="16">
        <f t="shared" si="2"/>
        <v>76.8</v>
      </c>
      <c r="J8" s="12"/>
    </row>
    <row r="9" s="3" customFormat="1" ht="16" customHeight="1" spans="1:10">
      <c r="A9" s="12">
        <v>4</v>
      </c>
      <c r="B9" s="17" t="s">
        <v>42</v>
      </c>
      <c r="C9" s="17"/>
      <c r="D9" s="13" t="s">
        <v>15</v>
      </c>
      <c r="E9" s="13">
        <v>2</v>
      </c>
      <c r="F9" s="14">
        <f t="shared" si="0"/>
        <v>8.82352941176471</v>
      </c>
      <c r="G9" s="15">
        <f t="shared" si="1"/>
        <v>0.85</v>
      </c>
      <c r="H9" s="16">
        <v>7.5</v>
      </c>
      <c r="I9" s="16">
        <f t="shared" si="2"/>
        <v>15</v>
      </c>
      <c r="J9" s="12"/>
    </row>
    <row r="10" s="3" customFormat="1" ht="16" customHeight="1" spans="1:10">
      <c r="A10" s="12">
        <v>5</v>
      </c>
      <c r="B10" s="12" t="s">
        <v>133</v>
      </c>
      <c r="C10" s="12"/>
      <c r="D10" s="13" t="s">
        <v>15</v>
      </c>
      <c r="E10" s="13">
        <v>6</v>
      </c>
      <c r="F10" s="14">
        <f t="shared" si="0"/>
        <v>10.3529411764706</v>
      </c>
      <c r="G10" s="15">
        <f t="shared" si="1"/>
        <v>0.85</v>
      </c>
      <c r="H10" s="16">
        <v>8.8</v>
      </c>
      <c r="I10" s="16">
        <f t="shared" si="2"/>
        <v>52.8</v>
      </c>
      <c r="J10" s="12"/>
    </row>
    <row r="11" s="3" customFormat="1" ht="16" customHeight="1" spans="1:10">
      <c r="A11" s="12">
        <v>6</v>
      </c>
      <c r="B11" s="12" t="s">
        <v>140</v>
      </c>
      <c r="C11" s="12" t="s">
        <v>141</v>
      </c>
      <c r="D11" s="13" t="s">
        <v>15</v>
      </c>
      <c r="E11" s="13">
        <v>8</v>
      </c>
      <c r="F11" s="14">
        <f t="shared" si="0"/>
        <v>10.3529411764706</v>
      </c>
      <c r="G11" s="15">
        <f t="shared" si="1"/>
        <v>0.85</v>
      </c>
      <c r="H11" s="16">
        <v>8.8</v>
      </c>
      <c r="I11" s="16">
        <f t="shared" si="2"/>
        <v>70.4</v>
      </c>
      <c r="J11" s="12"/>
    </row>
    <row r="12" s="3" customFormat="1" ht="16" customHeight="1" spans="1:10">
      <c r="A12" s="12">
        <v>7</v>
      </c>
      <c r="B12" s="17" t="s">
        <v>44</v>
      </c>
      <c r="C12" s="17"/>
      <c r="D12" s="18" t="s">
        <v>15</v>
      </c>
      <c r="E12" s="18">
        <v>3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23.4</v>
      </c>
      <c r="J12" s="17"/>
    </row>
    <row r="13" s="3" customFormat="1" ht="16" customHeight="1" spans="1:10">
      <c r="A13" s="12">
        <v>8</v>
      </c>
      <c r="B13" s="17" t="s">
        <v>75</v>
      </c>
      <c r="C13" s="17"/>
      <c r="D13" s="18" t="s">
        <v>15</v>
      </c>
      <c r="E13" s="18">
        <v>1</v>
      </c>
      <c r="F13" s="14">
        <f t="shared" si="0"/>
        <v>11.5294117647059</v>
      </c>
      <c r="G13" s="15">
        <f t="shared" si="1"/>
        <v>0.85</v>
      </c>
      <c r="H13" s="19">
        <v>9.8</v>
      </c>
      <c r="I13" s="16">
        <f t="shared" si="2"/>
        <v>9.8</v>
      </c>
      <c r="J13" s="17"/>
    </row>
    <row r="14" s="3" customFormat="1" ht="16" customHeight="1" spans="1:10">
      <c r="A14" s="12">
        <v>9</v>
      </c>
      <c r="B14" s="17" t="s">
        <v>130</v>
      </c>
      <c r="C14" s="17"/>
      <c r="D14" s="18" t="s">
        <v>15</v>
      </c>
      <c r="E14" s="18">
        <v>15</v>
      </c>
      <c r="F14" s="14">
        <f t="shared" si="0"/>
        <v>5.64705882352941</v>
      </c>
      <c r="G14" s="15">
        <f t="shared" si="1"/>
        <v>0.85</v>
      </c>
      <c r="H14" s="19">
        <v>4.8</v>
      </c>
      <c r="I14" s="16">
        <f t="shared" si="2"/>
        <v>72</v>
      </c>
      <c r="J14" s="17"/>
    </row>
    <row r="15" s="3" customFormat="1" ht="16" customHeight="1" spans="1:10">
      <c r="A15" s="12">
        <v>10</v>
      </c>
      <c r="B15" s="17" t="s">
        <v>57</v>
      </c>
      <c r="C15" s="17"/>
      <c r="D15" s="18" t="s">
        <v>15</v>
      </c>
      <c r="E15" s="18">
        <v>4</v>
      </c>
      <c r="F15" s="14">
        <f t="shared" si="0"/>
        <v>5.64705882352941</v>
      </c>
      <c r="G15" s="15">
        <f t="shared" si="1"/>
        <v>0.85</v>
      </c>
      <c r="H15" s="19">
        <v>4.8</v>
      </c>
      <c r="I15" s="16">
        <f t="shared" si="2"/>
        <v>19.2</v>
      </c>
      <c r="J15" s="17"/>
    </row>
    <row r="16" s="3" customFormat="1" ht="16" customHeight="1" spans="1:10">
      <c r="A16" s="12">
        <v>11</v>
      </c>
      <c r="B16" s="12" t="s">
        <v>194</v>
      </c>
      <c r="C16" s="12"/>
      <c r="D16" s="17" t="s">
        <v>15</v>
      </c>
      <c r="E16" s="13">
        <v>34</v>
      </c>
      <c r="F16" s="14">
        <f t="shared" si="0"/>
        <v>10</v>
      </c>
      <c r="G16" s="15">
        <f t="shared" si="1"/>
        <v>0.85</v>
      </c>
      <c r="H16" s="19">
        <v>8.5</v>
      </c>
      <c r="I16" s="16">
        <f t="shared" si="2"/>
        <v>289</v>
      </c>
      <c r="J16" s="17"/>
    </row>
    <row r="17" s="3" customFormat="1" ht="16" customHeight="1" spans="1:10">
      <c r="A17" s="12">
        <v>12</v>
      </c>
      <c r="B17" s="12" t="s">
        <v>195</v>
      </c>
      <c r="C17" s="12"/>
      <c r="D17" s="12" t="s">
        <v>15</v>
      </c>
      <c r="E17" s="13">
        <v>15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102</v>
      </c>
      <c r="J17" s="12"/>
    </row>
    <row r="18" s="3" customFormat="1" ht="16" customHeight="1" spans="1:10">
      <c r="A18" s="12">
        <v>13</v>
      </c>
      <c r="B18" s="14" t="s">
        <v>61</v>
      </c>
      <c r="C18" s="14"/>
      <c r="D18" s="14" t="s">
        <v>15</v>
      </c>
      <c r="E18" s="13">
        <v>3</v>
      </c>
      <c r="F18" s="14">
        <f t="shared" si="0"/>
        <v>16.2352941176471</v>
      </c>
      <c r="G18" s="15">
        <f t="shared" si="1"/>
        <v>0.85</v>
      </c>
      <c r="H18" s="19">
        <v>13.8</v>
      </c>
      <c r="I18" s="16">
        <f t="shared" si="2"/>
        <v>41.4</v>
      </c>
      <c r="J18" s="12"/>
    </row>
    <row r="19" s="3" customFormat="1" customHeight="1" spans="1:10">
      <c r="A19" s="12">
        <v>14</v>
      </c>
      <c r="B19" s="14" t="s">
        <v>77</v>
      </c>
      <c r="C19" s="14"/>
      <c r="D19" s="14" t="s">
        <v>15</v>
      </c>
      <c r="E19" s="13">
        <v>10.2</v>
      </c>
      <c r="F19" s="14">
        <f t="shared" si="0"/>
        <v>17.4117647058824</v>
      </c>
      <c r="G19" s="15">
        <f t="shared" si="1"/>
        <v>0.85</v>
      </c>
      <c r="H19" s="19">
        <v>14.8</v>
      </c>
      <c r="I19" s="16">
        <f t="shared" si="2"/>
        <v>150.96</v>
      </c>
      <c r="J19" s="14"/>
    </row>
    <row r="20" s="3" customFormat="1" customHeight="1" spans="1:10">
      <c r="A20" s="12">
        <v>15</v>
      </c>
      <c r="B20" s="14" t="s">
        <v>196</v>
      </c>
      <c r="C20" s="14"/>
      <c r="D20" s="14" t="s">
        <v>15</v>
      </c>
      <c r="E20" s="13">
        <v>2</v>
      </c>
      <c r="F20" s="14">
        <f t="shared" si="0"/>
        <v>18.5882352941176</v>
      </c>
      <c r="G20" s="15">
        <f t="shared" si="1"/>
        <v>0.85</v>
      </c>
      <c r="H20" s="19">
        <v>15.8</v>
      </c>
      <c r="I20" s="16">
        <f t="shared" si="2"/>
        <v>31.6</v>
      </c>
      <c r="J20" s="14"/>
    </row>
    <row r="21" s="3" customFormat="1" customHeight="1" spans="1:10">
      <c r="A21" s="12">
        <v>16</v>
      </c>
      <c r="B21" s="14" t="s">
        <v>142</v>
      </c>
      <c r="C21" s="14"/>
      <c r="D21" s="14" t="s">
        <v>15</v>
      </c>
      <c r="E21" s="13">
        <v>6</v>
      </c>
      <c r="F21" s="14">
        <f t="shared" si="0"/>
        <v>19.7647058823529</v>
      </c>
      <c r="G21" s="15">
        <f t="shared" si="1"/>
        <v>0.85</v>
      </c>
      <c r="H21" s="19">
        <v>16.8</v>
      </c>
      <c r="I21" s="16">
        <f t="shared" si="2"/>
        <v>100.8</v>
      </c>
      <c r="J21" s="14"/>
    </row>
    <row r="22" s="3" customFormat="1" customHeight="1" spans="1:10">
      <c r="A22" s="12">
        <v>17</v>
      </c>
      <c r="B22" s="14" t="s">
        <v>197</v>
      </c>
      <c r="C22" s="14" t="s">
        <v>198</v>
      </c>
      <c r="D22" s="14" t="s">
        <v>55</v>
      </c>
      <c r="E22" s="13">
        <v>6</v>
      </c>
      <c r="F22" s="14">
        <f t="shared" si="0"/>
        <v>32.9411764705882</v>
      </c>
      <c r="G22" s="15">
        <f t="shared" si="1"/>
        <v>0.85</v>
      </c>
      <c r="H22" s="19">
        <v>28</v>
      </c>
      <c r="I22" s="16">
        <f t="shared" si="2"/>
        <v>168</v>
      </c>
      <c r="J22" s="14"/>
    </row>
    <row r="23" s="3" customFormat="1" customHeight="1" spans="1:10">
      <c r="A23" s="12">
        <v>18</v>
      </c>
      <c r="B23" s="14" t="s">
        <v>199</v>
      </c>
      <c r="C23" s="14" t="s">
        <v>200</v>
      </c>
      <c r="D23" s="14" t="s">
        <v>55</v>
      </c>
      <c r="E23" s="13">
        <v>5</v>
      </c>
      <c r="F23" s="14">
        <f t="shared" si="0"/>
        <v>32.9411764705882</v>
      </c>
      <c r="G23" s="15">
        <f t="shared" si="1"/>
        <v>0.85</v>
      </c>
      <c r="H23" s="19">
        <v>28</v>
      </c>
      <c r="I23" s="16">
        <f t="shared" si="2"/>
        <v>140</v>
      </c>
      <c r="J23" s="14"/>
    </row>
    <row r="24" s="3" customFormat="1" customHeight="1" spans="1:10">
      <c r="A24" s="12">
        <v>19</v>
      </c>
      <c r="B24" s="14" t="s">
        <v>201</v>
      </c>
      <c r="C24" s="14" t="s">
        <v>202</v>
      </c>
      <c r="D24" s="14" t="s">
        <v>55</v>
      </c>
      <c r="E24" s="13">
        <v>6</v>
      </c>
      <c r="F24" s="14">
        <f t="shared" si="0"/>
        <v>68.2352941176471</v>
      </c>
      <c r="G24" s="15">
        <f t="shared" si="1"/>
        <v>0.85</v>
      </c>
      <c r="H24" s="19">
        <v>58</v>
      </c>
      <c r="I24" s="16">
        <f t="shared" si="2"/>
        <v>348</v>
      </c>
      <c r="J24" s="14"/>
    </row>
    <row r="25" s="3" customFormat="1" customHeight="1" spans="1:10">
      <c r="A25" s="12">
        <v>20</v>
      </c>
      <c r="B25" s="17" t="s">
        <v>203</v>
      </c>
      <c r="C25" s="17" t="s">
        <v>204</v>
      </c>
      <c r="D25" s="18" t="s">
        <v>55</v>
      </c>
      <c r="E25" s="18">
        <v>4</v>
      </c>
      <c r="F25" s="14">
        <f t="shared" si="0"/>
        <v>49.4117647058824</v>
      </c>
      <c r="G25" s="15">
        <f t="shared" si="1"/>
        <v>0.85</v>
      </c>
      <c r="H25" s="19">
        <v>42</v>
      </c>
      <c r="I25" s="16">
        <f t="shared" si="2"/>
        <v>168</v>
      </c>
      <c r="J25" s="14"/>
    </row>
    <row r="26" s="3" customFormat="1" customHeight="1" spans="1:10">
      <c r="A26" s="12">
        <v>21</v>
      </c>
      <c r="B26" s="14" t="s">
        <v>107</v>
      </c>
      <c r="C26" s="14" t="s">
        <v>108</v>
      </c>
      <c r="D26" s="14" t="s">
        <v>109</v>
      </c>
      <c r="E26" s="13">
        <v>3</v>
      </c>
      <c r="F26" s="14">
        <f t="shared" si="0"/>
        <v>16.2352941176471</v>
      </c>
      <c r="G26" s="15">
        <f t="shared" si="1"/>
        <v>0.85</v>
      </c>
      <c r="H26" s="19">
        <v>13.8</v>
      </c>
      <c r="I26" s="16">
        <f t="shared" si="2"/>
        <v>41.4</v>
      </c>
      <c r="J26" s="14"/>
    </row>
    <row r="27" s="3" customFormat="1" customHeight="1" spans="1:10">
      <c r="A27" s="12">
        <v>22</v>
      </c>
      <c r="B27" s="14" t="s">
        <v>101</v>
      </c>
      <c r="C27" s="14" t="s">
        <v>102</v>
      </c>
      <c r="D27" s="14" t="s">
        <v>49</v>
      </c>
      <c r="E27" s="13">
        <v>2</v>
      </c>
      <c r="F27" s="14">
        <f t="shared" si="0"/>
        <v>411.764705882353</v>
      </c>
      <c r="G27" s="15">
        <f t="shared" si="1"/>
        <v>0.85</v>
      </c>
      <c r="H27" s="19">
        <v>350</v>
      </c>
      <c r="I27" s="16">
        <f t="shared" si="2"/>
        <v>700</v>
      </c>
      <c r="J27" s="14"/>
    </row>
    <row r="28" s="3" customFormat="1" customHeight="1" spans="1:10">
      <c r="A28" s="12">
        <v>23</v>
      </c>
      <c r="B28" s="14" t="s">
        <v>205</v>
      </c>
      <c r="C28" s="14"/>
      <c r="D28" s="14" t="s">
        <v>15</v>
      </c>
      <c r="E28" s="13">
        <v>5</v>
      </c>
      <c r="F28" s="14">
        <f t="shared" si="0"/>
        <v>4.70588235294118</v>
      </c>
      <c r="G28" s="15">
        <f t="shared" si="1"/>
        <v>0.85</v>
      </c>
      <c r="H28" s="19">
        <v>4</v>
      </c>
      <c r="I28" s="16">
        <f t="shared" si="2"/>
        <v>20</v>
      </c>
      <c r="J28" s="14"/>
    </row>
    <row r="29" s="3" customFormat="1" customHeight="1" spans="1:10">
      <c r="A29" s="12">
        <v>24</v>
      </c>
      <c r="B29" s="14" t="s">
        <v>34</v>
      </c>
      <c r="C29" s="14"/>
      <c r="D29" s="14" t="s">
        <v>15</v>
      </c>
      <c r="E29" s="13">
        <v>7</v>
      </c>
      <c r="F29" s="14">
        <f t="shared" si="0"/>
        <v>51.7647058823529</v>
      </c>
      <c r="G29" s="15">
        <f t="shared" si="1"/>
        <v>0.85</v>
      </c>
      <c r="H29" s="19">
        <v>44</v>
      </c>
      <c r="I29" s="16">
        <f t="shared" si="2"/>
        <v>308</v>
      </c>
      <c r="J29" s="14"/>
    </row>
    <row r="30" s="3" customFormat="1" customHeight="1" spans="1:10">
      <c r="A30" s="12">
        <v>25</v>
      </c>
      <c r="B30" s="14" t="s">
        <v>206</v>
      </c>
      <c r="C30" s="14"/>
      <c r="D30" s="14" t="s">
        <v>15</v>
      </c>
      <c r="E30" s="13">
        <v>1</v>
      </c>
      <c r="F30" s="14">
        <f t="shared" si="0"/>
        <v>11.5294117647059</v>
      </c>
      <c r="G30" s="15">
        <f t="shared" si="1"/>
        <v>0.85</v>
      </c>
      <c r="H30" s="19">
        <v>9.8</v>
      </c>
      <c r="I30" s="16">
        <f t="shared" si="2"/>
        <v>9.8</v>
      </c>
      <c r="J30" s="14"/>
    </row>
    <row r="31" s="3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3" customFormat="1" customHeight="1" spans="1:10">
      <c r="A32" s="12" t="s">
        <v>36</v>
      </c>
      <c r="B32" s="25">
        <f>SUM(I6:I31)</f>
        <v>2983.36</v>
      </c>
      <c r="C32" s="26"/>
      <c r="D32" s="26"/>
      <c r="E32" s="27"/>
      <c r="F32" s="26"/>
      <c r="G32" s="26"/>
      <c r="H32" s="26"/>
      <c r="I32" s="26"/>
      <c r="J32" s="31"/>
    </row>
    <row r="33" s="3" customFormat="1" customHeight="1" spans="1:10">
      <c r="A33" s="12" t="s">
        <v>37</v>
      </c>
      <c r="B33" s="28">
        <f>B32</f>
        <v>2983.36</v>
      </c>
      <c r="C33" s="29"/>
      <c r="D33" s="29"/>
      <c r="E33" s="27"/>
      <c r="F33" s="29"/>
      <c r="G33" s="29"/>
      <c r="H33" s="29"/>
      <c r="I33" s="29"/>
      <c r="J33" s="32"/>
    </row>
    <row r="34" s="3" customFormat="1" customHeight="1" spans="1:5">
      <c r="A34" s="3" t="s">
        <v>38</v>
      </c>
      <c r="E34" s="5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51"/>
  <sheetViews>
    <sheetView topLeftCell="A34" workbookViewId="0">
      <selection activeCell="B48" sqref="B48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5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6"/>
  </cols>
  <sheetData>
    <row r="1" s="3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3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3" customFormat="1" customHeight="1" spans="1:5">
      <c r="A3" s="3" t="s">
        <v>1</v>
      </c>
      <c r="B3" s="3" t="s">
        <v>2</v>
      </c>
      <c r="E3" s="5"/>
    </row>
    <row r="4" s="3" customFormat="1" customHeight="1" spans="1:10">
      <c r="A4" s="3" t="s">
        <v>3</v>
      </c>
      <c r="B4" s="9">
        <v>45289</v>
      </c>
      <c r="C4" s="9"/>
      <c r="D4" s="10"/>
      <c r="E4" s="11"/>
      <c r="F4" s="10"/>
      <c r="G4" s="10"/>
      <c r="H4" s="9"/>
      <c r="I4" s="9"/>
      <c r="J4" s="9"/>
    </row>
    <row r="5" s="3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3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12</v>
      </c>
      <c r="J6" s="12"/>
    </row>
    <row r="7" s="3" customFormat="1" ht="16" customHeight="1" spans="1:10">
      <c r="A7" s="12">
        <v>2</v>
      </c>
      <c r="B7" s="12" t="s">
        <v>16</v>
      </c>
      <c r="C7" s="12" t="s">
        <v>17</v>
      </c>
      <c r="D7" s="13" t="s">
        <v>15</v>
      </c>
      <c r="E7" s="13">
        <v>10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35</v>
      </c>
      <c r="J7" s="12"/>
    </row>
    <row r="8" s="3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3" customFormat="1" ht="16" customHeight="1" spans="1:10">
      <c r="A9" s="12">
        <v>4</v>
      </c>
      <c r="B9" s="17" t="s">
        <v>22</v>
      </c>
      <c r="C9" s="17"/>
      <c r="D9" s="13" t="s">
        <v>15</v>
      </c>
      <c r="E9" s="13">
        <v>4</v>
      </c>
      <c r="F9" s="14">
        <f t="shared" si="0"/>
        <v>2.35294117647059</v>
      </c>
      <c r="G9" s="15">
        <f t="shared" si="1"/>
        <v>0.85</v>
      </c>
      <c r="H9" s="16">
        <v>2</v>
      </c>
      <c r="I9" s="16">
        <f t="shared" si="2"/>
        <v>8</v>
      </c>
      <c r="J9" s="12"/>
    </row>
    <row r="10" s="3" customFormat="1" ht="16" customHeight="1" spans="1:10">
      <c r="A10" s="12">
        <v>5</v>
      </c>
      <c r="B10" s="12" t="s">
        <v>41</v>
      </c>
      <c r="C10" s="12"/>
      <c r="D10" s="13" t="s">
        <v>15</v>
      </c>
      <c r="E10" s="13">
        <v>8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30.4</v>
      </c>
      <c r="J10" s="12"/>
    </row>
    <row r="11" s="3" customFormat="1" ht="16" customHeight="1" spans="1:10">
      <c r="A11" s="12">
        <v>6</v>
      </c>
      <c r="B11" s="12" t="s">
        <v>42</v>
      </c>
      <c r="C11" s="12"/>
      <c r="D11" s="13" t="s">
        <v>15</v>
      </c>
      <c r="E11" s="13">
        <v>2</v>
      </c>
      <c r="F11" s="14">
        <f t="shared" si="0"/>
        <v>8.82352941176471</v>
      </c>
      <c r="G11" s="15">
        <f t="shared" si="1"/>
        <v>0.85</v>
      </c>
      <c r="H11" s="16">
        <v>7.5</v>
      </c>
      <c r="I11" s="16">
        <f t="shared" si="2"/>
        <v>15</v>
      </c>
      <c r="J11" s="12"/>
    </row>
    <row r="12" s="3" customFormat="1" ht="16" customHeight="1" spans="1:10">
      <c r="A12" s="12">
        <v>7</v>
      </c>
      <c r="B12" s="17" t="s">
        <v>24</v>
      </c>
      <c r="C12" s="17"/>
      <c r="D12" s="18" t="s">
        <v>15</v>
      </c>
      <c r="E12" s="18">
        <v>3</v>
      </c>
      <c r="F12" s="14">
        <f t="shared" si="0"/>
        <v>11.5294117647059</v>
      </c>
      <c r="G12" s="15">
        <f t="shared" si="1"/>
        <v>0.85</v>
      </c>
      <c r="H12" s="19">
        <v>9.8</v>
      </c>
      <c r="I12" s="16">
        <f t="shared" si="2"/>
        <v>29.4</v>
      </c>
      <c r="J12" s="17"/>
    </row>
    <row r="13" s="3" customFormat="1" ht="16" customHeight="1" spans="1:10">
      <c r="A13" s="12">
        <v>8</v>
      </c>
      <c r="B13" s="17" t="s">
        <v>25</v>
      </c>
      <c r="C13" s="17"/>
      <c r="D13" s="18" t="s">
        <v>26</v>
      </c>
      <c r="E13" s="18">
        <v>8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24</v>
      </c>
      <c r="J13" s="17"/>
    </row>
    <row r="14" s="3" customFormat="1" ht="16" customHeight="1" spans="1:10">
      <c r="A14" s="12">
        <v>9</v>
      </c>
      <c r="B14" s="17" t="s">
        <v>43</v>
      </c>
      <c r="C14" s="17"/>
      <c r="D14" s="18" t="s">
        <v>15</v>
      </c>
      <c r="E14" s="18">
        <v>2</v>
      </c>
      <c r="F14" s="14">
        <f t="shared" si="0"/>
        <v>4.70588235294118</v>
      </c>
      <c r="G14" s="15">
        <f t="shared" si="1"/>
        <v>0.85</v>
      </c>
      <c r="H14" s="19">
        <v>4</v>
      </c>
      <c r="I14" s="16">
        <f t="shared" si="2"/>
        <v>8</v>
      </c>
      <c r="J14" s="17"/>
    </row>
    <row r="15" s="3" customFormat="1" ht="16" customHeight="1" spans="1:10">
      <c r="A15" s="12">
        <v>10</v>
      </c>
      <c r="B15" s="12" t="s">
        <v>144</v>
      </c>
      <c r="C15" s="12"/>
      <c r="D15" s="17" t="s">
        <v>15</v>
      </c>
      <c r="E15" s="13">
        <v>5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19</v>
      </c>
      <c r="J15" s="17"/>
    </row>
    <row r="16" s="3" customFormat="1" ht="16" customHeight="1" spans="1:10">
      <c r="A16" s="12">
        <v>11</v>
      </c>
      <c r="B16" s="12" t="s">
        <v>207</v>
      </c>
      <c r="C16" s="12"/>
      <c r="D16" s="12" t="s">
        <v>15</v>
      </c>
      <c r="E16" s="13">
        <v>4</v>
      </c>
      <c r="F16" s="14">
        <f t="shared" si="0"/>
        <v>14.1176470588235</v>
      </c>
      <c r="G16" s="15">
        <f t="shared" si="1"/>
        <v>0.85</v>
      </c>
      <c r="H16" s="19">
        <v>12</v>
      </c>
      <c r="I16" s="16">
        <f t="shared" si="2"/>
        <v>48</v>
      </c>
      <c r="J16" s="17"/>
    </row>
    <row r="17" s="3" customFormat="1" ht="16" customHeight="1" spans="1:10">
      <c r="A17" s="12">
        <v>12</v>
      </c>
      <c r="B17" s="14" t="s">
        <v>208</v>
      </c>
      <c r="C17" s="14"/>
      <c r="D17" s="14" t="s">
        <v>15</v>
      </c>
      <c r="E17" s="13">
        <v>12</v>
      </c>
      <c r="F17" s="14">
        <f t="shared" si="0"/>
        <v>31.7647058823529</v>
      </c>
      <c r="G17" s="15">
        <f t="shared" si="1"/>
        <v>0.85</v>
      </c>
      <c r="H17" s="19">
        <v>27</v>
      </c>
      <c r="I17" s="16">
        <f t="shared" si="2"/>
        <v>324</v>
      </c>
      <c r="J17" s="12"/>
    </row>
    <row r="18" s="3" customFormat="1" ht="16" customHeight="1" spans="1:10">
      <c r="A18" s="12">
        <v>13</v>
      </c>
      <c r="B18" s="14" t="s">
        <v>129</v>
      </c>
      <c r="C18" s="14"/>
      <c r="D18" s="14" t="s">
        <v>15</v>
      </c>
      <c r="E18" s="13">
        <v>8</v>
      </c>
      <c r="F18" s="14">
        <f t="shared" si="0"/>
        <v>6.82352941176471</v>
      </c>
      <c r="G18" s="15">
        <f t="shared" si="1"/>
        <v>0.85</v>
      </c>
      <c r="H18" s="19">
        <v>5.8</v>
      </c>
      <c r="I18" s="16">
        <f t="shared" si="2"/>
        <v>46.4</v>
      </c>
      <c r="J18" s="12"/>
    </row>
    <row r="19" s="3" customFormat="1" customHeight="1" spans="1:10">
      <c r="A19" s="12">
        <v>14</v>
      </c>
      <c r="B19" s="14" t="s">
        <v>209</v>
      </c>
      <c r="C19" s="14"/>
      <c r="D19" s="14" t="s">
        <v>15</v>
      </c>
      <c r="E19" s="13">
        <v>3</v>
      </c>
      <c r="F19" s="14">
        <f t="shared" si="0"/>
        <v>9.41176470588235</v>
      </c>
      <c r="G19" s="15">
        <f t="shared" si="1"/>
        <v>0.85</v>
      </c>
      <c r="H19" s="19">
        <v>8</v>
      </c>
      <c r="I19" s="16">
        <f t="shared" si="2"/>
        <v>24</v>
      </c>
      <c r="J19" s="14"/>
    </row>
    <row r="20" s="3" customFormat="1" customHeight="1" spans="1:10">
      <c r="A20" s="12">
        <v>15</v>
      </c>
      <c r="B20" s="14" t="s">
        <v>210</v>
      </c>
      <c r="C20" s="14"/>
      <c r="D20" s="14" t="s">
        <v>15</v>
      </c>
      <c r="E20" s="13">
        <v>3</v>
      </c>
      <c r="F20" s="14">
        <f t="shared" si="0"/>
        <v>10</v>
      </c>
      <c r="G20" s="15">
        <f t="shared" si="1"/>
        <v>0.85</v>
      </c>
      <c r="H20" s="19">
        <v>8.5</v>
      </c>
      <c r="I20" s="16">
        <f t="shared" si="2"/>
        <v>25.5</v>
      </c>
      <c r="J20" s="14"/>
    </row>
    <row r="21" s="3" customFormat="1" customHeight="1" spans="1:10">
      <c r="A21" s="12">
        <v>16</v>
      </c>
      <c r="B21" s="14" t="s">
        <v>57</v>
      </c>
      <c r="C21" s="14"/>
      <c r="D21" s="14" t="s">
        <v>15</v>
      </c>
      <c r="E21" s="13">
        <v>3</v>
      </c>
      <c r="F21" s="14">
        <f t="shared" si="0"/>
        <v>5.64705882352941</v>
      </c>
      <c r="G21" s="15">
        <f t="shared" si="1"/>
        <v>0.85</v>
      </c>
      <c r="H21" s="19">
        <v>4.8</v>
      </c>
      <c r="I21" s="16">
        <f t="shared" si="2"/>
        <v>14.4</v>
      </c>
      <c r="J21" s="14"/>
    </row>
    <row r="22" s="3" customFormat="1" customHeight="1" spans="1:10">
      <c r="A22" s="12">
        <v>17</v>
      </c>
      <c r="B22" s="14" t="s">
        <v>58</v>
      </c>
      <c r="C22" s="14"/>
      <c r="D22" s="14" t="s">
        <v>15</v>
      </c>
      <c r="E22" s="13">
        <v>3</v>
      </c>
      <c r="F22" s="14">
        <f t="shared" si="0"/>
        <v>9.41176470588235</v>
      </c>
      <c r="G22" s="15">
        <f t="shared" si="1"/>
        <v>0.85</v>
      </c>
      <c r="H22" s="19">
        <v>8</v>
      </c>
      <c r="I22" s="16">
        <f t="shared" si="2"/>
        <v>24</v>
      </c>
      <c r="J22" s="14"/>
    </row>
    <row r="23" s="3" customFormat="1" customHeight="1" spans="1:10">
      <c r="A23" s="12">
        <v>18</v>
      </c>
      <c r="B23" s="14" t="s">
        <v>211</v>
      </c>
      <c r="C23" s="14"/>
      <c r="D23" s="14" t="s">
        <v>15</v>
      </c>
      <c r="E23" s="13">
        <v>4</v>
      </c>
      <c r="F23" s="14">
        <f t="shared" si="0"/>
        <v>4.11764705882353</v>
      </c>
      <c r="G23" s="15">
        <f t="shared" si="1"/>
        <v>0.85</v>
      </c>
      <c r="H23" s="19">
        <v>3.5</v>
      </c>
      <c r="I23" s="16">
        <f t="shared" si="2"/>
        <v>14</v>
      </c>
      <c r="J23" s="14"/>
    </row>
    <row r="24" s="3" customFormat="1" customHeight="1" spans="1:10">
      <c r="A24" s="12">
        <v>19</v>
      </c>
      <c r="B24" s="17" t="s">
        <v>212</v>
      </c>
      <c r="C24" s="17"/>
      <c r="D24" s="18" t="s">
        <v>15</v>
      </c>
      <c r="E24" s="18">
        <v>15</v>
      </c>
      <c r="F24" s="14">
        <f t="shared" si="0"/>
        <v>17.6470588235294</v>
      </c>
      <c r="G24" s="15">
        <f t="shared" si="1"/>
        <v>0.85</v>
      </c>
      <c r="H24" s="19">
        <v>15</v>
      </c>
      <c r="I24" s="16">
        <f t="shared" si="2"/>
        <v>225</v>
      </c>
      <c r="J24" s="14"/>
    </row>
    <row r="25" s="3" customFormat="1" customHeight="1" spans="1:10">
      <c r="A25" s="12">
        <v>20</v>
      </c>
      <c r="B25" s="14" t="s">
        <v>213</v>
      </c>
      <c r="C25" s="14"/>
      <c r="D25" s="14" t="s">
        <v>15</v>
      </c>
      <c r="E25" s="13">
        <v>15</v>
      </c>
      <c r="F25" s="14">
        <f t="shared" ref="F25:F49" si="3">H25/0.85</f>
        <v>8</v>
      </c>
      <c r="G25" s="15">
        <f t="shared" ref="G25:G49" si="4">H25/F25</f>
        <v>0.85</v>
      </c>
      <c r="H25" s="19">
        <v>6.8</v>
      </c>
      <c r="I25" s="16">
        <f t="shared" ref="I25:I49" si="5">E25*H25</f>
        <v>102</v>
      </c>
      <c r="J25" s="14"/>
    </row>
    <row r="26" s="3" customFormat="1" customHeight="1" spans="1:10">
      <c r="A26" s="12">
        <v>21</v>
      </c>
      <c r="B26" s="17" t="s">
        <v>214</v>
      </c>
      <c r="C26" s="17"/>
      <c r="D26" s="18" t="s">
        <v>15</v>
      </c>
      <c r="E26" s="18">
        <v>2</v>
      </c>
      <c r="F26" s="14">
        <f t="shared" si="3"/>
        <v>28.2352941176471</v>
      </c>
      <c r="G26" s="15">
        <f t="shared" si="4"/>
        <v>0.85</v>
      </c>
      <c r="H26" s="19">
        <v>24</v>
      </c>
      <c r="I26" s="16">
        <f t="shared" si="5"/>
        <v>48</v>
      </c>
      <c r="J26" s="14"/>
    </row>
    <row r="27" s="3" customFormat="1" customHeight="1" spans="1:10">
      <c r="A27" s="12">
        <v>22</v>
      </c>
      <c r="B27" s="14" t="s">
        <v>215</v>
      </c>
      <c r="C27" s="14"/>
      <c r="D27" s="14" t="s">
        <v>15</v>
      </c>
      <c r="E27" s="13">
        <v>2</v>
      </c>
      <c r="F27" s="14">
        <f t="shared" si="3"/>
        <v>21.7647058823529</v>
      </c>
      <c r="G27" s="15">
        <f t="shared" si="4"/>
        <v>0.85</v>
      </c>
      <c r="H27" s="19">
        <v>18.5</v>
      </c>
      <c r="I27" s="16">
        <f t="shared" si="5"/>
        <v>37</v>
      </c>
      <c r="J27" s="14"/>
    </row>
    <row r="28" s="3" customFormat="1" customHeight="1" spans="1:10">
      <c r="A28" s="12">
        <v>23</v>
      </c>
      <c r="B28" s="14" t="s">
        <v>136</v>
      </c>
      <c r="C28" s="14"/>
      <c r="D28" s="14" t="s">
        <v>15</v>
      </c>
      <c r="E28" s="13">
        <v>5</v>
      </c>
      <c r="F28" s="14">
        <f t="shared" si="3"/>
        <v>23.5294117647059</v>
      </c>
      <c r="G28" s="15">
        <f t="shared" si="4"/>
        <v>0.85</v>
      </c>
      <c r="H28" s="19">
        <v>20</v>
      </c>
      <c r="I28" s="16">
        <f t="shared" si="5"/>
        <v>100</v>
      </c>
      <c r="J28" s="14"/>
    </row>
    <row r="29" s="3" customFormat="1" customHeight="1" spans="1:10">
      <c r="A29" s="12">
        <v>24</v>
      </c>
      <c r="B29" s="14" t="s">
        <v>78</v>
      </c>
      <c r="C29" s="14"/>
      <c r="D29" s="14" t="s">
        <v>15</v>
      </c>
      <c r="E29" s="13">
        <v>8</v>
      </c>
      <c r="F29" s="14">
        <f t="shared" si="3"/>
        <v>32.9411764705882</v>
      </c>
      <c r="G29" s="15">
        <f t="shared" si="4"/>
        <v>0.85</v>
      </c>
      <c r="H29" s="19">
        <v>28</v>
      </c>
      <c r="I29" s="16">
        <f t="shared" si="5"/>
        <v>224</v>
      </c>
      <c r="J29" s="14"/>
    </row>
    <row r="30" s="3" customFormat="1" customHeight="1" spans="1:10">
      <c r="A30" s="12">
        <v>25</v>
      </c>
      <c r="B30" s="14" t="s">
        <v>146</v>
      </c>
      <c r="C30" s="14"/>
      <c r="D30" s="14" t="s">
        <v>15</v>
      </c>
      <c r="E30" s="13">
        <v>12</v>
      </c>
      <c r="F30" s="14">
        <f t="shared" si="3"/>
        <v>44.7058823529412</v>
      </c>
      <c r="G30" s="15">
        <f t="shared" si="4"/>
        <v>0.85</v>
      </c>
      <c r="H30" s="19">
        <v>38</v>
      </c>
      <c r="I30" s="16">
        <f t="shared" si="5"/>
        <v>456</v>
      </c>
      <c r="J30" s="14"/>
    </row>
    <row r="31" s="3" customFormat="1" customHeight="1" spans="1:10">
      <c r="A31" s="12">
        <v>26</v>
      </c>
      <c r="B31" s="14" t="s">
        <v>216</v>
      </c>
      <c r="C31" s="14"/>
      <c r="D31" s="14" t="s">
        <v>217</v>
      </c>
      <c r="E31" s="13">
        <v>35</v>
      </c>
      <c r="F31" s="14">
        <f t="shared" si="3"/>
        <v>32.9411764705882</v>
      </c>
      <c r="G31" s="15">
        <f t="shared" si="4"/>
        <v>0.85</v>
      </c>
      <c r="H31" s="19">
        <v>28</v>
      </c>
      <c r="I31" s="16">
        <f t="shared" si="5"/>
        <v>980</v>
      </c>
      <c r="J31" s="14"/>
    </row>
    <row r="32" s="3" customFormat="1" customHeight="1" spans="1:10">
      <c r="A32" s="12">
        <v>27</v>
      </c>
      <c r="B32" s="14" t="s">
        <v>186</v>
      </c>
      <c r="C32" s="14"/>
      <c r="D32" s="14" t="s">
        <v>15</v>
      </c>
      <c r="E32" s="13">
        <v>4.3</v>
      </c>
      <c r="F32" s="14">
        <f t="shared" si="3"/>
        <v>82.3529411764706</v>
      </c>
      <c r="G32" s="15">
        <f t="shared" si="4"/>
        <v>0.85</v>
      </c>
      <c r="H32" s="19">
        <v>70</v>
      </c>
      <c r="I32" s="16">
        <f t="shared" si="5"/>
        <v>301</v>
      </c>
      <c r="J32" s="14"/>
    </row>
    <row r="33" s="3" customFormat="1" customHeight="1" spans="1:10">
      <c r="A33" s="12">
        <v>28</v>
      </c>
      <c r="B33" s="14" t="s">
        <v>218</v>
      </c>
      <c r="C33" s="14"/>
      <c r="D33" s="14" t="s">
        <v>15</v>
      </c>
      <c r="E33" s="13">
        <v>4</v>
      </c>
      <c r="F33" s="14">
        <f t="shared" si="3"/>
        <v>94.1176470588235</v>
      </c>
      <c r="G33" s="15">
        <f t="shared" si="4"/>
        <v>0.85</v>
      </c>
      <c r="H33" s="19">
        <v>80</v>
      </c>
      <c r="I33" s="16">
        <f t="shared" si="5"/>
        <v>320</v>
      </c>
      <c r="J33" s="14"/>
    </row>
    <row r="34" s="3" customFormat="1" customHeight="1" spans="1:10">
      <c r="A34" s="12">
        <v>29</v>
      </c>
      <c r="B34" s="14" t="s">
        <v>197</v>
      </c>
      <c r="C34" s="14" t="s">
        <v>198</v>
      </c>
      <c r="D34" s="14" t="s">
        <v>55</v>
      </c>
      <c r="E34" s="13">
        <v>2</v>
      </c>
      <c r="F34" s="14">
        <f t="shared" si="3"/>
        <v>32.9411764705882</v>
      </c>
      <c r="G34" s="15">
        <f t="shared" si="4"/>
        <v>0.85</v>
      </c>
      <c r="H34" s="19">
        <v>28</v>
      </c>
      <c r="I34" s="16">
        <f t="shared" si="5"/>
        <v>56</v>
      </c>
      <c r="J34" s="14"/>
    </row>
    <row r="35" s="3" customFormat="1" customHeight="1" spans="1:10">
      <c r="A35" s="12">
        <v>30</v>
      </c>
      <c r="B35" s="14" t="s">
        <v>199</v>
      </c>
      <c r="C35" s="14" t="s">
        <v>200</v>
      </c>
      <c r="D35" s="14" t="s">
        <v>55</v>
      </c>
      <c r="E35" s="13">
        <v>2</v>
      </c>
      <c r="F35" s="14">
        <f t="shared" si="3"/>
        <v>32.9411764705882</v>
      </c>
      <c r="G35" s="15">
        <f t="shared" si="4"/>
        <v>0.85</v>
      </c>
      <c r="H35" s="19">
        <v>28</v>
      </c>
      <c r="I35" s="16">
        <f t="shared" si="5"/>
        <v>56</v>
      </c>
      <c r="J35" s="14"/>
    </row>
    <row r="36" s="3" customFormat="1" customHeight="1" spans="1:10">
      <c r="A36" s="12">
        <v>31</v>
      </c>
      <c r="B36" s="14" t="s">
        <v>201</v>
      </c>
      <c r="C36" s="14" t="s">
        <v>202</v>
      </c>
      <c r="D36" s="14" t="s">
        <v>55</v>
      </c>
      <c r="E36" s="13">
        <v>2</v>
      </c>
      <c r="F36" s="14">
        <f t="shared" si="3"/>
        <v>68.2352941176471</v>
      </c>
      <c r="G36" s="15">
        <f t="shared" si="4"/>
        <v>0.85</v>
      </c>
      <c r="H36" s="19">
        <v>58</v>
      </c>
      <c r="I36" s="16">
        <f t="shared" si="5"/>
        <v>116</v>
      </c>
      <c r="J36" s="14"/>
    </row>
    <row r="37" s="3" customFormat="1" customHeight="1" spans="1:10">
      <c r="A37" s="12">
        <v>32</v>
      </c>
      <c r="B37" s="14" t="s">
        <v>203</v>
      </c>
      <c r="C37" s="14" t="s">
        <v>204</v>
      </c>
      <c r="D37" s="14" t="s">
        <v>55</v>
      </c>
      <c r="E37" s="13">
        <v>3</v>
      </c>
      <c r="F37" s="14">
        <f t="shared" si="3"/>
        <v>49.4117647058824</v>
      </c>
      <c r="G37" s="15">
        <f t="shared" si="4"/>
        <v>0.85</v>
      </c>
      <c r="H37" s="19">
        <v>42</v>
      </c>
      <c r="I37" s="16">
        <f t="shared" si="5"/>
        <v>126</v>
      </c>
      <c r="J37" s="14"/>
    </row>
    <row r="38" s="3" customFormat="1" customHeight="1" spans="1:10">
      <c r="A38" s="12">
        <v>33</v>
      </c>
      <c r="B38" s="14" t="s">
        <v>219</v>
      </c>
      <c r="C38" s="14" t="s">
        <v>220</v>
      </c>
      <c r="D38" s="14" t="s">
        <v>55</v>
      </c>
      <c r="E38" s="13">
        <v>10</v>
      </c>
      <c r="F38" s="14">
        <f t="shared" si="3"/>
        <v>14.1176470588235</v>
      </c>
      <c r="G38" s="15">
        <f t="shared" si="4"/>
        <v>0.85</v>
      </c>
      <c r="H38" s="19">
        <v>12</v>
      </c>
      <c r="I38" s="16">
        <f t="shared" si="5"/>
        <v>120</v>
      </c>
      <c r="J38" s="14"/>
    </row>
    <row r="39" s="3" customFormat="1" customHeight="1" spans="1:10">
      <c r="A39" s="12">
        <v>34</v>
      </c>
      <c r="B39" s="14" t="s">
        <v>221</v>
      </c>
      <c r="C39" s="14" t="s">
        <v>17</v>
      </c>
      <c r="D39" s="14" t="s">
        <v>15</v>
      </c>
      <c r="E39" s="13">
        <v>1</v>
      </c>
      <c r="F39" s="14">
        <f t="shared" si="3"/>
        <v>41.1764705882353</v>
      </c>
      <c r="G39" s="15">
        <f t="shared" si="4"/>
        <v>0.85</v>
      </c>
      <c r="H39" s="19">
        <v>35</v>
      </c>
      <c r="I39" s="16">
        <f t="shared" si="5"/>
        <v>35</v>
      </c>
      <c r="J39" s="14"/>
    </row>
    <row r="40" s="3" customFormat="1" customHeight="1" spans="1:10">
      <c r="A40" s="12">
        <v>35</v>
      </c>
      <c r="B40" s="14" t="s">
        <v>222</v>
      </c>
      <c r="C40" s="14" t="s">
        <v>223</v>
      </c>
      <c r="D40" s="14" t="s">
        <v>55</v>
      </c>
      <c r="E40" s="13">
        <v>5</v>
      </c>
      <c r="F40" s="14">
        <f t="shared" si="3"/>
        <v>19.7647058823529</v>
      </c>
      <c r="G40" s="15">
        <f t="shared" si="4"/>
        <v>0.85</v>
      </c>
      <c r="H40" s="19">
        <v>16.8</v>
      </c>
      <c r="I40" s="16">
        <f t="shared" si="5"/>
        <v>84</v>
      </c>
      <c r="J40" s="14"/>
    </row>
    <row r="41" s="3" customFormat="1" customHeight="1" spans="1:10">
      <c r="A41" s="12">
        <v>36</v>
      </c>
      <c r="B41" s="14" t="s">
        <v>224</v>
      </c>
      <c r="C41" s="14" t="s">
        <v>225</v>
      </c>
      <c r="D41" s="14" t="s">
        <v>125</v>
      </c>
      <c r="E41" s="13">
        <v>4</v>
      </c>
      <c r="F41" s="14">
        <f t="shared" si="3"/>
        <v>42.3529411764706</v>
      </c>
      <c r="G41" s="15">
        <f t="shared" si="4"/>
        <v>0.85</v>
      </c>
      <c r="H41" s="19">
        <v>36</v>
      </c>
      <c r="I41" s="16">
        <f t="shared" si="5"/>
        <v>144</v>
      </c>
      <c r="J41" s="14"/>
    </row>
    <row r="42" s="3" customFormat="1" customHeight="1" spans="1:10">
      <c r="A42" s="12">
        <v>37</v>
      </c>
      <c r="B42" s="14" t="s">
        <v>226</v>
      </c>
      <c r="C42" s="14" t="s">
        <v>227</v>
      </c>
      <c r="D42" s="14" t="s">
        <v>55</v>
      </c>
      <c r="E42" s="13">
        <v>2</v>
      </c>
      <c r="F42" s="14">
        <f t="shared" si="3"/>
        <v>47.0588235294118</v>
      </c>
      <c r="G42" s="15">
        <f t="shared" si="4"/>
        <v>0.85</v>
      </c>
      <c r="H42" s="19">
        <v>40</v>
      </c>
      <c r="I42" s="16">
        <f t="shared" si="5"/>
        <v>80</v>
      </c>
      <c r="J42" s="14"/>
    </row>
    <row r="43" s="3" customFormat="1" customHeight="1" spans="1:10">
      <c r="A43" s="12">
        <v>38</v>
      </c>
      <c r="B43" s="14" t="s">
        <v>228</v>
      </c>
      <c r="C43" s="14" t="s">
        <v>229</v>
      </c>
      <c r="D43" s="14" t="s">
        <v>125</v>
      </c>
      <c r="E43" s="13">
        <v>3</v>
      </c>
      <c r="F43" s="14">
        <f t="shared" si="3"/>
        <v>3.52941176470588</v>
      </c>
      <c r="G43" s="15">
        <f t="shared" si="4"/>
        <v>0.85</v>
      </c>
      <c r="H43" s="19">
        <v>3</v>
      </c>
      <c r="I43" s="16">
        <f t="shared" si="5"/>
        <v>9</v>
      </c>
      <c r="J43" s="14"/>
    </row>
    <row r="44" s="3" customFormat="1" customHeight="1" spans="1:10">
      <c r="A44" s="12">
        <v>39</v>
      </c>
      <c r="B44" s="14" t="s">
        <v>230</v>
      </c>
      <c r="C44" s="14" t="s">
        <v>231</v>
      </c>
      <c r="D44" s="14" t="s">
        <v>49</v>
      </c>
      <c r="E44" s="13">
        <v>3</v>
      </c>
      <c r="F44" s="14">
        <f t="shared" si="3"/>
        <v>49.4117647058824</v>
      </c>
      <c r="G44" s="15">
        <f t="shared" si="4"/>
        <v>0.85</v>
      </c>
      <c r="H44" s="19">
        <v>42</v>
      </c>
      <c r="I44" s="16">
        <f t="shared" si="5"/>
        <v>126</v>
      </c>
      <c r="J44" s="14"/>
    </row>
    <row r="45" s="4" customFormat="1" customHeight="1" spans="1:16384">
      <c r="A45" s="20">
        <v>40</v>
      </c>
      <c r="B45" s="21" t="s">
        <v>232</v>
      </c>
      <c r="C45" s="21" t="s">
        <v>233</v>
      </c>
      <c r="D45" s="21" t="s">
        <v>49</v>
      </c>
      <c r="E45" s="22">
        <v>4</v>
      </c>
      <c r="F45" s="21">
        <f t="shared" si="3"/>
        <v>35.2941176470588</v>
      </c>
      <c r="G45" s="23">
        <f t="shared" si="4"/>
        <v>0.85</v>
      </c>
      <c r="H45" s="24">
        <v>30</v>
      </c>
      <c r="I45" s="30">
        <f t="shared" si="5"/>
        <v>120</v>
      </c>
      <c r="J45" s="21"/>
      <c r="XDI45" s="33"/>
      <c r="XDJ45" s="33"/>
      <c r="XDK45" s="33"/>
      <c r="XDL45" s="33"/>
      <c r="XDM45" s="33"/>
      <c r="XDN45" s="33"/>
      <c r="XDO45" s="33"/>
      <c r="XDP45" s="33"/>
      <c r="XDQ45" s="33"/>
      <c r="XDR45" s="33"/>
      <c r="XDS45" s="33"/>
      <c r="XDT45" s="33"/>
      <c r="XDU45" s="33"/>
      <c r="XDV45" s="33"/>
      <c r="XDW45" s="33"/>
      <c r="XDX45" s="33"/>
      <c r="XDY45" s="33"/>
      <c r="XDZ45" s="33"/>
      <c r="XEA45" s="33"/>
      <c r="XEB45" s="33"/>
      <c r="XEC45" s="33"/>
      <c r="XED45" s="33"/>
      <c r="XEE45" s="33"/>
      <c r="XEF45" s="33"/>
      <c r="XEG45" s="33"/>
      <c r="XEH45" s="33"/>
      <c r="XEI45" s="33"/>
      <c r="XEJ45" s="33"/>
      <c r="XEK45" s="33"/>
      <c r="XEL45" s="33"/>
      <c r="XEM45" s="33"/>
      <c r="XEN45" s="33"/>
      <c r="XEO45" s="33"/>
      <c r="XEP45" s="33"/>
      <c r="XEQ45" s="33"/>
      <c r="XER45" s="33"/>
      <c r="XES45" s="33"/>
      <c r="XET45" s="33"/>
      <c r="XEU45" s="33"/>
      <c r="XEV45" s="33"/>
      <c r="XEW45" s="33"/>
      <c r="XEX45" s="33"/>
      <c r="XEY45" s="33"/>
      <c r="XEZ45" s="33"/>
      <c r="XFA45" s="33"/>
      <c r="XFB45" s="33"/>
      <c r="XFC45" s="33"/>
      <c r="XFD45" s="33"/>
    </row>
    <row r="46" s="4" customFormat="1" customHeight="1" spans="1:16384">
      <c r="A46" s="20">
        <v>41</v>
      </c>
      <c r="B46" s="21" t="s">
        <v>234</v>
      </c>
      <c r="C46" s="21" t="s">
        <v>235</v>
      </c>
      <c r="D46" s="21" t="s">
        <v>180</v>
      </c>
      <c r="E46" s="22">
        <v>2</v>
      </c>
      <c r="F46" s="21">
        <f t="shared" si="3"/>
        <v>49.4117647058824</v>
      </c>
      <c r="G46" s="23">
        <f t="shared" si="4"/>
        <v>0.85</v>
      </c>
      <c r="H46" s="24">
        <v>42</v>
      </c>
      <c r="I46" s="30">
        <f t="shared" si="5"/>
        <v>84</v>
      </c>
      <c r="J46" s="21"/>
      <c r="XDI46" s="33"/>
      <c r="XDJ46" s="33"/>
      <c r="XDK46" s="33"/>
      <c r="XDL46" s="33"/>
      <c r="XDM46" s="33"/>
      <c r="XDN46" s="33"/>
      <c r="XDO46" s="33"/>
      <c r="XDP46" s="33"/>
      <c r="XDQ46" s="33"/>
      <c r="XDR46" s="33"/>
      <c r="XDS46" s="33"/>
      <c r="XDT46" s="33"/>
      <c r="XDU46" s="33"/>
      <c r="XDV46" s="33"/>
      <c r="XDW46" s="33"/>
      <c r="XDX46" s="33"/>
      <c r="XDY46" s="33"/>
      <c r="XDZ46" s="33"/>
      <c r="XEA46" s="33"/>
      <c r="XEB46" s="33"/>
      <c r="XEC46" s="33"/>
      <c r="XED46" s="33"/>
      <c r="XEE46" s="33"/>
      <c r="XEF46" s="33"/>
      <c r="XEG46" s="33"/>
      <c r="XEH46" s="33"/>
      <c r="XEI46" s="33"/>
      <c r="XEJ46" s="33"/>
      <c r="XEK46" s="33"/>
      <c r="XEL46" s="33"/>
      <c r="XEM46" s="33"/>
      <c r="XEN46" s="33"/>
      <c r="XEO46" s="33"/>
      <c r="XEP46" s="33"/>
      <c r="XEQ46" s="33"/>
      <c r="XER46" s="33"/>
      <c r="XES46" s="33"/>
      <c r="XET46" s="33"/>
      <c r="XEU46" s="33"/>
      <c r="XEV46" s="33"/>
      <c r="XEW46" s="33"/>
      <c r="XEX46" s="33"/>
      <c r="XEY46" s="33"/>
      <c r="XEZ46" s="33"/>
      <c r="XFA46" s="33"/>
      <c r="XFB46" s="33"/>
      <c r="XFC46" s="33"/>
      <c r="XFD46" s="33"/>
    </row>
    <row r="47" s="3" customFormat="1" customHeight="1" spans="1:10">
      <c r="A47" s="12">
        <v>42</v>
      </c>
      <c r="B47" s="14" t="s">
        <v>236</v>
      </c>
      <c r="C47" s="14"/>
      <c r="D47" s="14" t="s">
        <v>217</v>
      </c>
      <c r="E47" s="13">
        <v>7</v>
      </c>
      <c r="F47" s="14">
        <f t="shared" si="3"/>
        <v>82.3529411764706</v>
      </c>
      <c r="G47" s="15">
        <f t="shared" si="4"/>
        <v>0.85</v>
      </c>
      <c r="H47" s="19">
        <v>70</v>
      </c>
      <c r="I47" s="16">
        <f t="shared" si="5"/>
        <v>490</v>
      </c>
      <c r="J47" s="14"/>
    </row>
    <row r="48" s="3" customFormat="1" customHeight="1" spans="1:10">
      <c r="A48" s="12">
        <v>43</v>
      </c>
      <c r="B48" s="14" t="s">
        <v>35</v>
      </c>
      <c r="C48" s="14"/>
      <c r="D48" s="14" t="s">
        <v>15</v>
      </c>
      <c r="E48" s="13">
        <v>8</v>
      </c>
      <c r="F48" s="14">
        <f t="shared" si="3"/>
        <v>103.529411764706</v>
      </c>
      <c r="G48" s="15">
        <f t="shared" si="4"/>
        <v>0.85</v>
      </c>
      <c r="H48" s="19">
        <v>88</v>
      </c>
      <c r="I48" s="16">
        <f t="shared" si="5"/>
        <v>704</v>
      </c>
      <c r="J48" s="14"/>
    </row>
    <row r="49" s="3" customFormat="1" customHeight="1" spans="1:10">
      <c r="A49" s="12" t="s">
        <v>36</v>
      </c>
      <c r="B49" s="25">
        <f>SUM(I6:I48)</f>
        <v>5868.6</v>
      </c>
      <c r="C49" s="26"/>
      <c r="D49" s="26"/>
      <c r="E49" s="27"/>
      <c r="F49" s="26"/>
      <c r="G49" s="26"/>
      <c r="H49" s="26"/>
      <c r="I49" s="26"/>
      <c r="J49" s="31"/>
    </row>
    <row r="50" s="3" customFormat="1" customHeight="1" spans="1:10">
      <c r="A50" s="12" t="s">
        <v>37</v>
      </c>
      <c r="B50" s="28">
        <f>B49</f>
        <v>5868.6</v>
      </c>
      <c r="C50" s="29"/>
      <c r="D50" s="29"/>
      <c r="E50" s="27"/>
      <c r="F50" s="29"/>
      <c r="G50" s="29"/>
      <c r="H50" s="29"/>
      <c r="I50" s="29"/>
      <c r="J50" s="32"/>
    </row>
    <row r="51" s="3" customFormat="1" customHeight="1" spans="1:5">
      <c r="A51" s="3" t="s">
        <v>38</v>
      </c>
      <c r="E51" s="5"/>
    </row>
  </sheetData>
  <mergeCells count="4">
    <mergeCell ref="A1:J1"/>
    <mergeCell ref="B49:J49"/>
    <mergeCell ref="B50:J50"/>
    <mergeCell ref="A51:J51"/>
  </mergeCells>
  <conditionalFormatting sqref="B6:B48">
    <cfRule type="duplicateValues" dxfId="0" priority="2"/>
  </conditionalFormatting>
  <conditionalFormatting sqref="B1:B48 B51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2125" bottom="0.60625" header="0.5" footer="0.5"/>
  <pageSetup paperSize="9" scale="86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topLeftCell="A13" workbookViewId="0">
      <selection activeCell="J12" sqref="J12"/>
    </sheetView>
  </sheetViews>
  <sheetFormatPr defaultColWidth="9" defaultRowHeight="13.5" outlineLevelCol="1"/>
  <cols>
    <col min="1" max="1" width="11.5"/>
    <col min="2" max="2" width="10.375"/>
  </cols>
  <sheetData>
    <row r="1" spans="1:1">
      <c r="A1" t="s">
        <v>237</v>
      </c>
    </row>
    <row r="2" spans="1:2">
      <c r="A2" s="1" t="s">
        <v>238</v>
      </c>
      <c r="B2" s="1" t="s">
        <v>239</v>
      </c>
    </row>
    <row r="3" spans="1:2">
      <c r="A3" s="2">
        <v>45261</v>
      </c>
      <c r="B3">
        <f>'1'!B33</f>
        <v>1619.4</v>
      </c>
    </row>
    <row r="4" spans="1:2">
      <c r="A4" s="2">
        <v>45262</v>
      </c>
      <c r="B4">
        <v>0</v>
      </c>
    </row>
    <row r="5" spans="1:2">
      <c r="A5" s="2">
        <v>45263</v>
      </c>
      <c r="B5">
        <v>0</v>
      </c>
    </row>
    <row r="6" spans="1:2">
      <c r="A6" s="2">
        <v>45264</v>
      </c>
      <c r="B6">
        <f>'4'!B32</f>
        <v>1643.06</v>
      </c>
    </row>
    <row r="7" spans="1:2">
      <c r="A7" s="2">
        <v>45265</v>
      </c>
      <c r="B7">
        <f>'5'!B34</f>
        <v>1813.1</v>
      </c>
    </row>
    <row r="8" spans="1:2">
      <c r="A8" s="2">
        <v>45266</v>
      </c>
      <c r="B8">
        <f>'6'!B33</f>
        <v>1042.1</v>
      </c>
    </row>
    <row r="9" spans="1:2">
      <c r="A9" s="2">
        <v>45267</v>
      </c>
      <c r="B9">
        <f>'7'!B34</f>
        <v>1243.4</v>
      </c>
    </row>
    <row r="10" spans="1:2">
      <c r="A10" s="2">
        <v>45268</v>
      </c>
      <c r="B10">
        <f>'8'!B34</f>
        <v>1711.2</v>
      </c>
    </row>
    <row r="11" spans="1:2">
      <c r="A11" s="2">
        <v>45269</v>
      </c>
      <c r="B11">
        <f>'9'!B34</f>
        <v>523.88</v>
      </c>
    </row>
    <row r="12" spans="1:2">
      <c r="A12" s="2">
        <v>45270</v>
      </c>
      <c r="B12">
        <v>0</v>
      </c>
    </row>
    <row r="13" spans="1:2">
      <c r="A13" s="2">
        <v>45271</v>
      </c>
      <c r="B13">
        <f>'11'!B33</f>
        <v>760.55</v>
      </c>
    </row>
    <row r="14" spans="1:2">
      <c r="A14" s="2">
        <v>45272</v>
      </c>
      <c r="B14">
        <f>'12'!B34</f>
        <v>1908.94</v>
      </c>
    </row>
    <row r="15" spans="1:2">
      <c r="A15" s="2">
        <v>45273</v>
      </c>
      <c r="B15">
        <f>'13'!B33</f>
        <v>1663.64</v>
      </c>
    </row>
    <row r="16" spans="1:2">
      <c r="A16" s="2">
        <v>45274</v>
      </c>
      <c r="B16">
        <f>'14'!B31</f>
        <v>1462.35</v>
      </c>
    </row>
    <row r="17" spans="1:2">
      <c r="A17" s="2">
        <v>45275</v>
      </c>
      <c r="B17">
        <f>'15'!B34</f>
        <v>1687.42</v>
      </c>
    </row>
    <row r="18" spans="1:2">
      <c r="A18" s="2">
        <v>45276</v>
      </c>
      <c r="B18">
        <v>0</v>
      </c>
    </row>
    <row r="19" spans="1:2">
      <c r="A19" s="2">
        <v>45277</v>
      </c>
      <c r="B19">
        <v>0</v>
      </c>
    </row>
    <row r="20" spans="1:2">
      <c r="A20" s="2">
        <v>45278</v>
      </c>
      <c r="B20">
        <f>'18'!B34</f>
        <v>1343.5</v>
      </c>
    </row>
    <row r="21" spans="1:2">
      <c r="A21" s="2">
        <v>45279</v>
      </c>
      <c r="B21">
        <f>'19'!B33</f>
        <v>3125.5</v>
      </c>
    </row>
    <row r="22" spans="1:2">
      <c r="A22" s="2">
        <v>45280</v>
      </c>
      <c r="B22">
        <f>'20.'!B34</f>
        <v>1886</v>
      </c>
    </row>
    <row r="23" spans="1:2">
      <c r="A23" s="2">
        <v>45281</v>
      </c>
      <c r="B23">
        <f>'21.'!B30</f>
        <v>1514</v>
      </c>
    </row>
    <row r="24" spans="1:2">
      <c r="A24" s="2">
        <v>45282</v>
      </c>
      <c r="B24">
        <f>'22'!B34</f>
        <v>1563.1</v>
      </c>
    </row>
    <row r="25" spans="1:2">
      <c r="A25" s="2">
        <v>45283</v>
      </c>
      <c r="B25">
        <v>0</v>
      </c>
    </row>
    <row r="26" spans="1:2">
      <c r="A26" s="2">
        <v>45284</v>
      </c>
      <c r="B26">
        <v>0</v>
      </c>
    </row>
    <row r="27" spans="1:2">
      <c r="A27" s="2">
        <v>45285</v>
      </c>
      <c r="B27">
        <f>'25'!B34</f>
        <v>1615.8</v>
      </c>
    </row>
    <row r="28" spans="1:2">
      <c r="A28" s="2">
        <v>45286</v>
      </c>
      <c r="B28">
        <f>'26'!B34</f>
        <v>588.8</v>
      </c>
    </row>
    <row r="29" spans="1:2">
      <c r="A29" s="2">
        <v>45287</v>
      </c>
      <c r="B29">
        <f>'27'!B34</f>
        <v>1726.7</v>
      </c>
    </row>
    <row r="30" spans="1:2">
      <c r="A30" s="2">
        <v>45288</v>
      </c>
      <c r="B30">
        <f>'28'!B32</f>
        <v>2983.36</v>
      </c>
    </row>
    <row r="31" spans="1:2">
      <c r="A31" s="2">
        <v>45289</v>
      </c>
      <c r="B31">
        <f>'29'!B49</f>
        <v>5868.6</v>
      </c>
    </row>
    <row r="32" spans="1:2">
      <c r="A32" s="2">
        <v>45290</v>
      </c>
      <c r="B32">
        <v>0</v>
      </c>
    </row>
    <row r="33" spans="1:2">
      <c r="A33" t="s">
        <v>240</v>
      </c>
      <c r="B33">
        <f>SUM(B3:B32)</f>
        <v>39294.4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</vt:lpstr>
      <vt:lpstr>4</vt:lpstr>
      <vt:lpstr>5</vt:lpstr>
      <vt:lpstr>6</vt:lpstr>
      <vt:lpstr>7</vt:lpstr>
      <vt:lpstr>8</vt:lpstr>
      <vt:lpstr>9</vt:lpstr>
      <vt:lpstr>11</vt:lpstr>
      <vt:lpstr>12</vt:lpstr>
      <vt:lpstr>13</vt:lpstr>
      <vt:lpstr>14</vt:lpstr>
      <vt:lpstr>15</vt:lpstr>
      <vt:lpstr>18</vt:lpstr>
      <vt:lpstr>19</vt:lpstr>
      <vt:lpstr>20.</vt:lpstr>
      <vt:lpstr>21.</vt:lpstr>
      <vt:lpstr>22</vt:lpstr>
      <vt:lpstr>25</vt:lpstr>
      <vt:lpstr>26</vt:lpstr>
      <vt:lpstr>27</vt:lpstr>
      <vt:lpstr>28</vt:lpstr>
      <vt:lpstr>29</vt:lpstr>
      <vt:lpstr>12月合计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2025-02-15T03:06:05Z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