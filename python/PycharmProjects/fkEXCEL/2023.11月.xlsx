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 tabRatio="928" firstSheet="5" activeTab="22"/>
  </bookViews>
  <sheets>
    <sheet name="1" sheetId="47" r:id="rId1"/>
    <sheet name="2" sheetId="6" r:id="rId2"/>
    <sheet name="3" sheetId="41" r:id="rId3"/>
    <sheet name="6" sheetId="11" r:id="rId4"/>
    <sheet name="7" sheetId="12" r:id="rId5"/>
    <sheet name="8" sheetId="13" r:id="rId6"/>
    <sheet name="9" sheetId="32" r:id="rId7"/>
    <sheet name="10" sheetId="42" r:id="rId8"/>
    <sheet name="13" sheetId="17" r:id="rId9"/>
    <sheet name="14" sheetId="18" r:id="rId10"/>
    <sheet name="15" sheetId="19" r:id="rId11"/>
    <sheet name="16" sheetId="43" r:id="rId12"/>
    <sheet name="17" sheetId="44" r:id="rId13"/>
    <sheet name="20." sheetId="24" r:id="rId14"/>
    <sheet name="21." sheetId="22" r:id="rId15"/>
    <sheet name="22" sheetId="34" r:id="rId16"/>
    <sheet name="23" sheetId="35" r:id="rId17"/>
    <sheet name="24" sheetId="25" r:id="rId18"/>
    <sheet name="27" sheetId="28" r:id="rId19"/>
    <sheet name="28" sheetId="48" r:id="rId20"/>
    <sheet name="29" sheetId="45" r:id="rId21"/>
    <sheet name="30" sheetId="38" r:id="rId22"/>
    <sheet name="11月合计" sheetId="7" r:id="rId23"/>
  </sheets>
  <definedNames>
    <definedName name="_xlnm.Print_Area" localSheetId="1">'2'!$A$1:$J$34</definedName>
    <definedName name="_xlnm.Print_Area" localSheetId="3">'6'!$A$1:$J$34</definedName>
    <definedName name="_xlnm.Print_Area" localSheetId="4">'7'!$A$1:$J$36</definedName>
    <definedName name="_xlnm.Print_Area" localSheetId="5">'8'!$A$1:$J$36</definedName>
    <definedName name="_xlnm.Print_Area" localSheetId="8">'13'!$A$1:$J$36</definedName>
    <definedName name="_xlnm.Print_Area" localSheetId="9">'14'!$A$1:$J$35</definedName>
    <definedName name="_xlnm.Print_Area" localSheetId="10">'15'!$A$1:$J$36</definedName>
    <definedName name="_xlnm.Print_Area" localSheetId="14">'21.'!$A$1:$J$36</definedName>
    <definedName name="_xlnm.Print_Area" localSheetId="13">'20.'!$A$1:$J$36</definedName>
    <definedName name="_xlnm.Print_Area" localSheetId="17">'24'!$A$1:$J$36</definedName>
    <definedName name="_xlnm.Print_Area" localSheetId="18">'27'!$A$1:$J$36</definedName>
    <definedName name="_xlnm.Print_Area" localSheetId="6">'9'!$A$1:$J$35</definedName>
    <definedName name="_xlnm.Print_Area" localSheetId="15">'22'!$A$1:$J$35</definedName>
    <definedName name="_xlnm.Print_Area" localSheetId="16">'23'!$A$1:$J$35</definedName>
    <definedName name="_xlnm.Print_Area" localSheetId="21">'30'!$A$1:$J$35</definedName>
    <definedName name="_xlnm.Print_Area" localSheetId="2">'3'!$A$1:$J$36</definedName>
    <definedName name="_xlnm.Print_Area" localSheetId="7">'10'!$A$1:$J$35</definedName>
    <definedName name="_xlnm.Print_Area" localSheetId="11">'16'!$A$1:$J$35</definedName>
    <definedName name="_xlnm.Print_Area" localSheetId="12">'17'!$A$1:$J$36</definedName>
    <definedName name="_xlnm.Print_Area" localSheetId="20">'29'!$A$1:$J$33</definedName>
    <definedName name="_xlnm.Print_Area" localSheetId="0">'1'!$A$1:$J$34</definedName>
    <definedName name="_xlnm.Print_Area" localSheetId="19">'28'!$A$1:$J$35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<sst xmlns="http://schemas.openxmlformats.org/spreadsheetml/2006/main" count="1282" uniqueCount="207">
  <si>
    <t>武汉康恩农贸发展有限公司送货单</t>
  </si>
  <si>
    <t>收货单位：</t>
  </si>
  <si>
    <t>汉南数智化检测分公司</t>
  </si>
  <si>
    <t>配送日期：</t>
  </si>
  <si>
    <t>序号</t>
  </si>
  <si>
    <t>名称</t>
  </si>
  <si>
    <t>规格</t>
  </si>
  <si>
    <t>单位</t>
  </si>
  <si>
    <t>数量</t>
  </si>
  <si>
    <t>超市价格</t>
  </si>
  <si>
    <t>折扣率</t>
  </si>
  <si>
    <t>折后价</t>
  </si>
  <si>
    <t>折后金额</t>
  </si>
  <si>
    <t>备注</t>
  </si>
  <si>
    <t>（新鲜）河粉</t>
  </si>
  <si>
    <t>斤</t>
  </si>
  <si>
    <t>饺子皮</t>
  </si>
  <si>
    <t>热干面（熟）</t>
  </si>
  <si>
    <t>生面窝浆</t>
  </si>
  <si>
    <t>黄豆芽</t>
  </si>
  <si>
    <t>大土豆</t>
  </si>
  <si>
    <t>胡萝卜</t>
  </si>
  <si>
    <t>甜玉米棒</t>
  </si>
  <si>
    <t>个</t>
  </si>
  <si>
    <t>净莴苣</t>
  </si>
  <si>
    <t>平菇</t>
  </si>
  <si>
    <t>熟鹌鹑蛋</t>
  </si>
  <si>
    <t>【鲜】精品五花</t>
  </si>
  <si>
    <t>【鲜】五花肉沫</t>
  </si>
  <si>
    <t>【鲜】猪通排骨</t>
  </si>
  <si>
    <t>金龙鱼玉米油</t>
  </si>
  <si>
    <t>5L*4壶/件</t>
  </si>
  <si>
    <t>件</t>
  </si>
  <si>
    <t>正和珍珠糯米</t>
  </si>
  <si>
    <t>50斤/袋</t>
  </si>
  <si>
    <t>1911老酸奶</t>
  </si>
  <si>
    <t>杯</t>
  </si>
  <si>
    <t>供货合计:</t>
  </si>
  <si>
    <t>金额大写：</t>
  </si>
  <si>
    <t>制表人 ：樊君丽                 收货人：                送货人：</t>
  </si>
  <si>
    <t>生姜</t>
  </si>
  <si>
    <t>小葱</t>
  </si>
  <si>
    <t>板栗米</t>
  </si>
  <si>
    <t>白萝卜</t>
  </si>
  <si>
    <t>有机花菜</t>
  </si>
  <si>
    <t>油麦菜</t>
  </si>
  <si>
    <t>嫩豆腐</t>
  </si>
  <si>
    <t>【鲜】净三黄鸡</t>
  </si>
  <si>
    <t>【鲜】猪脊骨</t>
  </si>
  <si>
    <t>奥利客烘焙调理奶油</t>
  </si>
  <si>
    <t>907g/12瓶/件</t>
  </si>
  <si>
    <t>瓶</t>
  </si>
  <si>
    <t>糯米粉</t>
  </si>
  <si>
    <t>袋</t>
  </si>
  <si>
    <t>食用小苏打</t>
  </si>
  <si>
    <t>140g*50袋/件</t>
  </si>
  <si>
    <t>合鑫泰东北珍珠香米</t>
  </si>
  <si>
    <t>25kg/包</t>
  </si>
  <si>
    <t>干细粉</t>
  </si>
  <si>
    <t>散称</t>
  </si>
  <si>
    <t>馄饨皮</t>
  </si>
  <si>
    <t>白豆角</t>
  </si>
  <si>
    <t>白糯玉米棒（带叶）</t>
  </si>
  <si>
    <t>红椒</t>
  </si>
  <si>
    <t>芜湖青椒</t>
  </si>
  <si>
    <t>冬瓜</t>
  </si>
  <si>
    <t>平包菜</t>
  </si>
  <si>
    <t>红壳鸡蛋</t>
  </si>
  <si>
    <t>12板/件</t>
  </si>
  <si>
    <t>【鲜】猪瘦肉片</t>
  </si>
  <si>
    <t>【鲜】猪五花肉片</t>
  </si>
  <si>
    <t>大圆皮</t>
  </si>
  <si>
    <t>蒜米</t>
  </si>
  <si>
    <t>新鲜毛豆米</t>
  </si>
  <si>
    <t>西红柿</t>
  </si>
  <si>
    <t>金针菇</t>
  </si>
  <si>
    <t>大白菜</t>
  </si>
  <si>
    <t>净鳝鱼</t>
  </si>
  <si>
    <t>皖顺福小米椒</t>
  </si>
  <si>
    <t>2kg*6袋/件</t>
  </si>
  <si>
    <t>卤牛肉</t>
  </si>
  <si>
    <t>大红薯</t>
  </si>
  <si>
    <t>西芹</t>
  </si>
  <si>
    <t>净芋头</t>
  </si>
  <si>
    <t>（去皮，小）</t>
  </si>
  <si>
    <t>鲜香菇</t>
  </si>
  <si>
    <t>韭菜</t>
  </si>
  <si>
    <t>【鲜】净麻鸭</t>
  </si>
  <si>
    <t>光明健能酸奶180g</t>
  </si>
  <si>
    <t>180g</t>
  </si>
  <si>
    <t>铁棍山药</t>
  </si>
  <si>
    <t>上海青（小颗）</t>
  </si>
  <si>
    <t>薄干子</t>
  </si>
  <si>
    <t>【鲜】猪后腿肉</t>
  </si>
  <si>
    <t>爆浆糍粑</t>
  </si>
  <si>
    <t>300克</t>
  </si>
  <si>
    <t>李锦记蒸鱼豉油1.9L</t>
  </si>
  <si>
    <t>1.9L*6瓶/件</t>
  </si>
  <si>
    <t>海天金标生抽1.9L</t>
  </si>
  <si>
    <t>1.9L*6壶/件</t>
  </si>
  <si>
    <t>箱</t>
  </si>
  <si>
    <t>新鲜红小米椒</t>
  </si>
  <si>
    <t>大藕</t>
  </si>
  <si>
    <t>黄瓜</t>
  </si>
  <si>
    <t>老南瓜</t>
  </si>
  <si>
    <t>生菜</t>
  </si>
  <si>
    <t>薄千张</t>
  </si>
  <si>
    <t>【鲜】猪瘦肉丝</t>
  </si>
  <si>
    <t>【鲜】猪血</t>
  </si>
  <si>
    <t>糖桂花酱265g</t>
  </si>
  <si>
    <t>265g/瓶</t>
  </si>
  <si>
    <t>鑫怡久久海带丝</t>
  </si>
  <si>
    <t>19斤/件</t>
  </si>
  <si>
    <t>卤牛肚</t>
  </si>
  <si>
    <t>西兰花</t>
  </si>
  <si>
    <t>口蘑</t>
  </si>
  <si>
    <t>细土芹</t>
  </si>
  <si>
    <t>面筋</t>
  </si>
  <si>
    <t>【鲜】净大草鱼</t>
  </si>
  <si>
    <t>思念白糯小汤圆（无馅）</t>
  </si>
  <si>
    <t>500g*20包/件</t>
  </si>
  <si>
    <t>安琪油条脆皮粉</t>
  </si>
  <si>
    <t>南德调味料</t>
  </si>
  <si>
    <t>150g*46袋</t>
  </si>
  <si>
    <t>孝感米酒900g</t>
  </si>
  <si>
    <t>900g*6瓶/件</t>
  </si>
  <si>
    <t>烧麦皮</t>
  </si>
  <si>
    <t>四季豆</t>
  </si>
  <si>
    <t>【鲜】净牛蛙</t>
  </si>
  <si>
    <t>劲宝超级生粉</t>
  </si>
  <si>
    <t>5kg</t>
  </si>
  <si>
    <t>云鹤精制碘盐</t>
  </si>
  <si>
    <t>500g*50袋/件</t>
  </si>
  <si>
    <t>永超榨菜</t>
  </si>
  <si>
    <t>8斤</t>
  </si>
  <si>
    <t>紫长茄子（细长）</t>
  </si>
  <si>
    <t>笋瓜</t>
  </si>
  <si>
    <t>【鲜】猪脚</t>
  </si>
  <si>
    <t>水塔陈醋</t>
  </si>
  <si>
    <t>鑫海贸紫菜50g</t>
  </si>
  <si>
    <t>50g*48包</t>
  </si>
  <si>
    <t>包</t>
  </si>
  <si>
    <t>厚干子</t>
  </si>
  <si>
    <t>虾皮</t>
  </si>
  <si>
    <t>大桥鸡精900g</t>
  </si>
  <si>
    <t>900g*10袋/件</t>
  </si>
  <si>
    <t>青豆角</t>
  </si>
  <si>
    <t>海天精制蚝油6kg</t>
  </si>
  <si>
    <t>6kg*2桶</t>
  </si>
  <si>
    <t>桶</t>
  </si>
  <si>
    <t>上海青（大颗）</t>
  </si>
  <si>
    <t>华英鸭血</t>
  </si>
  <si>
    <t>300g</t>
  </si>
  <si>
    <t>盒</t>
  </si>
  <si>
    <t>鲜羊肉（纯肉去骨）</t>
  </si>
  <si>
    <t>干黑木耳</t>
  </si>
  <si>
    <t>红豆</t>
  </si>
  <si>
    <t>黑豆</t>
  </si>
  <si>
    <t>蒜苗</t>
  </si>
  <si>
    <t>菠菜</t>
  </si>
  <si>
    <t>香菜</t>
  </si>
  <si>
    <t>香蕉</t>
  </si>
  <si>
    <t>干红枣片</t>
  </si>
  <si>
    <t>干辣椒节</t>
  </si>
  <si>
    <t>五色糙米</t>
  </si>
  <si>
    <t>惠万家烟鸭胸</t>
  </si>
  <si>
    <t>5公斤/件/（32个）</t>
  </si>
  <si>
    <t>红皮洋葱</t>
  </si>
  <si>
    <t>青杭椒</t>
  </si>
  <si>
    <t>公螃蟹（4两）</t>
  </si>
  <si>
    <t>只</t>
  </si>
  <si>
    <t>神舟雪花鸡柳</t>
  </si>
  <si>
    <t>900g/袋</t>
  </si>
  <si>
    <t>芝麻酱</t>
  </si>
  <si>
    <t>云南蜜桔</t>
  </si>
  <si>
    <t>清水笋丝</t>
  </si>
  <si>
    <t>2.5kg*6包/件</t>
  </si>
  <si>
    <t>坛坛乡剁椒1.15kg</t>
  </si>
  <si>
    <t>1.15kg*6瓶/件</t>
  </si>
  <si>
    <t>卤牛骨头</t>
  </si>
  <si>
    <t>青椒</t>
  </si>
  <si>
    <t>小白菜</t>
  </si>
  <si>
    <t>【鲜】基围虾</t>
  </si>
  <si>
    <t>鑫石羊郫县豆瓣酱1kg</t>
  </si>
  <si>
    <t>1kg*8桶/件</t>
  </si>
  <si>
    <t>紫薯</t>
  </si>
  <si>
    <t>【鲜】净黄骨鱼</t>
  </si>
  <si>
    <t>苏北大米</t>
  </si>
  <si>
    <t>20kg/袋</t>
  </si>
  <si>
    <t>燕麦片</t>
  </si>
  <si>
    <t>顺发鸡翅中</t>
  </si>
  <si>
    <t>1kg*10袋/件</t>
  </si>
  <si>
    <t>福达坊芝麻香油</t>
  </si>
  <si>
    <t>360ml*12瓶</t>
  </si>
  <si>
    <t>干莲子米（去芯）</t>
  </si>
  <si>
    <t>卤香干</t>
  </si>
  <si>
    <t>橙子</t>
  </si>
  <si>
    <t>【鲜】筒子骨</t>
  </si>
  <si>
    <t>安卓中号蛋挞皮 20g*60个*5袋/件</t>
  </si>
  <si>
    <t>白芝麻</t>
  </si>
  <si>
    <t>鑫怡久久海带头</t>
  </si>
  <si>
    <t>9KG/件</t>
  </si>
  <si>
    <t>红米</t>
  </si>
  <si>
    <t>39号食堂</t>
  </si>
  <si>
    <t>日期</t>
  </si>
  <si>
    <t>单1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</si>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</sst>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[DBNum2][$RMB]General;[Red][DBNum2][$RMB]General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6"/>
      <color rgb="FF00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opLeftCell="A9" workbookViewId="0">
      <selection activeCell="F19" sqref="F19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4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6" width="11.6666666666667" style="4" customWidth="1"/>
    <col min="16327" max="16327" width="11.6666666666667" style="4"/>
    <col min="16328" max="16333" width="11" style="4"/>
    <col min="16334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4" customFormat="1" customHeight="1" spans="1:2">
      <c r="A3" s="4" t="s">
        <v>1</v>
      </c>
      <c r="B3" s="4" t="s">
        <v>2</v>
      </c>
    </row>
    <row r="4" s="4" customFormat="1" customHeight="1" spans="1:10">
      <c r="A4" s="4" t="s">
        <v>3</v>
      </c>
      <c r="B4" s="9">
        <v>45231</v>
      </c>
      <c r="C4" s="9"/>
      <c r="D4" s="10"/>
      <c r="E4" s="10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 t="shared" ref="F6:F12" si="0">H6/0.85</f>
        <v>3.52941176470588</v>
      </c>
      <c r="G6" s="15">
        <f t="shared" ref="G6:G12" si="1">H6/F6</f>
        <v>0.85</v>
      </c>
      <c r="H6" s="16">
        <v>3</v>
      </c>
      <c r="I6" s="16">
        <f t="shared" ref="I6:I12" si="2">E6*H6</f>
        <v>21</v>
      </c>
      <c r="J6" s="12"/>
    </row>
    <row r="7" s="4" customFormat="1" ht="16" customHeight="1" spans="1:10">
      <c r="A7" s="12">
        <v>2</v>
      </c>
      <c r="B7" s="12" t="s">
        <v>16</v>
      </c>
      <c r="C7" s="12"/>
      <c r="D7" s="13" t="s">
        <v>15</v>
      </c>
      <c r="E7" s="13">
        <v>5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17.5</v>
      </c>
      <c r="J7" s="12"/>
    </row>
    <row r="8" s="4" customFormat="1" ht="16" customHeight="1" spans="1:10">
      <c r="A8" s="12">
        <v>3</v>
      </c>
      <c r="B8" s="12" t="s">
        <v>17</v>
      </c>
      <c r="C8" s="12"/>
      <c r="D8" s="13" t="s">
        <v>15</v>
      </c>
      <c r="E8" s="13">
        <v>5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17.5</v>
      </c>
      <c r="J8" s="12"/>
    </row>
    <row r="9" s="4" customFormat="1" ht="16" customHeight="1" spans="1:10">
      <c r="A9" s="12">
        <v>4</v>
      </c>
      <c r="B9" s="17" t="s">
        <v>18</v>
      </c>
      <c r="C9" s="17"/>
      <c r="D9" s="13" t="s">
        <v>15</v>
      </c>
      <c r="E9" s="13">
        <v>4</v>
      </c>
      <c r="F9" s="14">
        <f t="shared" si="0"/>
        <v>7.05882352941176</v>
      </c>
      <c r="G9" s="15">
        <f t="shared" si="1"/>
        <v>0.85</v>
      </c>
      <c r="H9" s="16">
        <v>6</v>
      </c>
      <c r="I9" s="16">
        <f t="shared" si="2"/>
        <v>24</v>
      </c>
      <c r="J9" s="12"/>
    </row>
    <row r="10" s="4" customFormat="1" ht="16" customHeight="1" spans="1:10">
      <c r="A10" s="12">
        <v>5</v>
      </c>
      <c r="B10" s="17" t="s">
        <v>19</v>
      </c>
      <c r="C10" s="17"/>
      <c r="D10" s="13" t="s">
        <v>15</v>
      </c>
      <c r="E10" s="13">
        <v>13</v>
      </c>
      <c r="F10" s="14">
        <f t="shared" si="0"/>
        <v>2.94117647058824</v>
      </c>
      <c r="G10" s="15">
        <f t="shared" si="1"/>
        <v>0.85</v>
      </c>
      <c r="H10" s="16">
        <v>2.5</v>
      </c>
      <c r="I10" s="16">
        <f t="shared" si="2"/>
        <v>32.5</v>
      </c>
      <c r="J10" s="12"/>
    </row>
    <row r="11" s="4" customFormat="1" ht="16" customHeight="1" spans="1:10">
      <c r="A11" s="12">
        <v>6</v>
      </c>
      <c r="B11" s="12" t="s">
        <v>20</v>
      </c>
      <c r="C11" s="12"/>
      <c r="D11" s="13" t="s">
        <v>15</v>
      </c>
      <c r="E11" s="13">
        <v>18</v>
      </c>
      <c r="F11" s="14">
        <f t="shared" si="0"/>
        <v>4.11764705882353</v>
      </c>
      <c r="G11" s="15">
        <f t="shared" si="1"/>
        <v>0.85</v>
      </c>
      <c r="H11" s="16">
        <v>3.5</v>
      </c>
      <c r="I11" s="16">
        <f t="shared" si="2"/>
        <v>63</v>
      </c>
      <c r="J11" s="12"/>
    </row>
    <row r="12" s="4" customFormat="1" ht="16" customHeight="1" spans="1:10">
      <c r="A12" s="12">
        <v>7</v>
      </c>
      <c r="B12" s="12" t="s">
        <v>21</v>
      </c>
      <c r="C12" s="12"/>
      <c r="D12" s="13" t="s">
        <v>15</v>
      </c>
      <c r="E12" s="13">
        <v>4</v>
      </c>
      <c r="F12" s="14">
        <f t="shared" si="0"/>
        <v>2.94117647058824</v>
      </c>
      <c r="G12" s="15">
        <f t="shared" si="1"/>
        <v>0.85</v>
      </c>
      <c r="H12" s="16">
        <v>2.5</v>
      </c>
      <c r="I12" s="16">
        <f t="shared" si="2"/>
        <v>10</v>
      </c>
      <c r="J12" s="12"/>
    </row>
    <row r="13" s="4" customFormat="1" ht="16" customHeight="1" spans="1:10">
      <c r="A13" s="12">
        <v>8</v>
      </c>
      <c r="B13" s="12" t="s">
        <v>22</v>
      </c>
      <c r="C13" s="12"/>
      <c r="D13" s="13" t="s">
        <v>23</v>
      </c>
      <c r="E13" s="13">
        <v>16</v>
      </c>
      <c r="F13" s="14">
        <f t="shared" ref="F13:F23" si="3">H13/0.85</f>
        <v>3.52941176470588</v>
      </c>
      <c r="G13" s="15">
        <f t="shared" ref="G13:G23" si="4">H13/F13</f>
        <v>0.85</v>
      </c>
      <c r="H13" s="16">
        <v>3</v>
      </c>
      <c r="I13" s="16">
        <f t="shared" ref="I13:I23" si="5">E13*H13</f>
        <v>48</v>
      </c>
      <c r="J13" s="12"/>
    </row>
    <row r="14" s="4" customFormat="1" ht="16" customHeight="1" spans="1:10">
      <c r="A14" s="12">
        <v>9</v>
      </c>
      <c r="B14" s="17" t="s">
        <v>24</v>
      </c>
      <c r="C14" s="17"/>
      <c r="D14" s="18" t="s">
        <v>15</v>
      </c>
      <c r="E14" s="18">
        <v>14</v>
      </c>
      <c r="F14" s="14">
        <f t="shared" si="3"/>
        <v>6.82352941176471</v>
      </c>
      <c r="G14" s="15">
        <f t="shared" si="4"/>
        <v>0.85</v>
      </c>
      <c r="H14" s="16">
        <v>5.8</v>
      </c>
      <c r="I14" s="16">
        <f t="shared" si="5"/>
        <v>81.2</v>
      </c>
      <c r="J14" s="17"/>
    </row>
    <row r="15" s="4" customFormat="1" ht="16" customHeight="1" spans="1:10">
      <c r="A15" s="12">
        <v>10</v>
      </c>
      <c r="B15" s="17" t="s">
        <v>25</v>
      </c>
      <c r="C15" s="17"/>
      <c r="D15" s="18" t="s">
        <v>15</v>
      </c>
      <c r="E15" s="18">
        <v>5</v>
      </c>
      <c r="F15" s="14">
        <f t="shared" si="3"/>
        <v>9.17647058823529</v>
      </c>
      <c r="G15" s="15">
        <f t="shared" si="4"/>
        <v>0.85</v>
      </c>
      <c r="H15" s="16">
        <v>7.8</v>
      </c>
      <c r="I15" s="16">
        <f t="shared" si="5"/>
        <v>39</v>
      </c>
      <c r="J15" s="17"/>
    </row>
    <row r="16" s="4" customFormat="1" ht="16" customHeight="1" spans="1:10">
      <c r="A16" s="12">
        <v>11</v>
      </c>
      <c r="B16" s="17" t="s">
        <v>26</v>
      </c>
      <c r="C16" s="17"/>
      <c r="D16" s="18" t="s">
        <v>15</v>
      </c>
      <c r="E16" s="18">
        <v>3</v>
      </c>
      <c r="F16" s="14">
        <f t="shared" si="3"/>
        <v>16.2352941176471</v>
      </c>
      <c r="G16" s="15">
        <f t="shared" si="4"/>
        <v>0.85</v>
      </c>
      <c r="H16" s="16">
        <v>13.8</v>
      </c>
      <c r="I16" s="16">
        <f t="shared" si="5"/>
        <v>41.4</v>
      </c>
      <c r="J16" s="17"/>
    </row>
    <row r="17" s="4" customFormat="1" ht="16" customHeight="1" spans="1:10">
      <c r="A17" s="12">
        <v>12</v>
      </c>
      <c r="B17" s="17" t="s">
        <v>27</v>
      </c>
      <c r="C17" s="17"/>
      <c r="D17" s="18" t="s">
        <v>15</v>
      </c>
      <c r="E17" s="18">
        <v>15</v>
      </c>
      <c r="F17" s="14">
        <f t="shared" si="3"/>
        <v>22.9411764705882</v>
      </c>
      <c r="G17" s="15">
        <f t="shared" si="4"/>
        <v>0.85</v>
      </c>
      <c r="H17" s="16">
        <v>19.5</v>
      </c>
      <c r="I17" s="16">
        <f t="shared" si="5"/>
        <v>292.5</v>
      </c>
      <c r="J17" s="17"/>
    </row>
    <row r="18" s="4" customFormat="1" ht="16" customHeight="1" spans="1:10">
      <c r="A18" s="12">
        <v>13</v>
      </c>
      <c r="B18" s="17" t="s">
        <v>28</v>
      </c>
      <c r="C18" s="17"/>
      <c r="D18" s="18" t="s">
        <v>15</v>
      </c>
      <c r="E18" s="18">
        <v>2</v>
      </c>
      <c r="F18" s="14">
        <f t="shared" si="3"/>
        <v>16.2352941176471</v>
      </c>
      <c r="G18" s="15">
        <f t="shared" si="4"/>
        <v>0.85</v>
      </c>
      <c r="H18" s="16">
        <v>13.8</v>
      </c>
      <c r="I18" s="16">
        <f t="shared" si="5"/>
        <v>27.6</v>
      </c>
      <c r="J18" s="17"/>
    </row>
    <row r="19" s="4" customFormat="1" ht="16" customHeight="1" spans="1:10">
      <c r="A19" s="12">
        <v>14</v>
      </c>
      <c r="B19" s="27" t="s">
        <v>29</v>
      </c>
      <c r="C19" s="12"/>
      <c r="D19" s="13" t="s">
        <v>15</v>
      </c>
      <c r="E19" s="13">
        <v>10</v>
      </c>
      <c r="F19" s="14">
        <f t="shared" si="3"/>
        <v>32.9411764705882</v>
      </c>
      <c r="G19" s="15">
        <f t="shared" si="4"/>
        <v>0.85</v>
      </c>
      <c r="H19" s="16">
        <v>28</v>
      </c>
      <c r="I19" s="16">
        <f t="shared" si="5"/>
        <v>280</v>
      </c>
      <c r="J19" s="12"/>
    </row>
    <row r="20" s="4" customFormat="1" ht="16" customHeight="1" spans="1:10">
      <c r="A20" s="12">
        <v>15</v>
      </c>
      <c r="B20" s="17" t="s">
        <v>30</v>
      </c>
      <c r="C20" s="17" t="s">
        <v>31</v>
      </c>
      <c r="D20" s="18" t="s">
        <v>32</v>
      </c>
      <c r="E20" s="18">
        <v>2</v>
      </c>
      <c r="F20" s="14">
        <f t="shared" si="3"/>
        <v>411.764705882353</v>
      </c>
      <c r="G20" s="15">
        <f t="shared" si="4"/>
        <v>0.85</v>
      </c>
      <c r="H20" s="16">
        <v>350</v>
      </c>
      <c r="I20" s="16">
        <f t="shared" si="5"/>
        <v>700</v>
      </c>
      <c r="J20" s="17"/>
    </row>
    <row r="21" s="4" customFormat="1" ht="16" customHeight="1" spans="1:10">
      <c r="A21" s="12">
        <v>16</v>
      </c>
      <c r="B21" s="17" t="s">
        <v>33</v>
      </c>
      <c r="C21" s="17" t="s">
        <v>34</v>
      </c>
      <c r="D21" s="18" t="s">
        <v>15</v>
      </c>
      <c r="E21" s="18">
        <v>4</v>
      </c>
      <c r="F21" s="14">
        <f t="shared" si="3"/>
        <v>5.76470588235294</v>
      </c>
      <c r="G21" s="15">
        <f t="shared" si="4"/>
        <v>0.85</v>
      </c>
      <c r="H21" s="16">
        <v>4.9</v>
      </c>
      <c r="I21" s="16">
        <f t="shared" si="5"/>
        <v>19.6</v>
      </c>
      <c r="J21" s="17"/>
    </row>
    <row r="22" s="4" customFormat="1" ht="16" customHeight="1" spans="1:10">
      <c r="A22" s="12">
        <v>17</v>
      </c>
      <c r="B22" s="17" t="s">
        <v>35</v>
      </c>
      <c r="C22" s="17"/>
      <c r="D22" s="18" t="s">
        <v>36</v>
      </c>
      <c r="E22" s="18">
        <v>50</v>
      </c>
      <c r="F22" s="14">
        <f t="shared" si="3"/>
        <v>4.11764705882353</v>
      </c>
      <c r="G22" s="15">
        <f t="shared" si="4"/>
        <v>0.85</v>
      </c>
      <c r="H22" s="16">
        <v>3.5</v>
      </c>
      <c r="I22" s="16">
        <f t="shared" si="5"/>
        <v>175</v>
      </c>
      <c r="J22" s="17"/>
    </row>
    <row r="23" s="4" customFormat="1" ht="16" customHeight="1" spans="1:10">
      <c r="A23" s="12">
        <v>18</v>
      </c>
      <c r="B23" s="17"/>
      <c r="C23" s="17"/>
      <c r="D23" s="18"/>
      <c r="E23" s="18"/>
      <c r="F23" s="14"/>
      <c r="G23" s="15"/>
      <c r="H23" s="19"/>
      <c r="I23" s="16"/>
      <c r="J23" s="17"/>
    </row>
    <row r="24" s="4" customFormat="1" ht="16" customHeight="1" spans="1:10">
      <c r="A24" s="12">
        <v>19</v>
      </c>
      <c r="B24" s="17"/>
      <c r="C24" s="17"/>
      <c r="D24" s="18"/>
      <c r="E24" s="18"/>
      <c r="F24" s="14"/>
      <c r="G24" s="15"/>
      <c r="H24" s="19"/>
      <c r="I24" s="16"/>
      <c r="J24" s="17"/>
    </row>
    <row r="25" s="4" customFormat="1" ht="16" customHeight="1" spans="1:10">
      <c r="A25" s="12">
        <v>20</v>
      </c>
      <c r="B25" s="12"/>
      <c r="C25" s="12"/>
      <c r="D25" s="13"/>
      <c r="E25" s="13"/>
      <c r="F25" s="14"/>
      <c r="G25" s="15"/>
      <c r="H25" s="16"/>
      <c r="I25" s="16"/>
      <c r="J25" s="12"/>
    </row>
    <row r="26" s="4" customFormat="1" ht="16" customHeight="1" spans="1:10">
      <c r="A26" s="12">
        <v>21</v>
      </c>
      <c r="B26" s="17"/>
      <c r="C26" s="17"/>
      <c r="D26" s="13"/>
      <c r="E26" s="13"/>
      <c r="F26" s="14"/>
      <c r="G26" s="15"/>
      <c r="H26" s="16"/>
      <c r="I26" s="16"/>
      <c r="J26" s="12"/>
    </row>
    <row r="27" s="4" customFormat="1" ht="16" customHeight="1" spans="1:10">
      <c r="A27" s="12">
        <v>22</v>
      </c>
      <c r="B27" s="17"/>
      <c r="C27" s="17"/>
      <c r="D27" s="17"/>
      <c r="E27" s="18"/>
      <c r="F27" s="14"/>
      <c r="G27" s="15"/>
      <c r="H27" s="16"/>
      <c r="I27" s="16"/>
      <c r="J27" s="17"/>
    </row>
    <row r="28" s="4" customFormat="1" ht="16" customHeight="1" spans="1:10">
      <c r="A28" s="12">
        <v>23</v>
      </c>
      <c r="B28" s="12"/>
      <c r="C28" s="12"/>
      <c r="D28" s="17"/>
      <c r="E28" s="13"/>
      <c r="F28" s="14"/>
      <c r="G28" s="15"/>
      <c r="H28" s="16"/>
      <c r="I28" s="16"/>
      <c r="J28" s="12"/>
    </row>
    <row r="29" s="4" customFormat="1" ht="16" customHeight="1" spans="1:10">
      <c r="A29" s="12">
        <v>24</v>
      </c>
      <c r="B29" s="27"/>
      <c r="C29" s="12"/>
      <c r="D29" s="17"/>
      <c r="E29" s="13"/>
      <c r="F29" s="14"/>
      <c r="G29" s="15"/>
      <c r="H29" s="16"/>
      <c r="I29" s="16"/>
      <c r="J29" s="12"/>
    </row>
    <row r="30" s="4" customFormat="1" ht="16" customHeight="1" spans="1:10">
      <c r="A30" s="12">
        <v>25</v>
      </c>
      <c r="B30" s="12"/>
      <c r="C30" s="12"/>
      <c r="D30" s="12"/>
      <c r="E30" s="13"/>
      <c r="F30" s="14"/>
      <c r="G30" s="15"/>
      <c r="H30" s="16"/>
      <c r="I30" s="16"/>
      <c r="J30" s="12"/>
    </row>
    <row r="31" s="4" customFormat="1" ht="16" customHeight="1" spans="1:10">
      <c r="A31" s="12">
        <v>26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4" customFormat="1" customHeight="1" spans="1:10">
      <c r="A32" s="12" t="s">
        <v>37</v>
      </c>
      <c r="B32" s="20">
        <f>SUM(I6:I31)</f>
        <v>1889.8</v>
      </c>
      <c r="C32" s="21"/>
      <c r="D32" s="21"/>
      <c r="E32" s="21"/>
      <c r="F32" s="21"/>
      <c r="G32" s="21"/>
      <c r="H32" s="21"/>
      <c r="I32" s="21"/>
      <c r="J32" s="25"/>
    </row>
    <row r="33" s="4" customFormat="1" customHeight="1" spans="1:10">
      <c r="A33" s="12" t="s">
        <v>38</v>
      </c>
      <c r="B33" s="23">
        <f>B32</f>
        <v>1889.8</v>
      </c>
      <c r="C33" s="24"/>
      <c r="D33" s="24"/>
      <c r="E33" s="24"/>
      <c r="F33" s="24"/>
      <c r="G33" s="24"/>
      <c r="H33" s="24"/>
      <c r="I33" s="24"/>
      <c r="J33" s="26"/>
    </row>
    <row r="34" s="4" customFormat="1" customHeight="1" spans="1:1">
      <c r="A34" s="4" t="s">
        <v>39</v>
      </c>
    </row>
  </sheetData>
  <mergeCells count="4">
    <mergeCell ref="A1:J1"/>
    <mergeCell ref="B32:J32"/>
    <mergeCell ref="B33:J33"/>
    <mergeCell ref="A34:J34"/>
  </mergeCells>
  <conditionalFormatting sqref="B6:B31">
    <cfRule type="duplicateValues" dxfId="0" priority="1"/>
  </conditionalFormatting>
  <conditionalFormatting sqref="B6:C25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workbookViewId="0">
      <pane ySplit="5" topLeftCell="A23" activePane="bottomLeft" state="frozen"/>
      <selection/>
      <selection pane="bottomLeft" activeCell="I2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4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6" width="11.6666666666667" style="4" customWidth="1"/>
    <col min="16327" max="16327" width="11.6666666666667" style="4"/>
    <col min="16328" max="16333" width="11" style="4"/>
    <col min="16334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4" customFormat="1" customHeight="1" spans="1:2">
      <c r="A3" s="4" t="s">
        <v>1</v>
      </c>
      <c r="B3" s="4" t="s">
        <v>2</v>
      </c>
    </row>
    <row r="4" s="4" customFormat="1" customHeight="1" spans="1:10">
      <c r="A4" s="4" t="s">
        <v>3</v>
      </c>
      <c r="B4" s="9">
        <v>45232</v>
      </c>
      <c r="C4" s="9"/>
      <c r="D4" s="10"/>
      <c r="E4" s="10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16</v>
      </c>
      <c r="C6" s="12"/>
      <c r="D6" s="13" t="s">
        <v>15</v>
      </c>
      <c r="E6" s="13">
        <v>4</v>
      </c>
      <c r="F6" s="14">
        <f t="shared" ref="F6:F12" si="0">H6/0.85</f>
        <v>4.11764705882353</v>
      </c>
      <c r="G6" s="15">
        <f t="shared" ref="G6:G12" si="1">H6/F6</f>
        <v>0.85</v>
      </c>
      <c r="H6" s="16">
        <v>3.5</v>
      </c>
      <c r="I6" s="16">
        <f t="shared" ref="I6:I12" si="2">E6*H6</f>
        <v>14</v>
      </c>
      <c r="J6" s="12"/>
    </row>
    <row r="7" s="4" customFormat="1" ht="16" customHeight="1" spans="1:10">
      <c r="A7" s="12">
        <v>2</v>
      </c>
      <c r="B7" s="12" t="s">
        <v>17</v>
      </c>
      <c r="C7" s="12"/>
      <c r="D7" s="13" t="s">
        <v>15</v>
      </c>
      <c r="E7" s="13">
        <v>2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7</v>
      </c>
      <c r="J7" s="12"/>
    </row>
    <row r="8" s="4" customFormat="1" ht="16" customHeight="1" spans="1:10">
      <c r="A8" s="12">
        <v>3</v>
      </c>
      <c r="B8" s="12" t="s">
        <v>40</v>
      </c>
      <c r="C8" s="12"/>
      <c r="D8" s="13" t="s">
        <v>15</v>
      </c>
      <c r="E8" s="13">
        <v>5</v>
      </c>
      <c r="F8" s="14">
        <f t="shared" si="0"/>
        <v>15.0588235294118</v>
      </c>
      <c r="G8" s="15">
        <f t="shared" si="1"/>
        <v>0.85</v>
      </c>
      <c r="H8" s="16">
        <v>12.8</v>
      </c>
      <c r="I8" s="16">
        <f t="shared" si="2"/>
        <v>64</v>
      </c>
      <c r="J8" s="12"/>
    </row>
    <row r="9" s="4" customFormat="1" ht="16" customHeight="1" spans="1:10">
      <c r="A9" s="12">
        <v>4</v>
      </c>
      <c r="B9" s="17" t="s">
        <v>41</v>
      </c>
      <c r="C9" s="17"/>
      <c r="D9" s="13" t="s">
        <v>15</v>
      </c>
      <c r="E9" s="13">
        <v>2</v>
      </c>
      <c r="F9" s="14">
        <f t="shared" si="0"/>
        <v>8</v>
      </c>
      <c r="G9" s="15">
        <f t="shared" si="1"/>
        <v>0.85</v>
      </c>
      <c r="H9" s="16">
        <v>6.8</v>
      </c>
      <c r="I9" s="16">
        <f t="shared" si="2"/>
        <v>13.6</v>
      </c>
      <c r="J9" s="12"/>
    </row>
    <row r="10" s="4" customFormat="1" ht="16" customHeight="1" spans="1:10">
      <c r="A10" s="12">
        <v>5</v>
      </c>
      <c r="B10" s="17" t="s">
        <v>42</v>
      </c>
      <c r="C10" s="17"/>
      <c r="D10" s="13" t="s">
        <v>15</v>
      </c>
      <c r="E10" s="13">
        <v>6</v>
      </c>
      <c r="F10" s="14">
        <f t="shared" si="0"/>
        <v>21.1764705882353</v>
      </c>
      <c r="G10" s="15">
        <f t="shared" si="1"/>
        <v>0.85</v>
      </c>
      <c r="H10" s="16">
        <v>18</v>
      </c>
      <c r="I10" s="16">
        <f t="shared" si="2"/>
        <v>108</v>
      </c>
      <c r="J10" s="12"/>
    </row>
    <row r="11" s="4" customFormat="1" ht="16" customHeight="1" spans="1:10">
      <c r="A11" s="12">
        <v>6</v>
      </c>
      <c r="B11" s="12" t="s">
        <v>43</v>
      </c>
      <c r="C11" s="12"/>
      <c r="D11" s="13" t="s">
        <v>15</v>
      </c>
      <c r="E11" s="13">
        <v>3</v>
      </c>
      <c r="F11" s="14">
        <f t="shared" si="0"/>
        <v>2.35294117647059</v>
      </c>
      <c r="G11" s="15">
        <f t="shared" si="1"/>
        <v>0.85</v>
      </c>
      <c r="H11" s="16">
        <v>2</v>
      </c>
      <c r="I11" s="16">
        <f t="shared" si="2"/>
        <v>6</v>
      </c>
      <c r="J11" s="12"/>
    </row>
    <row r="12" s="4" customFormat="1" ht="16" customHeight="1" spans="1:10">
      <c r="A12" s="12">
        <v>7</v>
      </c>
      <c r="B12" s="12" t="s">
        <v>44</v>
      </c>
      <c r="C12" s="12"/>
      <c r="D12" s="13" t="s">
        <v>15</v>
      </c>
      <c r="E12" s="13">
        <v>15</v>
      </c>
      <c r="F12" s="14">
        <f t="shared" si="0"/>
        <v>5.29411764705882</v>
      </c>
      <c r="G12" s="15">
        <f t="shared" si="1"/>
        <v>0.85</v>
      </c>
      <c r="H12" s="16">
        <v>4.5</v>
      </c>
      <c r="I12" s="16">
        <f t="shared" si="2"/>
        <v>67.5</v>
      </c>
      <c r="J12" s="12"/>
    </row>
    <row r="13" s="4" customFormat="1" ht="16" customHeight="1" spans="1:10">
      <c r="A13" s="12">
        <v>8</v>
      </c>
      <c r="B13" s="12" t="s">
        <v>45</v>
      </c>
      <c r="C13" s="12"/>
      <c r="D13" s="13" t="s">
        <v>15</v>
      </c>
      <c r="E13" s="13">
        <v>13</v>
      </c>
      <c r="F13" s="14">
        <f t="shared" ref="F13:F22" si="3">H13/0.85</f>
        <v>5.29411764705882</v>
      </c>
      <c r="G13" s="15">
        <f t="shared" ref="G13:G22" si="4">H13/F13</f>
        <v>0.85</v>
      </c>
      <c r="H13" s="16">
        <v>4.5</v>
      </c>
      <c r="I13" s="16">
        <f t="shared" ref="I13:I22" si="5">E13*H13</f>
        <v>58.5</v>
      </c>
      <c r="J13" s="12"/>
    </row>
    <row r="14" s="4" customFormat="1" ht="16" customHeight="1" spans="1:10">
      <c r="A14" s="12">
        <v>9</v>
      </c>
      <c r="B14" s="17" t="s">
        <v>46</v>
      </c>
      <c r="C14" s="17"/>
      <c r="D14" s="18" t="s">
        <v>15</v>
      </c>
      <c r="E14" s="18">
        <v>18</v>
      </c>
      <c r="F14" s="14">
        <f t="shared" si="3"/>
        <v>4.11764705882353</v>
      </c>
      <c r="G14" s="15">
        <f t="shared" si="4"/>
        <v>0.85</v>
      </c>
      <c r="H14" s="16">
        <v>3.5</v>
      </c>
      <c r="I14" s="16">
        <f t="shared" si="5"/>
        <v>63</v>
      </c>
      <c r="J14" s="17"/>
    </row>
    <row r="15" s="4" customFormat="1" ht="16" customHeight="1" spans="1:10">
      <c r="A15" s="12">
        <v>10</v>
      </c>
      <c r="B15" s="17" t="s">
        <v>47</v>
      </c>
      <c r="C15" s="17"/>
      <c r="D15" s="18" t="s">
        <v>15</v>
      </c>
      <c r="E15" s="18">
        <v>22.3</v>
      </c>
      <c r="F15" s="14">
        <f t="shared" si="3"/>
        <v>17.4117647058824</v>
      </c>
      <c r="G15" s="15">
        <f t="shared" si="4"/>
        <v>0.85</v>
      </c>
      <c r="H15" s="16">
        <v>14.8</v>
      </c>
      <c r="I15" s="16">
        <f t="shared" si="5"/>
        <v>330.04</v>
      </c>
      <c r="J15" s="17"/>
    </row>
    <row r="16" s="4" customFormat="1" ht="16" customHeight="1" spans="1:10">
      <c r="A16" s="12">
        <v>11</v>
      </c>
      <c r="B16" s="17" t="s">
        <v>48</v>
      </c>
      <c r="C16" s="17"/>
      <c r="D16" s="18" t="s">
        <v>15</v>
      </c>
      <c r="E16" s="18">
        <v>5</v>
      </c>
      <c r="F16" s="14">
        <f t="shared" si="3"/>
        <v>16.2352941176471</v>
      </c>
      <c r="G16" s="15">
        <f t="shared" si="4"/>
        <v>0.85</v>
      </c>
      <c r="H16" s="16">
        <v>13.8</v>
      </c>
      <c r="I16" s="16">
        <f t="shared" si="5"/>
        <v>69</v>
      </c>
      <c r="J16" s="17"/>
    </row>
    <row r="17" s="4" customFormat="1" ht="16" customHeight="1" spans="1:10">
      <c r="A17" s="12">
        <v>12</v>
      </c>
      <c r="B17" s="17" t="s">
        <v>49</v>
      </c>
      <c r="C17" s="17" t="s">
        <v>50</v>
      </c>
      <c r="D17" s="18" t="s">
        <v>51</v>
      </c>
      <c r="E17" s="18">
        <v>15</v>
      </c>
      <c r="F17" s="14">
        <f t="shared" si="3"/>
        <v>25.8823529411765</v>
      </c>
      <c r="G17" s="15">
        <f t="shared" si="4"/>
        <v>0.85</v>
      </c>
      <c r="H17" s="16">
        <v>22</v>
      </c>
      <c r="I17" s="16">
        <f t="shared" si="5"/>
        <v>330</v>
      </c>
      <c r="J17" s="17"/>
    </row>
    <row r="18" s="4" customFormat="1" ht="16" customHeight="1" spans="1:10">
      <c r="A18" s="12">
        <v>13</v>
      </c>
      <c r="B18" s="17" t="s">
        <v>52</v>
      </c>
      <c r="C18" s="17"/>
      <c r="D18" s="18" t="s">
        <v>53</v>
      </c>
      <c r="E18" s="18">
        <v>7</v>
      </c>
      <c r="F18" s="14">
        <f t="shared" si="3"/>
        <v>11.5294117647059</v>
      </c>
      <c r="G18" s="15">
        <f t="shared" si="4"/>
        <v>0.85</v>
      </c>
      <c r="H18" s="16">
        <v>9.8</v>
      </c>
      <c r="I18" s="16">
        <f t="shared" si="5"/>
        <v>68.6</v>
      </c>
      <c r="J18" s="17"/>
    </row>
    <row r="19" s="4" customFormat="1" ht="16" customHeight="1" spans="1:10">
      <c r="A19" s="12">
        <v>14</v>
      </c>
      <c r="B19" s="12" t="s">
        <v>54</v>
      </c>
      <c r="C19" s="12" t="s">
        <v>55</v>
      </c>
      <c r="D19" s="13" t="s">
        <v>53</v>
      </c>
      <c r="E19" s="13">
        <v>5</v>
      </c>
      <c r="F19" s="14">
        <f t="shared" si="3"/>
        <v>3.29411764705882</v>
      </c>
      <c r="G19" s="15">
        <f t="shared" si="4"/>
        <v>0.85</v>
      </c>
      <c r="H19" s="16">
        <v>2.8</v>
      </c>
      <c r="I19" s="16">
        <f t="shared" si="5"/>
        <v>14</v>
      </c>
      <c r="J19" s="12"/>
    </row>
    <row r="20" s="4" customFormat="1" ht="16" customHeight="1" spans="1:10">
      <c r="A20" s="12">
        <v>15</v>
      </c>
      <c r="B20" s="17" t="s">
        <v>56</v>
      </c>
      <c r="C20" s="17" t="s">
        <v>57</v>
      </c>
      <c r="D20" s="18" t="s">
        <v>53</v>
      </c>
      <c r="E20" s="18">
        <v>2</v>
      </c>
      <c r="F20" s="14">
        <f t="shared" si="3"/>
        <v>205.882352941176</v>
      </c>
      <c r="G20" s="15">
        <f t="shared" si="4"/>
        <v>0.85</v>
      </c>
      <c r="H20" s="16">
        <v>175</v>
      </c>
      <c r="I20" s="16">
        <f t="shared" si="5"/>
        <v>350</v>
      </c>
      <c r="J20" s="17"/>
    </row>
    <row r="21" s="4" customFormat="1" ht="16" customHeight="1" spans="1:10">
      <c r="A21" s="12">
        <v>16</v>
      </c>
      <c r="B21" s="17" t="s">
        <v>35</v>
      </c>
      <c r="C21" s="17"/>
      <c r="D21" s="18" t="s">
        <v>36</v>
      </c>
      <c r="E21" s="18">
        <v>55</v>
      </c>
      <c r="F21" s="14">
        <f t="shared" si="3"/>
        <v>4.11764705882353</v>
      </c>
      <c r="G21" s="15">
        <f t="shared" si="4"/>
        <v>0.85</v>
      </c>
      <c r="H21" s="16">
        <v>3.5</v>
      </c>
      <c r="I21" s="16">
        <f t="shared" si="5"/>
        <v>192.5</v>
      </c>
      <c r="J21" s="17"/>
    </row>
    <row r="22" s="4" customFormat="1" ht="16" customHeight="1" spans="1:10">
      <c r="A22" s="12">
        <v>17</v>
      </c>
      <c r="B22" s="17"/>
      <c r="C22" s="17"/>
      <c r="D22" s="17"/>
      <c r="E22" s="18"/>
      <c r="F22" s="14"/>
      <c r="G22" s="15"/>
      <c r="H22" s="19"/>
      <c r="I22" s="16"/>
      <c r="J22" s="17"/>
    </row>
    <row r="23" s="4" customFormat="1" ht="16" customHeight="1" spans="1:10">
      <c r="A23" s="12">
        <v>18</v>
      </c>
      <c r="B23" s="17"/>
      <c r="C23" s="17"/>
      <c r="D23" s="18"/>
      <c r="E23" s="18"/>
      <c r="F23" s="14"/>
      <c r="G23" s="15"/>
      <c r="H23" s="19"/>
      <c r="I23" s="16"/>
      <c r="J23" s="17"/>
    </row>
    <row r="24" s="4" customFormat="1" ht="16" customHeight="1" spans="1:10">
      <c r="A24" s="12">
        <v>19</v>
      </c>
      <c r="B24" s="17"/>
      <c r="C24" s="17"/>
      <c r="D24" s="18"/>
      <c r="E24" s="18"/>
      <c r="F24" s="14"/>
      <c r="G24" s="15"/>
      <c r="H24" s="19"/>
      <c r="I24" s="16"/>
      <c r="J24" s="17"/>
    </row>
    <row r="25" s="4" customFormat="1" ht="16" customHeight="1" spans="1:10">
      <c r="A25" s="12">
        <v>20</v>
      </c>
      <c r="B25" s="12"/>
      <c r="C25" s="12"/>
      <c r="D25" s="13"/>
      <c r="E25" s="13"/>
      <c r="F25" s="14"/>
      <c r="G25" s="15"/>
      <c r="H25" s="16"/>
      <c r="I25" s="16"/>
      <c r="J25" s="12"/>
    </row>
    <row r="26" s="4" customFormat="1" ht="16" customHeight="1" spans="1:10">
      <c r="A26" s="12">
        <v>21</v>
      </c>
      <c r="B26" s="17"/>
      <c r="C26" s="17"/>
      <c r="D26" s="13"/>
      <c r="E26" s="13"/>
      <c r="F26" s="14"/>
      <c r="G26" s="15"/>
      <c r="H26" s="16"/>
      <c r="I26" s="16"/>
      <c r="J26" s="12"/>
    </row>
    <row r="27" s="4" customFormat="1" ht="16" customHeight="1" spans="1:10">
      <c r="A27" s="12">
        <v>22</v>
      </c>
      <c r="B27" s="17"/>
      <c r="C27" s="17"/>
      <c r="D27" s="17"/>
      <c r="E27" s="18"/>
      <c r="F27" s="14"/>
      <c r="G27" s="15"/>
      <c r="H27" s="16"/>
      <c r="I27" s="16"/>
      <c r="J27" s="17"/>
    </row>
    <row r="28" s="4" customFormat="1" ht="16" customHeight="1" spans="1:10">
      <c r="A28" s="12">
        <v>23</v>
      </c>
      <c r="B28" s="12"/>
      <c r="C28" s="12"/>
      <c r="D28" s="17"/>
      <c r="E28" s="13"/>
      <c r="F28" s="14"/>
      <c r="G28" s="15"/>
      <c r="H28" s="16"/>
      <c r="I28" s="16"/>
      <c r="J28" s="12"/>
    </row>
    <row r="29" s="4" customFormat="1" ht="16" customHeight="1" spans="1:10">
      <c r="A29" s="12">
        <v>24</v>
      </c>
      <c r="B29" s="27"/>
      <c r="C29" s="12"/>
      <c r="D29" s="17"/>
      <c r="E29" s="13"/>
      <c r="F29" s="14"/>
      <c r="G29" s="15"/>
      <c r="H29" s="16"/>
      <c r="I29" s="16"/>
      <c r="J29" s="12"/>
    </row>
    <row r="30" s="4" customFormat="1" ht="16" customHeight="1" spans="1:10">
      <c r="A30" s="12">
        <v>25</v>
      </c>
      <c r="B30" s="12"/>
      <c r="C30" s="12"/>
      <c r="D30" s="12"/>
      <c r="E30" s="13"/>
      <c r="F30" s="14"/>
      <c r="G30" s="15"/>
      <c r="H30" s="16"/>
      <c r="I30" s="16"/>
      <c r="J30" s="12"/>
    </row>
    <row r="31" s="4" customFormat="1" ht="16" customHeight="1" spans="1:10">
      <c r="A31" s="12">
        <v>26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4" customFormat="1" customHeight="1" spans="1:10">
      <c r="A32" s="12" t="s">
        <v>37</v>
      </c>
      <c r="B32" s="20">
        <f>SUM(I6:I31)</f>
        <v>1755.74</v>
      </c>
      <c r="C32" s="21"/>
      <c r="D32" s="21"/>
      <c r="E32" s="21"/>
      <c r="F32" s="21"/>
      <c r="G32" s="21"/>
      <c r="H32" s="21"/>
      <c r="I32" s="21"/>
      <c r="J32" s="25"/>
    </row>
    <row r="33" s="4" customFormat="1" customHeight="1" spans="1:10">
      <c r="A33" s="12" t="s">
        <v>38</v>
      </c>
      <c r="B33" s="23">
        <f>B32</f>
        <v>1755.74</v>
      </c>
      <c r="C33" s="24"/>
      <c r="D33" s="24"/>
      <c r="E33" s="24"/>
      <c r="F33" s="24"/>
      <c r="G33" s="24"/>
      <c r="H33" s="24"/>
      <c r="I33" s="24"/>
      <c r="J33" s="26"/>
    </row>
    <row r="34" s="4" customFormat="1" customHeight="1" spans="1:1">
      <c r="A34" s="4" t="s">
        <v>39</v>
      </c>
    </row>
  </sheetData>
  <mergeCells count="4">
    <mergeCell ref="A1:J1"/>
    <mergeCell ref="B32:J32"/>
    <mergeCell ref="B33:J33"/>
    <mergeCell ref="A34:J34"/>
  </mergeCells>
  <conditionalFormatting sqref="B6:B31">
    <cfRule type="duplicateValues" dxfId="0" priority="1"/>
  </conditionalFormatting>
  <conditionalFormatting sqref="B6:C25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5" workbookViewId="0">
      <selection activeCell="I15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4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6" width="11.6666666666667" style="4" customWidth="1"/>
    <col min="16327" max="16327" width="11.6666666666667" style="4"/>
    <col min="16328" max="16333" width="11" style="4"/>
    <col min="16334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4" customFormat="1" customHeight="1" spans="1:2">
      <c r="A3" s="4" t="s">
        <v>1</v>
      </c>
      <c r="B3" s="4" t="s">
        <v>2</v>
      </c>
    </row>
    <row r="4" s="4" customFormat="1" customHeight="1" spans="1:10">
      <c r="A4" s="4" t="s">
        <v>3</v>
      </c>
      <c r="B4" s="9">
        <v>45233</v>
      </c>
      <c r="C4" s="9"/>
      <c r="D4" s="10"/>
      <c r="E4" s="10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 t="shared" ref="F6:F22" si="0">H6/0.85</f>
        <v>3.52941176470588</v>
      </c>
      <c r="G6" s="15">
        <f t="shared" ref="G6:G22" si="1">H6/F6</f>
        <v>0.85</v>
      </c>
      <c r="H6" s="16">
        <v>3</v>
      </c>
      <c r="I6" s="16">
        <f t="shared" ref="I6:I22" si="2">E6*H6</f>
        <v>21</v>
      </c>
      <c r="J6" s="12"/>
    </row>
    <row r="7" s="4" customFormat="1" ht="16" customHeight="1" spans="1:10">
      <c r="A7" s="12">
        <v>2</v>
      </c>
      <c r="B7" s="12" t="s">
        <v>58</v>
      </c>
      <c r="C7" s="12" t="s">
        <v>59</v>
      </c>
      <c r="D7" s="13" t="s">
        <v>15</v>
      </c>
      <c r="E7" s="13">
        <v>6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21</v>
      </c>
      <c r="J7" s="12"/>
    </row>
    <row r="8" s="4" customFormat="1" ht="16" customHeight="1" spans="1:10">
      <c r="A8" s="12">
        <v>3</v>
      </c>
      <c r="B8" s="12" t="s">
        <v>60</v>
      </c>
      <c r="C8" s="12"/>
      <c r="D8" s="13" t="s">
        <v>15</v>
      </c>
      <c r="E8" s="13">
        <v>1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3.5</v>
      </c>
      <c r="J8" s="12"/>
    </row>
    <row r="9" s="4" customFormat="1" ht="16" customHeight="1" spans="1:10">
      <c r="A9" s="12">
        <v>4</v>
      </c>
      <c r="B9" s="17" t="s">
        <v>17</v>
      </c>
      <c r="C9" s="17"/>
      <c r="D9" s="13" t="s">
        <v>15</v>
      </c>
      <c r="E9" s="13">
        <v>3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10.5</v>
      </c>
      <c r="J9" s="12"/>
    </row>
    <row r="10" s="4" customFormat="1" ht="16" customHeight="1" spans="1:10">
      <c r="A10" s="12">
        <v>5</v>
      </c>
      <c r="B10" s="17" t="s">
        <v>61</v>
      </c>
      <c r="C10" s="17"/>
      <c r="D10" s="13" t="s">
        <v>15</v>
      </c>
      <c r="E10" s="13">
        <v>6</v>
      </c>
      <c r="F10" s="14">
        <f t="shared" si="0"/>
        <v>10</v>
      </c>
      <c r="G10" s="15">
        <f t="shared" si="1"/>
        <v>0.85</v>
      </c>
      <c r="H10" s="16">
        <v>8.5</v>
      </c>
      <c r="I10" s="16">
        <f t="shared" si="2"/>
        <v>51</v>
      </c>
      <c r="J10" s="12"/>
    </row>
    <row r="11" s="4" customFormat="1" ht="16" customHeight="1" spans="1:10">
      <c r="A11" s="12">
        <v>6</v>
      </c>
      <c r="B11" s="12" t="s">
        <v>62</v>
      </c>
      <c r="C11" s="12"/>
      <c r="D11" s="13" t="s">
        <v>23</v>
      </c>
      <c r="E11" s="13">
        <v>8</v>
      </c>
      <c r="F11" s="14">
        <f t="shared" si="0"/>
        <v>3.52941176470588</v>
      </c>
      <c r="G11" s="15">
        <f t="shared" si="1"/>
        <v>0.85</v>
      </c>
      <c r="H11" s="16">
        <v>3</v>
      </c>
      <c r="I11" s="16">
        <f t="shared" si="2"/>
        <v>24</v>
      </c>
      <c r="J11" s="12"/>
    </row>
    <row r="12" s="4" customFormat="1" ht="16" customHeight="1" spans="1:10">
      <c r="A12" s="12">
        <v>7</v>
      </c>
      <c r="B12" s="12" t="s">
        <v>63</v>
      </c>
      <c r="C12" s="12"/>
      <c r="D12" s="13" t="s">
        <v>15</v>
      </c>
      <c r="E12" s="13">
        <v>2</v>
      </c>
      <c r="F12" s="14">
        <f t="shared" si="0"/>
        <v>8.82352941176471</v>
      </c>
      <c r="G12" s="15">
        <f t="shared" si="1"/>
        <v>0.85</v>
      </c>
      <c r="H12" s="16">
        <v>7.5</v>
      </c>
      <c r="I12" s="16">
        <f t="shared" si="2"/>
        <v>15</v>
      </c>
      <c r="J12" s="12"/>
    </row>
    <row r="13" s="4" customFormat="1" ht="16" customHeight="1" spans="1:10">
      <c r="A13" s="12">
        <v>8</v>
      </c>
      <c r="B13" s="12" t="s">
        <v>64</v>
      </c>
      <c r="C13" s="12"/>
      <c r="D13" s="13" t="s">
        <v>15</v>
      </c>
      <c r="E13" s="13">
        <v>18</v>
      </c>
      <c r="F13" s="14">
        <f t="shared" si="0"/>
        <v>4.70588235294118</v>
      </c>
      <c r="G13" s="15">
        <f t="shared" si="1"/>
        <v>0.85</v>
      </c>
      <c r="H13" s="16">
        <v>4</v>
      </c>
      <c r="I13" s="16">
        <f t="shared" si="2"/>
        <v>72</v>
      </c>
      <c r="J13" s="12"/>
    </row>
    <row r="14" s="4" customFormat="1" ht="16" customHeight="1" spans="1:10">
      <c r="A14" s="12">
        <v>9</v>
      </c>
      <c r="B14" s="17" t="s">
        <v>65</v>
      </c>
      <c r="C14" s="17"/>
      <c r="D14" s="18" t="s">
        <v>15</v>
      </c>
      <c r="E14" s="18">
        <v>14.7</v>
      </c>
      <c r="F14" s="14">
        <f t="shared" si="0"/>
        <v>2.94117647058824</v>
      </c>
      <c r="G14" s="15">
        <f t="shared" si="1"/>
        <v>0.85</v>
      </c>
      <c r="H14" s="16">
        <v>2.5</v>
      </c>
      <c r="I14" s="16">
        <f t="shared" si="2"/>
        <v>36.75</v>
      </c>
      <c r="J14" s="17"/>
    </row>
    <row r="15" s="4" customFormat="1" ht="16" customHeight="1" spans="1:10">
      <c r="A15" s="12">
        <v>10</v>
      </c>
      <c r="B15" s="17" t="s">
        <v>25</v>
      </c>
      <c r="C15" s="17"/>
      <c r="D15" s="18" t="s">
        <v>15</v>
      </c>
      <c r="E15" s="18">
        <v>7</v>
      </c>
      <c r="F15" s="14">
        <f t="shared" si="0"/>
        <v>9.17647058823529</v>
      </c>
      <c r="G15" s="15">
        <f t="shared" si="1"/>
        <v>0.85</v>
      </c>
      <c r="H15" s="16">
        <v>7.8</v>
      </c>
      <c r="I15" s="16">
        <f t="shared" si="2"/>
        <v>54.6</v>
      </c>
      <c r="J15" s="17"/>
    </row>
    <row r="16" s="4" customFormat="1" ht="16" customHeight="1" spans="1:10">
      <c r="A16" s="12">
        <v>11</v>
      </c>
      <c r="B16" s="17" t="s">
        <v>66</v>
      </c>
      <c r="C16" s="17"/>
      <c r="D16" s="18" t="s">
        <v>15</v>
      </c>
      <c r="E16" s="18">
        <v>13</v>
      </c>
      <c r="F16" s="14">
        <f t="shared" si="0"/>
        <v>2.35294117647059</v>
      </c>
      <c r="G16" s="15">
        <f t="shared" si="1"/>
        <v>0.85</v>
      </c>
      <c r="H16" s="16">
        <v>2</v>
      </c>
      <c r="I16" s="16">
        <f t="shared" si="2"/>
        <v>26</v>
      </c>
      <c r="J16" s="17"/>
    </row>
    <row r="17" s="4" customFormat="1" ht="16" customHeight="1" spans="1:10">
      <c r="A17" s="12">
        <v>12</v>
      </c>
      <c r="B17" s="17" t="s">
        <v>67</v>
      </c>
      <c r="C17" s="17" t="s">
        <v>68</v>
      </c>
      <c r="D17" s="18" t="s">
        <v>32</v>
      </c>
      <c r="E17" s="18">
        <v>1</v>
      </c>
      <c r="F17" s="14">
        <f t="shared" si="0"/>
        <v>352.941176470588</v>
      </c>
      <c r="G17" s="15">
        <f t="shared" si="1"/>
        <v>0.85</v>
      </c>
      <c r="H17" s="16">
        <v>300</v>
      </c>
      <c r="I17" s="16">
        <f t="shared" si="2"/>
        <v>300</v>
      </c>
      <c r="J17" s="17"/>
    </row>
    <row r="18" s="4" customFormat="1" ht="16" customHeight="1" spans="1:10">
      <c r="A18" s="12">
        <v>13</v>
      </c>
      <c r="B18" s="27" t="s">
        <v>26</v>
      </c>
      <c r="C18" s="12"/>
      <c r="D18" s="13" t="s">
        <v>15</v>
      </c>
      <c r="E18" s="13">
        <v>2</v>
      </c>
      <c r="F18" s="14">
        <f t="shared" si="0"/>
        <v>16.2352941176471</v>
      </c>
      <c r="G18" s="15">
        <f t="shared" si="1"/>
        <v>0.85</v>
      </c>
      <c r="H18" s="16">
        <v>13.8</v>
      </c>
      <c r="I18" s="16">
        <f t="shared" si="2"/>
        <v>27.6</v>
      </c>
      <c r="J18" s="17"/>
    </row>
    <row r="19" s="4" customFormat="1" ht="16" customHeight="1" spans="1:10">
      <c r="A19" s="12">
        <v>14</v>
      </c>
      <c r="B19" s="17" t="s">
        <v>28</v>
      </c>
      <c r="C19" s="17"/>
      <c r="D19" s="18" t="s">
        <v>15</v>
      </c>
      <c r="E19" s="18">
        <v>6</v>
      </c>
      <c r="F19" s="14">
        <f t="shared" si="0"/>
        <v>16.2352941176471</v>
      </c>
      <c r="G19" s="15">
        <f t="shared" si="1"/>
        <v>0.85</v>
      </c>
      <c r="H19" s="16">
        <v>13.8</v>
      </c>
      <c r="I19" s="16">
        <f t="shared" si="2"/>
        <v>82.8</v>
      </c>
      <c r="J19" s="12"/>
    </row>
    <row r="20" s="4" customFormat="1" ht="16" customHeight="1" spans="1:10">
      <c r="A20" s="12">
        <v>15</v>
      </c>
      <c r="B20" s="17" t="s">
        <v>69</v>
      </c>
      <c r="C20" s="17"/>
      <c r="D20" s="18" t="s">
        <v>15</v>
      </c>
      <c r="E20" s="18">
        <v>5</v>
      </c>
      <c r="F20" s="14">
        <f t="shared" si="0"/>
        <v>23.5294117647059</v>
      </c>
      <c r="G20" s="15">
        <f t="shared" si="1"/>
        <v>0.85</v>
      </c>
      <c r="H20" s="16">
        <v>20</v>
      </c>
      <c r="I20" s="16">
        <f t="shared" si="2"/>
        <v>100</v>
      </c>
      <c r="J20" s="17"/>
    </row>
    <row r="21" s="4" customFormat="1" ht="16" customHeight="1" spans="1:10">
      <c r="A21" s="12">
        <v>16</v>
      </c>
      <c r="B21" s="17" t="s">
        <v>70</v>
      </c>
      <c r="C21" s="17"/>
      <c r="D21" s="18" t="s">
        <v>15</v>
      </c>
      <c r="E21" s="18">
        <v>8</v>
      </c>
      <c r="F21" s="14">
        <f t="shared" si="0"/>
        <v>19.7647058823529</v>
      </c>
      <c r="G21" s="15">
        <f t="shared" si="1"/>
        <v>0.85</v>
      </c>
      <c r="H21" s="16">
        <v>16.8</v>
      </c>
      <c r="I21" s="16">
        <f t="shared" si="2"/>
        <v>134.4</v>
      </c>
      <c r="J21" s="17"/>
    </row>
    <row r="22" s="4" customFormat="1" ht="16" customHeight="1" spans="1:10">
      <c r="A22" s="12">
        <v>17</v>
      </c>
      <c r="B22" s="17" t="s">
        <v>35</v>
      </c>
      <c r="C22" s="17"/>
      <c r="D22" s="17" t="s">
        <v>36</v>
      </c>
      <c r="E22" s="18">
        <v>50</v>
      </c>
      <c r="F22" s="14">
        <f t="shared" si="0"/>
        <v>4.11764705882353</v>
      </c>
      <c r="G22" s="15">
        <f t="shared" si="1"/>
        <v>0.85</v>
      </c>
      <c r="H22" s="16">
        <v>3.5</v>
      </c>
      <c r="I22" s="16">
        <f t="shared" si="2"/>
        <v>175</v>
      </c>
      <c r="J22" s="17"/>
    </row>
    <row r="23" s="4" customFormat="1" ht="16" customHeight="1" spans="1:10">
      <c r="A23" s="12">
        <v>18</v>
      </c>
      <c r="B23" s="17"/>
      <c r="C23" s="17"/>
      <c r="D23" s="18"/>
      <c r="E23" s="18"/>
      <c r="F23" s="14"/>
      <c r="G23" s="15"/>
      <c r="H23" s="16"/>
      <c r="I23" s="16"/>
      <c r="J23" s="17"/>
    </row>
    <row r="24" s="4" customFormat="1" ht="16" customHeight="1" spans="1:10">
      <c r="A24" s="12">
        <v>19</v>
      </c>
      <c r="B24" s="17"/>
      <c r="C24" s="17"/>
      <c r="D24" s="18"/>
      <c r="E24" s="18"/>
      <c r="F24" s="14"/>
      <c r="G24" s="15"/>
      <c r="H24" s="19"/>
      <c r="I24" s="16"/>
      <c r="J24" s="17"/>
    </row>
    <row r="25" s="4" customFormat="1" ht="16" customHeight="1" spans="1:10">
      <c r="A25" s="12">
        <v>20</v>
      </c>
      <c r="B25" s="17"/>
      <c r="C25" s="17"/>
      <c r="D25" s="18"/>
      <c r="E25" s="18"/>
      <c r="F25" s="14"/>
      <c r="G25" s="15"/>
      <c r="H25" s="19"/>
      <c r="I25" s="16"/>
      <c r="J25" s="17"/>
    </row>
    <row r="26" s="4" customFormat="1" ht="16" customHeight="1" spans="1:10">
      <c r="A26" s="12">
        <v>21</v>
      </c>
      <c r="B26" s="12"/>
      <c r="C26" s="12"/>
      <c r="D26" s="13"/>
      <c r="E26" s="13"/>
      <c r="F26" s="14"/>
      <c r="G26" s="15"/>
      <c r="H26" s="16"/>
      <c r="I26" s="16"/>
      <c r="J26" s="12"/>
    </row>
    <row r="27" s="4" customFormat="1" ht="16" customHeight="1" spans="1:10">
      <c r="A27" s="12">
        <v>22</v>
      </c>
      <c r="B27" s="17"/>
      <c r="C27" s="17"/>
      <c r="D27" s="13"/>
      <c r="E27" s="13"/>
      <c r="F27" s="14"/>
      <c r="G27" s="15"/>
      <c r="H27" s="16"/>
      <c r="I27" s="16"/>
      <c r="J27" s="12"/>
    </row>
    <row r="28" s="4" customFormat="1" ht="16" customHeight="1" spans="1:10">
      <c r="A28" s="12">
        <v>23</v>
      </c>
      <c r="B28" s="17"/>
      <c r="C28" s="17"/>
      <c r="D28" s="17"/>
      <c r="E28" s="18"/>
      <c r="F28" s="14"/>
      <c r="G28" s="15"/>
      <c r="H28" s="16"/>
      <c r="I28" s="16"/>
      <c r="J28" s="17"/>
    </row>
    <row r="29" s="4" customFormat="1" ht="16" customHeight="1" spans="1:10">
      <c r="A29" s="12">
        <v>24</v>
      </c>
      <c r="B29" s="12"/>
      <c r="C29" s="12"/>
      <c r="D29" s="17"/>
      <c r="E29" s="13"/>
      <c r="F29" s="14"/>
      <c r="G29" s="15"/>
      <c r="H29" s="16"/>
      <c r="I29" s="16"/>
      <c r="J29" s="12"/>
    </row>
    <row r="30" s="4" customFormat="1" ht="16" customHeight="1" spans="1:10">
      <c r="A30" s="12">
        <v>25</v>
      </c>
      <c r="B30" s="27"/>
      <c r="C30" s="12"/>
      <c r="D30" s="17"/>
      <c r="E30" s="13"/>
      <c r="F30" s="14"/>
      <c r="G30" s="15"/>
      <c r="H30" s="16"/>
      <c r="I30" s="16"/>
      <c r="J30" s="12"/>
    </row>
    <row r="31" s="4" customFormat="1" ht="16" customHeight="1" spans="1:10">
      <c r="A31" s="12">
        <v>26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4" customFormat="1" ht="16" customHeight="1" spans="1:10">
      <c r="A32" s="12">
        <v>27</v>
      </c>
      <c r="B32" s="12"/>
      <c r="C32" s="12"/>
      <c r="D32" s="12"/>
      <c r="E32" s="13"/>
      <c r="F32" s="14"/>
      <c r="G32" s="15"/>
      <c r="H32" s="16"/>
      <c r="I32" s="16"/>
      <c r="J32" s="12"/>
    </row>
    <row r="33" s="4" customFormat="1" ht="16" customHeight="1" spans="1:10">
      <c r="A33" s="12">
        <v>28</v>
      </c>
      <c r="B33" s="12"/>
      <c r="C33" s="12"/>
      <c r="D33" s="12"/>
      <c r="E33" s="13"/>
      <c r="F33" s="14"/>
      <c r="G33" s="15"/>
      <c r="H33" s="16"/>
      <c r="I33" s="16"/>
      <c r="J33" s="12"/>
    </row>
    <row r="34" s="4" customFormat="1" customHeight="1" spans="1:10">
      <c r="A34" s="12" t="s">
        <v>37</v>
      </c>
      <c r="B34" s="20">
        <f>SUM(I6:I33)</f>
        <v>1155.15</v>
      </c>
      <c r="C34" s="21"/>
      <c r="D34" s="21"/>
      <c r="E34" s="21"/>
      <c r="F34" s="21"/>
      <c r="G34" s="21"/>
      <c r="H34" s="21"/>
      <c r="I34" s="21"/>
      <c r="J34" s="25"/>
    </row>
    <row r="35" s="4" customFormat="1" customHeight="1" spans="1:10">
      <c r="A35" s="12" t="s">
        <v>38</v>
      </c>
      <c r="B35" s="23">
        <f>B34</f>
        <v>1155.15</v>
      </c>
      <c r="C35" s="24"/>
      <c r="D35" s="24"/>
      <c r="E35" s="24"/>
      <c r="F35" s="24"/>
      <c r="G35" s="24"/>
      <c r="H35" s="24"/>
      <c r="I35" s="24"/>
      <c r="J35" s="26"/>
    </row>
    <row r="36" s="4" customFormat="1" customHeight="1" spans="1:1">
      <c r="A36" s="4" t="s">
        <v>39</v>
      </c>
    </row>
  </sheetData>
  <sortState ref="A16:I23">
    <sortCondition ref="A16"/>
  </sortState>
  <mergeCells count="4">
    <mergeCell ref="A1:J1"/>
    <mergeCell ref="B34:J34"/>
    <mergeCell ref="B35:J35"/>
    <mergeCell ref="A36:J36"/>
  </mergeCells>
  <conditionalFormatting sqref="B6:B33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opLeftCell="A12" workbookViewId="0">
      <selection activeCell="I12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4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6" width="11.6666666666667" style="4" customWidth="1"/>
    <col min="16327" max="16327" width="11.6666666666667" style="4"/>
    <col min="16328" max="16333" width="11" style="4"/>
    <col min="16334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4" customFormat="1" customHeight="1" spans="1:2">
      <c r="A3" s="4" t="s">
        <v>1</v>
      </c>
      <c r="B3" s="4" t="s">
        <v>2</v>
      </c>
    </row>
    <row r="4" s="4" customFormat="1" customHeight="1" spans="1:10">
      <c r="A4" s="4" t="s">
        <v>3</v>
      </c>
      <c r="B4" s="9">
        <v>45236</v>
      </c>
      <c r="C4" s="9"/>
      <c r="D4" s="10"/>
      <c r="E4" s="10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 t="shared" ref="F6:F14" si="0">H6/0.85</f>
        <v>3.52941176470588</v>
      </c>
      <c r="G6" s="15">
        <f t="shared" ref="G6:G14" si="1">H6/F6</f>
        <v>0.85</v>
      </c>
      <c r="H6" s="16">
        <v>3</v>
      </c>
      <c r="I6" s="16">
        <f t="shared" ref="I6:I14" si="2">E6*H6</f>
        <v>21</v>
      </c>
      <c r="J6" s="12"/>
    </row>
    <row r="7" s="4" customFormat="1" ht="16" customHeight="1" spans="1:10">
      <c r="A7" s="12">
        <v>2</v>
      </c>
      <c r="B7" s="12" t="s">
        <v>71</v>
      </c>
      <c r="C7" s="12"/>
      <c r="D7" s="13" t="s">
        <v>15</v>
      </c>
      <c r="E7" s="13">
        <v>2</v>
      </c>
      <c r="F7" s="14">
        <f t="shared" si="0"/>
        <v>4.70588235294118</v>
      </c>
      <c r="G7" s="15">
        <f t="shared" si="1"/>
        <v>0.85</v>
      </c>
      <c r="H7" s="16">
        <v>4</v>
      </c>
      <c r="I7" s="16">
        <f t="shared" si="2"/>
        <v>8</v>
      </c>
      <c r="J7" s="12"/>
    </row>
    <row r="8" s="4" customFormat="1" ht="16" customHeight="1" spans="1:10">
      <c r="A8" s="12">
        <v>3</v>
      </c>
      <c r="B8" s="12" t="s">
        <v>60</v>
      </c>
      <c r="C8" s="12"/>
      <c r="D8" s="13" t="s">
        <v>15</v>
      </c>
      <c r="E8" s="13">
        <v>2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7</v>
      </c>
      <c r="J8" s="12"/>
    </row>
    <row r="9" s="4" customFormat="1" ht="16" customHeight="1" spans="1:10">
      <c r="A9" s="12">
        <v>4</v>
      </c>
      <c r="B9" s="17" t="s">
        <v>17</v>
      </c>
      <c r="C9" s="17"/>
      <c r="D9" s="13" t="s">
        <v>15</v>
      </c>
      <c r="E9" s="13">
        <v>5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17.5</v>
      </c>
      <c r="J9" s="12"/>
    </row>
    <row r="10" s="4" customFormat="1" ht="16" customHeight="1" spans="1:10">
      <c r="A10" s="12">
        <v>5</v>
      </c>
      <c r="B10" s="17" t="s">
        <v>72</v>
      </c>
      <c r="C10" s="17"/>
      <c r="D10" s="13" t="s">
        <v>15</v>
      </c>
      <c r="E10" s="13">
        <v>4</v>
      </c>
      <c r="F10" s="14">
        <f t="shared" si="0"/>
        <v>9.17647058823529</v>
      </c>
      <c r="G10" s="15">
        <f t="shared" si="1"/>
        <v>0.85</v>
      </c>
      <c r="H10" s="16">
        <v>7.8</v>
      </c>
      <c r="I10" s="16">
        <f t="shared" si="2"/>
        <v>31.2</v>
      </c>
      <c r="J10" s="12"/>
    </row>
    <row r="11" s="4" customFormat="1" ht="16" customHeight="1" spans="1:10">
      <c r="A11" s="12">
        <v>6</v>
      </c>
      <c r="B11" s="12" t="s">
        <v>73</v>
      </c>
      <c r="C11" s="12"/>
      <c r="D11" s="13" t="s">
        <v>15</v>
      </c>
      <c r="E11" s="13">
        <v>17</v>
      </c>
      <c r="F11" s="14">
        <f t="shared" si="0"/>
        <v>11.5294117647059</v>
      </c>
      <c r="G11" s="15">
        <f t="shared" si="1"/>
        <v>0.85</v>
      </c>
      <c r="H11" s="16">
        <v>9.8</v>
      </c>
      <c r="I11" s="16">
        <f t="shared" si="2"/>
        <v>166.6</v>
      </c>
      <c r="J11" s="12"/>
    </row>
    <row r="12" s="4" customFormat="1" ht="16" customHeight="1" spans="1:10">
      <c r="A12" s="12">
        <v>7</v>
      </c>
      <c r="B12" s="12" t="s">
        <v>63</v>
      </c>
      <c r="C12" s="12"/>
      <c r="D12" s="13" t="s">
        <v>15</v>
      </c>
      <c r="E12" s="13">
        <v>2</v>
      </c>
      <c r="F12" s="14">
        <f t="shared" si="0"/>
        <v>8.82352941176471</v>
      </c>
      <c r="G12" s="15">
        <f t="shared" si="1"/>
        <v>0.85</v>
      </c>
      <c r="H12" s="16">
        <v>7.5</v>
      </c>
      <c r="I12" s="16">
        <f t="shared" si="2"/>
        <v>15</v>
      </c>
      <c r="J12" s="12"/>
    </row>
    <row r="13" s="4" customFormat="1" ht="16" customHeight="1" spans="1:10">
      <c r="A13" s="12">
        <v>8</v>
      </c>
      <c r="B13" s="12" t="s">
        <v>22</v>
      </c>
      <c r="C13" s="12"/>
      <c r="D13" s="13" t="s">
        <v>23</v>
      </c>
      <c r="E13" s="13">
        <v>8</v>
      </c>
      <c r="F13" s="14">
        <f t="shared" si="0"/>
        <v>3.52941176470588</v>
      </c>
      <c r="G13" s="15">
        <f t="shared" si="1"/>
        <v>0.85</v>
      </c>
      <c r="H13" s="16">
        <v>3</v>
      </c>
      <c r="I13" s="16">
        <f t="shared" si="2"/>
        <v>24</v>
      </c>
      <c r="J13" s="12"/>
    </row>
    <row r="14" s="4" customFormat="1" ht="16" customHeight="1" spans="1:10">
      <c r="A14" s="12">
        <v>9</v>
      </c>
      <c r="B14" s="17" t="s">
        <v>74</v>
      </c>
      <c r="C14" s="17"/>
      <c r="D14" s="18" t="s">
        <v>15</v>
      </c>
      <c r="E14" s="18">
        <v>14</v>
      </c>
      <c r="F14" s="14">
        <f t="shared" si="0"/>
        <v>4.47058823529412</v>
      </c>
      <c r="G14" s="15">
        <f t="shared" si="1"/>
        <v>0.85</v>
      </c>
      <c r="H14" s="16">
        <v>3.8</v>
      </c>
      <c r="I14" s="16">
        <f t="shared" si="2"/>
        <v>53.2</v>
      </c>
      <c r="J14" s="17"/>
    </row>
    <row r="15" s="4" customFormat="1" ht="16" customHeight="1" spans="1:10">
      <c r="A15" s="12">
        <v>10</v>
      </c>
      <c r="B15" s="17" t="s">
        <v>75</v>
      </c>
      <c r="C15" s="17"/>
      <c r="D15" s="18" t="s">
        <v>15</v>
      </c>
      <c r="E15" s="18">
        <v>5</v>
      </c>
      <c r="F15" s="14">
        <f t="shared" ref="F15:F23" si="3">H15/0.85</f>
        <v>6.82352941176471</v>
      </c>
      <c r="G15" s="15">
        <f t="shared" ref="G15:G23" si="4">H15/F15</f>
        <v>0.85</v>
      </c>
      <c r="H15" s="16">
        <v>5.8</v>
      </c>
      <c r="I15" s="16">
        <f t="shared" ref="I15:I23" si="5">E15*H15</f>
        <v>29</v>
      </c>
      <c r="J15" s="17"/>
    </row>
    <row r="16" s="4" customFormat="1" ht="16" customHeight="1" spans="1:10">
      <c r="A16" s="12">
        <v>11</v>
      </c>
      <c r="B16" s="17" t="s">
        <v>76</v>
      </c>
      <c r="C16" s="17"/>
      <c r="D16" s="18" t="s">
        <v>15</v>
      </c>
      <c r="E16" s="18">
        <v>13</v>
      </c>
      <c r="F16" s="14">
        <f t="shared" si="3"/>
        <v>2.11764705882353</v>
      </c>
      <c r="G16" s="15">
        <f t="shared" si="4"/>
        <v>0.85</v>
      </c>
      <c r="H16" s="16">
        <v>1.8</v>
      </c>
      <c r="I16" s="16">
        <f t="shared" si="5"/>
        <v>23.4</v>
      </c>
      <c r="J16" s="17"/>
    </row>
    <row r="17" s="4" customFormat="1" ht="16" customHeight="1" spans="1:10">
      <c r="A17" s="12">
        <v>12</v>
      </c>
      <c r="B17" s="17" t="s">
        <v>28</v>
      </c>
      <c r="C17" s="17"/>
      <c r="D17" s="18" t="s">
        <v>15</v>
      </c>
      <c r="E17" s="18">
        <v>8</v>
      </c>
      <c r="F17" s="14">
        <f t="shared" si="3"/>
        <v>16.2352941176471</v>
      </c>
      <c r="G17" s="15">
        <f t="shared" si="4"/>
        <v>0.85</v>
      </c>
      <c r="H17" s="16">
        <v>13.8</v>
      </c>
      <c r="I17" s="16">
        <f t="shared" si="5"/>
        <v>110.4</v>
      </c>
      <c r="J17" s="17"/>
    </row>
    <row r="18" s="4" customFormat="1" ht="16" customHeight="1" spans="1:10">
      <c r="A18" s="12">
        <v>13</v>
      </c>
      <c r="B18" s="17" t="s">
        <v>77</v>
      </c>
      <c r="C18" s="17"/>
      <c r="D18" s="18" t="s">
        <v>15</v>
      </c>
      <c r="E18" s="18">
        <v>12</v>
      </c>
      <c r="F18" s="14">
        <f t="shared" si="3"/>
        <v>82.3529411764706</v>
      </c>
      <c r="G18" s="15">
        <f t="shared" si="4"/>
        <v>0.85</v>
      </c>
      <c r="H18" s="16">
        <v>70</v>
      </c>
      <c r="I18" s="16">
        <f t="shared" si="5"/>
        <v>840</v>
      </c>
      <c r="J18" s="17"/>
    </row>
    <row r="19" s="4" customFormat="1" ht="16" customHeight="1" spans="1:10">
      <c r="A19" s="12">
        <v>14</v>
      </c>
      <c r="B19" s="12" t="s">
        <v>78</v>
      </c>
      <c r="C19" s="12" t="s">
        <v>79</v>
      </c>
      <c r="D19" s="13" t="s">
        <v>53</v>
      </c>
      <c r="E19" s="13">
        <v>2</v>
      </c>
      <c r="F19" s="14">
        <f t="shared" si="3"/>
        <v>11.5294117647059</v>
      </c>
      <c r="G19" s="15">
        <f t="shared" si="4"/>
        <v>0.85</v>
      </c>
      <c r="H19" s="16">
        <v>9.8</v>
      </c>
      <c r="I19" s="16">
        <f t="shared" si="5"/>
        <v>19.6</v>
      </c>
      <c r="J19" s="12"/>
    </row>
    <row r="20" s="4" customFormat="1" ht="16" customHeight="1" spans="1:10">
      <c r="A20" s="12">
        <v>15</v>
      </c>
      <c r="B20" s="17" t="s">
        <v>33</v>
      </c>
      <c r="C20" s="17" t="s">
        <v>34</v>
      </c>
      <c r="D20" s="18" t="s">
        <v>15</v>
      </c>
      <c r="E20" s="18">
        <v>10</v>
      </c>
      <c r="F20" s="14">
        <f t="shared" si="3"/>
        <v>5.76470588235294</v>
      </c>
      <c r="G20" s="15">
        <f t="shared" si="4"/>
        <v>0.85</v>
      </c>
      <c r="H20" s="16">
        <v>4.9</v>
      </c>
      <c r="I20" s="16">
        <f t="shared" si="5"/>
        <v>49</v>
      </c>
      <c r="J20" s="17"/>
    </row>
    <row r="21" s="4" customFormat="1" ht="16" customHeight="1" spans="1:10">
      <c r="A21" s="12">
        <v>16</v>
      </c>
      <c r="B21" s="17" t="s">
        <v>35</v>
      </c>
      <c r="C21" s="17"/>
      <c r="D21" s="18" t="s">
        <v>36</v>
      </c>
      <c r="E21" s="18">
        <v>55</v>
      </c>
      <c r="F21" s="14">
        <f t="shared" si="3"/>
        <v>4.11764705882353</v>
      </c>
      <c r="G21" s="15">
        <f t="shared" si="4"/>
        <v>0.85</v>
      </c>
      <c r="H21" s="16">
        <v>3.5</v>
      </c>
      <c r="I21" s="16">
        <f t="shared" si="5"/>
        <v>192.5</v>
      </c>
      <c r="J21" s="17"/>
    </row>
    <row r="22" s="4" customFormat="1" ht="16" customHeight="1" spans="1:10">
      <c r="A22" s="12">
        <v>17</v>
      </c>
      <c r="B22" s="17" t="s">
        <v>80</v>
      </c>
      <c r="C22" s="17"/>
      <c r="D22" s="17" t="s">
        <v>15</v>
      </c>
      <c r="E22" s="18">
        <v>5</v>
      </c>
      <c r="F22" s="14">
        <f t="shared" si="3"/>
        <v>103.529411764706</v>
      </c>
      <c r="G22" s="15">
        <f t="shared" si="4"/>
        <v>0.85</v>
      </c>
      <c r="H22" s="16">
        <v>88</v>
      </c>
      <c r="I22" s="16">
        <f t="shared" si="5"/>
        <v>440</v>
      </c>
      <c r="J22" s="17"/>
    </row>
    <row r="23" s="4" customFormat="1" ht="16" customHeight="1" spans="1:10">
      <c r="A23" s="12">
        <v>18</v>
      </c>
      <c r="B23" s="17"/>
      <c r="C23" s="17"/>
      <c r="D23" s="18"/>
      <c r="E23" s="18"/>
      <c r="F23" s="14"/>
      <c r="G23" s="15"/>
      <c r="H23" s="16"/>
      <c r="I23" s="16"/>
      <c r="J23" s="17"/>
    </row>
    <row r="24" s="4" customFormat="1" ht="16" customHeight="1" spans="1:10">
      <c r="A24" s="12">
        <v>19</v>
      </c>
      <c r="B24" s="17"/>
      <c r="C24" s="17"/>
      <c r="D24" s="18"/>
      <c r="E24" s="18"/>
      <c r="F24" s="14"/>
      <c r="G24" s="15"/>
      <c r="H24" s="16"/>
      <c r="I24" s="16"/>
      <c r="J24" s="17"/>
    </row>
    <row r="25" s="4" customFormat="1" ht="16" customHeight="1" spans="1:10">
      <c r="A25" s="12">
        <v>20</v>
      </c>
      <c r="B25" s="12"/>
      <c r="C25" s="12"/>
      <c r="D25" s="13"/>
      <c r="E25" s="13"/>
      <c r="F25" s="14"/>
      <c r="G25" s="15"/>
      <c r="H25" s="16"/>
      <c r="I25" s="16"/>
      <c r="J25" s="12"/>
    </row>
    <row r="26" s="4" customFormat="1" ht="16" customHeight="1" spans="1:10">
      <c r="A26" s="12">
        <v>21</v>
      </c>
      <c r="B26" s="17"/>
      <c r="C26" s="17"/>
      <c r="D26" s="13"/>
      <c r="E26" s="13"/>
      <c r="F26" s="14"/>
      <c r="G26" s="15"/>
      <c r="H26" s="16"/>
      <c r="I26" s="16"/>
      <c r="J26" s="12"/>
    </row>
    <row r="27" s="4" customFormat="1" ht="16" customHeight="1" spans="1:10">
      <c r="A27" s="12">
        <v>22</v>
      </c>
      <c r="B27" s="17"/>
      <c r="C27" s="17"/>
      <c r="D27" s="17"/>
      <c r="E27" s="18"/>
      <c r="F27" s="14"/>
      <c r="G27" s="15"/>
      <c r="H27" s="19"/>
      <c r="I27" s="16"/>
      <c r="J27" s="17"/>
    </row>
    <row r="28" s="4" customFormat="1" ht="16" customHeight="1" spans="1:10">
      <c r="A28" s="12">
        <v>23</v>
      </c>
      <c r="B28" s="12"/>
      <c r="C28" s="12"/>
      <c r="D28" s="17"/>
      <c r="E28" s="13"/>
      <c r="F28" s="14"/>
      <c r="G28" s="15"/>
      <c r="H28" s="16"/>
      <c r="I28" s="16"/>
      <c r="J28" s="12"/>
    </row>
    <row r="29" s="4" customFormat="1" ht="16" customHeight="1" spans="1:10">
      <c r="A29" s="12">
        <v>24</v>
      </c>
      <c r="B29" s="12"/>
      <c r="C29" s="12"/>
      <c r="D29" s="17"/>
      <c r="E29" s="13"/>
      <c r="F29" s="14"/>
      <c r="G29" s="15"/>
      <c r="H29" s="16"/>
      <c r="I29" s="16"/>
      <c r="J29" s="12"/>
    </row>
    <row r="30" s="4" customFormat="1" ht="16" customHeight="1" spans="1:10">
      <c r="A30" s="12">
        <v>25</v>
      </c>
      <c r="B30" s="12"/>
      <c r="C30" s="12"/>
      <c r="D30" s="12"/>
      <c r="E30" s="13"/>
      <c r="F30" s="14"/>
      <c r="G30" s="15"/>
      <c r="H30" s="16"/>
      <c r="I30" s="16"/>
      <c r="J30" s="12"/>
    </row>
    <row r="31" s="4" customFormat="1" ht="16" customHeight="1" spans="1:10">
      <c r="A31" s="12">
        <v>26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4" customFormat="1" customHeight="1" spans="1:10">
      <c r="A32" s="12" t="s">
        <v>37</v>
      </c>
      <c r="B32" s="20">
        <f>SUM(I6:I31)</f>
        <v>2047.4</v>
      </c>
      <c r="C32" s="21"/>
      <c r="D32" s="21"/>
      <c r="E32" s="21"/>
      <c r="F32" s="21"/>
      <c r="G32" s="21"/>
      <c r="H32" s="21"/>
      <c r="I32" s="21"/>
      <c r="J32" s="25"/>
    </row>
    <row r="33" s="4" customFormat="1" customHeight="1" spans="1:10">
      <c r="A33" s="12" t="s">
        <v>38</v>
      </c>
      <c r="B33" s="23">
        <f>B32</f>
        <v>2047.4</v>
      </c>
      <c r="C33" s="24"/>
      <c r="D33" s="24"/>
      <c r="E33" s="24"/>
      <c r="F33" s="24"/>
      <c r="G33" s="24"/>
      <c r="H33" s="24"/>
      <c r="I33" s="24"/>
      <c r="J33" s="26"/>
    </row>
    <row r="34" s="4" customFormat="1" customHeight="1" spans="1:1">
      <c r="A34" s="4" t="s">
        <v>39</v>
      </c>
    </row>
  </sheetData>
  <mergeCells count="4">
    <mergeCell ref="A1:J1"/>
    <mergeCell ref="B32:J32"/>
    <mergeCell ref="B33:J33"/>
    <mergeCell ref="A34:J34"/>
  </mergeCells>
  <conditionalFormatting sqref="B6:B31">
    <cfRule type="duplicateValues" dxfId="0" priority="1"/>
  </conditionalFormatting>
  <conditionalFormatting sqref="B6:C25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6" workbookViewId="0">
      <selection activeCell="I16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8.25" style="4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6" width="11.6666666666667" style="4" customWidth="1"/>
    <col min="16327" max="16327" width="11.6666666666667" style="4"/>
    <col min="16328" max="16333" width="11" style="4"/>
    <col min="16334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4" customFormat="1" customHeight="1" spans="1:2">
      <c r="A3" s="4" t="s">
        <v>1</v>
      </c>
      <c r="B3" s="4" t="s">
        <v>2</v>
      </c>
    </row>
    <row r="4" s="4" customFormat="1" customHeight="1" spans="1:10">
      <c r="A4" s="4" t="s">
        <v>3</v>
      </c>
      <c r="B4" s="9">
        <v>45237</v>
      </c>
      <c r="C4" s="9"/>
      <c r="D4" s="10"/>
      <c r="E4" s="10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 t="shared" ref="F6:F24" si="0">H6/0.85</f>
        <v>3.52941176470588</v>
      </c>
      <c r="G6" s="15">
        <f t="shared" ref="G6:G24" si="1">H6/F6</f>
        <v>0.85</v>
      </c>
      <c r="H6" s="16">
        <v>3</v>
      </c>
      <c r="I6" s="16">
        <f t="shared" ref="I6:I24" si="2">E6*H6</f>
        <v>21</v>
      </c>
      <c r="J6" s="12"/>
    </row>
    <row r="7" s="4" customFormat="1" ht="16" customHeight="1" spans="1:10">
      <c r="A7" s="12">
        <v>2</v>
      </c>
      <c r="B7" s="12" t="s">
        <v>17</v>
      </c>
      <c r="C7" s="12"/>
      <c r="D7" s="13" t="s">
        <v>15</v>
      </c>
      <c r="E7" s="13">
        <v>5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17.5</v>
      </c>
      <c r="J7" s="12"/>
    </row>
    <row r="8" s="4" customFormat="1" ht="16" customHeight="1" spans="1:10">
      <c r="A8" s="12">
        <v>3</v>
      </c>
      <c r="B8" s="12" t="s">
        <v>43</v>
      </c>
      <c r="C8" s="12"/>
      <c r="D8" s="13" t="s">
        <v>15</v>
      </c>
      <c r="E8" s="13">
        <v>6</v>
      </c>
      <c r="F8" s="14">
        <f t="shared" si="0"/>
        <v>2.35294117647059</v>
      </c>
      <c r="G8" s="15">
        <f t="shared" si="1"/>
        <v>0.85</v>
      </c>
      <c r="H8" s="16">
        <v>2</v>
      </c>
      <c r="I8" s="16">
        <f t="shared" si="2"/>
        <v>12</v>
      </c>
      <c r="J8" s="12"/>
    </row>
    <row r="9" s="4" customFormat="1" ht="16" customHeight="1" spans="1:10">
      <c r="A9" s="12">
        <v>4</v>
      </c>
      <c r="B9" s="17" t="s">
        <v>81</v>
      </c>
      <c r="C9" s="17"/>
      <c r="D9" s="13" t="s">
        <v>15</v>
      </c>
      <c r="E9" s="13">
        <v>10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35</v>
      </c>
      <c r="J9" s="12"/>
    </row>
    <row r="10" s="4" customFormat="1" ht="16" customHeight="1" spans="1:10">
      <c r="A10" s="12">
        <v>5</v>
      </c>
      <c r="B10" s="17" t="s">
        <v>74</v>
      </c>
      <c r="C10" s="17"/>
      <c r="D10" s="13" t="s">
        <v>15</v>
      </c>
      <c r="E10" s="13">
        <v>2</v>
      </c>
      <c r="F10" s="14">
        <f t="shared" si="0"/>
        <v>4.47058823529412</v>
      </c>
      <c r="G10" s="15">
        <f t="shared" si="1"/>
        <v>0.85</v>
      </c>
      <c r="H10" s="16">
        <v>3.8</v>
      </c>
      <c r="I10" s="16">
        <f t="shared" si="2"/>
        <v>7.6</v>
      </c>
      <c r="J10" s="12"/>
    </row>
    <row r="11" s="4" customFormat="1" ht="16" customHeight="1" spans="1:10">
      <c r="A11" s="12">
        <v>6</v>
      </c>
      <c r="B11" s="12" t="s">
        <v>82</v>
      </c>
      <c r="C11" s="12"/>
      <c r="D11" s="13" t="s">
        <v>15</v>
      </c>
      <c r="E11" s="13">
        <v>8</v>
      </c>
      <c r="F11" s="14">
        <f t="shared" si="0"/>
        <v>6.82352941176471</v>
      </c>
      <c r="G11" s="15">
        <f t="shared" si="1"/>
        <v>0.85</v>
      </c>
      <c r="H11" s="16">
        <v>5.8</v>
      </c>
      <c r="I11" s="16">
        <f t="shared" si="2"/>
        <v>46.4</v>
      </c>
      <c r="J11" s="12"/>
    </row>
    <row r="12" s="4" customFormat="1" ht="16" customHeight="1" spans="1:10">
      <c r="A12" s="12">
        <v>7</v>
      </c>
      <c r="B12" s="12" t="s">
        <v>24</v>
      </c>
      <c r="C12" s="12"/>
      <c r="D12" s="13" t="s">
        <v>15</v>
      </c>
      <c r="E12" s="13">
        <v>6</v>
      </c>
      <c r="F12" s="14">
        <f t="shared" si="0"/>
        <v>6.82352941176471</v>
      </c>
      <c r="G12" s="15">
        <f t="shared" si="1"/>
        <v>0.85</v>
      </c>
      <c r="H12" s="16">
        <v>5.8</v>
      </c>
      <c r="I12" s="16">
        <f t="shared" si="2"/>
        <v>34.8</v>
      </c>
      <c r="J12" s="12"/>
    </row>
    <row r="13" s="4" customFormat="1" ht="16" customHeight="1" spans="1:10">
      <c r="A13" s="12">
        <v>8</v>
      </c>
      <c r="B13" s="12" t="s">
        <v>83</v>
      </c>
      <c r="C13" s="12" t="s">
        <v>84</v>
      </c>
      <c r="D13" s="13" t="s">
        <v>15</v>
      </c>
      <c r="E13" s="13">
        <v>15</v>
      </c>
      <c r="F13" s="14">
        <f t="shared" si="0"/>
        <v>10.3529411764706</v>
      </c>
      <c r="G13" s="15">
        <f t="shared" si="1"/>
        <v>0.85</v>
      </c>
      <c r="H13" s="16">
        <v>8.8</v>
      </c>
      <c r="I13" s="16">
        <f t="shared" si="2"/>
        <v>132</v>
      </c>
      <c r="J13" s="12"/>
    </row>
    <row r="14" s="4" customFormat="1" ht="16" customHeight="1" spans="1:10">
      <c r="A14" s="12">
        <v>9</v>
      </c>
      <c r="B14" s="17" t="s">
        <v>85</v>
      </c>
      <c r="C14" s="17"/>
      <c r="D14" s="18" t="s">
        <v>15</v>
      </c>
      <c r="E14" s="18">
        <v>5</v>
      </c>
      <c r="F14" s="14">
        <f t="shared" si="0"/>
        <v>11.5294117647059</v>
      </c>
      <c r="G14" s="15">
        <f t="shared" si="1"/>
        <v>0.85</v>
      </c>
      <c r="H14" s="19">
        <v>9.8</v>
      </c>
      <c r="I14" s="16">
        <f t="shared" si="2"/>
        <v>49</v>
      </c>
      <c r="J14" s="17"/>
    </row>
    <row r="15" s="4" customFormat="1" ht="16" customHeight="1" spans="1:10">
      <c r="A15" s="12">
        <v>10</v>
      </c>
      <c r="B15" s="17" t="s">
        <v>86</v>
      </c>
      <c r="C15" s="17"/>
      <c r="D15" s="18" t="s">
        <v>15</v>
      </c>
      <c r="E15" s="18">
        <v>3</v>
      </c>
      <c r="F15" s="14">
        <f t="shared" si="0"/>
        <v>5.64705882352941</v>
      </c>
      <c r="G15" s="15">
        <f t="shared" si="1"/>
        <v>0.85</v>
      </c>
      <c r="H15" s="19">
        <v>4.8</v>
      </c>
      <c r="I15" s="16">
        <f t="shared" si="2"/>
        <v>14.4</v>
      </c>
      <c r="J15" s="17"/>
    </row>
    <row r="16" s="4" customFormat="1" ht="16" customHeight="1" spans="1:10">
      <c r="A16" s="12">
        <v>11</v>
      </c>
      <c r="B16" s="17" t="s">
        <v>45</v>
      </c>
      <c r="C16" s="17"/>
      <c r="D16" s="18" t="s">
        <v>15</v>
      </c>
      <c r="E16" s="18">
        <v>12</v>
      </c>
      <c r="F16" s="14">
        <f t="shared" si="0"/>
        <v>5.29411764705882</v>
      </c>
      <c r="G16" s="15">
        <f t="shared" si="1"/>
        <v>0.85</v>
      </c>
      <c r="H16" s="19">
        <v>4.5</v>
      </c>
      <c r="I16" s="16">
        <f t="shared" si="2"/>
        <v>54</v>
      </c>
      <c r="J16" s="17"/>
    </row>
    <row r="17" s="4" customFormat="1" ht="16" customHeight="1" spans="1:10">
      <c r="A17" s="12">
        <v>12</v>
      </c>
      <c r="B17" s="17" t="s">
        <v>87</v>
      </c>
      <c r="C17" s="17"/>
      <c r="D17" s="17" t="s">
        <v>15</v>
      </c>
      <c r="E17" s="18">
        <v>14</v>
      </c>
      <c r="F17" s="14">
        <f t="shared" si="0"/>
        <v>25.8823529411765</v>
      </c>
      <c r="G17" s="15">
        <f t="shared" si="1"/>
        <v>0.85</v>
      </c>
      <c r="H17" s="19">
        <v>22</v>
      </c>
      <c r="I17" s="16">
        <f t="shared" si="2"/>
        <v>308</v>
      </c>
      <c r="J17" s="17"/>
    </row>
    <row r="18" s="4" customFormat="1" ht="16" customHeight="1" spans="1:10">
      <c r="A18" s="12">
        <v>13</v>
      </c>
      <c r="B18" s="17" t="s">
        <v>28</v>
      </c>
      <c r="C18" s="17"/>
      <c r="D18" s="18" t="s">
        <v>15</v>
      </c>
      <c r="E18" s="18">
        <v>2</v>
      </c>
      <c r="F18" s="14">
        <f t="shared" si="0"/>
        <v>16.2352941176471</v>
      </c>
      <c r="G18" s="15">
        <f t="shared" si="1"/>
        <v>0.85</v>
      </c>
      <c r="H18" s="19">
        <v>13.8</v>
      </c>
      <c r="I18" s="16">
        <f t="shared" si="2"/>
        <v>27.6</v>
      </c>
      <c r="J18" s="17"/>
    </row>
    <row r="19" s="4" customFormat="1" ht="16" customHeight="1" spans="1:10">
      <c r="A19" s="12">
        <v>14</v>
      </c>
      <c r="B19" s="12" t="s">
        <v>29</v>
      </c>
      <c r="C19" s="12"/>
      <c r="D19" s="13" t="s">
        <v>15</v>
      </c>
      <c r="E19" s="13">
        <v>8</v>
      </c>
      <c r="F19" s="14">
        <f t="shared" si="0"/>
        <v>32.9411764705882</v>
      </c>
      <c r="G19" s="15">
        <f t="shared" si="1"/>
        <v>0.85</v>
      </c>
      <c r="H19" s="16">
        <v>28</v>
      </c>
      <c r="I19" s="16">
        <f t="shared" si="2"/>
        <v>224</v>
      </c>
      <c r="J19" s="12"/>
    </row>
    <row r="20" s="4" customFormat="1" ht="16" customHeight="1" spans="1:10">
      <c r="A20" s="12">
        <v>15</v>
      </c>
      <c r="B20" s="17" t="s">
        <v>88</v>
      </c>
      <c r="C20" s="17" t="s">
        <v>89</v>
      </c>
      <c r="D20" s="13" t="s">
        <v>36</v>
      </c>
      <c r="E20" s="13">
        <v>45</v>
      </c>
      <c r="F20" s="14">
        <f t="shared" si="0"/>
        <v>4.11764705882353</v>
      </c>
      <c r="G20" s="15">
        <f t="shared" si="1"/>
        <v>0.85</v>
      </c>
      <c r="H20" s="16">
        <v>3.5</v>
      </c>
      <c r="I20" s="16">
        <f t="shared" si="2"/>
        <v>157.5</v>
      </c>
      <c r="J20" s="12"/>
    </row>
    <row r="21" s="4" customFormat="1" ht="16" customHeight="1" spans="1:10">
      <c r="A21" s="12">
        <v>16</v>
      </c>
      <c r="B21" s="17"/>
      <c r="C21" s="17"/>
      <c r="D21" s="17"/>
      <c r="E21" s="18"/>
      <c r="F21" s="14"/>
      <c r="G21" s="15"/>
      <c r="H21" s="19"/>
      <c r="I21" s="16"/>
      <c r="J21" s="17"/>
    </row>
    <row r="22" s="4" customFormat="1" ht="16" customHeight="1" spans="1:10">
      <c r="A22" s="12">
        <v>17</v>
      </c>
      <c r="B22" s="12"/>
      <c r="C22" s="12"/>
      <c r="D22" s="17"/>
      <c r="E22" s="13"/>
      <c r="F22" s="14"/>
      <c r="G22" s="15"/>
      <c r="H22" s="16"/>
      <c r="I22" s="16"/>
      <c r="J22" s="12"/>
    </row>
    <row r="23" s="4" customFormat="1" ht="16" customHeight="1" spans="1:10">
      <c r="A23" s="12">
        <v>18</v>
      </c>
      <c r="B23" s="12"/>
      <c r="C23" s="12"/>
      <c r="D23" s="17"/>
      <c r="E23" s="13"/>
      <c r="F23" s="14"/>
      <c r="G23" s="15"/>
      <c r="H23" s="16"/>
      <c r="I23" s="16"/>
      <c r="J23" s="12"/>
    </row>
    <row r="24" s="4" customFormat="1" ht="16" customHeight="1" spans="1:10">
      <c r="A24" s="12">
        <v>19</v>
      </c>
      <c r="B24" s="12"/>
      <c r="C24" s="12"/>
      <c r="D24" s="12"/>
      <c r="E24" s="13"/>
      <c r="F24" s="14"/>
      <c r="G24" s="15"/>
      <c r="H24" s="16"/>
      <c r="I24" s="16"/>
      <c r="J24" s="12"/>
    </row>
    <row r="25" s="4" customFormat="1" ht="16" customHeight="1" spans="1:10">
      <c r="A25" s="12">
        <v>20</v>
      </c>
      <c r="B25" s="12"/>
      <c r="C25" s="12"/>
      <c r="D25" s="12"/>
      <c r="E25" s="13"/>
      <c r="F25" s="14"/>
      <c r="G25" s="15"/>
      <c r="H25" s="16"/>
      <c r="I25" s="16"/>
      <c r="J25" s="12"/>
    </row>
    <row r="26" s="4" customFormat="1" ht="16" customHeight="1" spans="1:10">
      <c r="A26" s="12">
        <v>21</v>
      </c>
      <c r="B26" s="12"/>
      <c r="C26" s="12"/>
      <c r="D26" s="12"/>
      <c r="E26" s="13"/>
      <c r="F26" s="14"/>
      <c r="G26" s="15"/>
      <c r="H26" s="16"/>
      <c r="I26" s="16"/>
      <c r="J26" s="12"/>
    </row>
    <row r="27" s="4" customFormat="1" ht="16" customHeight="1" spans="1:10">
      <c r="A27" s="12">
        <v>22</v>
      </c>
      <c r="B27" s="12"/>
      <c r="C27" s="12"/>
      <c r="D27" s="12"/>
      <c r="E27" s="13"/>
      <c r="F27" s="14"/>
      <c r="G27" s="15"/>
      <c r="H27" s="16"/>
      <c r="I27" s="16"/>
      <c r="J27" s="12"/>
    </row>
    <row r="28" s="4" customFormat="1" ht="16" customHeight="1" spans="1:10">
      <c r="A28" s="12">
        <v>23</v>
      </c>
      <c r="B28" s="12"/>
      <c r="C28" s="12"/>
      <c r="D28" s="12"/>
      <c r="E28" s="13"/>
      <c r="F28" s="14"/>
      <c r="G28" s="15"/>
      <c r="H28" s="16"/>
      <c r="I28" s="16"/>
      <c r="J28" s="12"/>
    </row>
    <row r="29" s="4" customFormat="1" ht="16" customHeight="1" spans="1:10">
      <c r="A29" s="12">
        <v>24</v>
      </c>
      <c r="B29" s="12"/>
      <c r="C29" s="12"/>
      <c r="D29" s="12"/>
      <c r="E29" s="13"/>
      <c r="F29" s="14"/>
      <c r="G29" s="15"/>
      <c r="H29" s="16"/>
      <c r="I29" s="16"/>
      <c r="J29" s="12"/>
    </row>
    <row r="30" s="4" customFormat="1" ht="16" customHeight="1" spans="1:10">
      <c r="A30" s="12">
        <v>25</v>
      </c>
      <c r="B30" s="12"/>
      <c r="C30" s="12"/>
      <c r="D30" s="12"/>
      <c r="E30" s="13"/>
      <c r="F30" s="14"/>
      <c r="G30" s="15"/>
      <c r="H30" s="16"/>
      <c r="I30" s="16"/>
      <c r="J30" s="12"/>
    </row>
    <row r="31" s="4" customFormat="1" ht="16" customHeight="1" spans="1:10">
      <c r="A31" s="12">
        <v>26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4" customFormat="1" ht="16" customHeight="1" spans="1:10">
      <c r="A32" s="12">
        <v>27</v>
      </c>
      <c r="B32" s="12"/>
      <c r="C32" s="12"/>
      <c r="D32" s="12"/>
      <c r="E32" s="13"/>
      <c r="F32" s="14"/>
      <c r="G32" s="15"/>
      <c r="H32" s="16"/>
      <c r="I32" s="16"/>
      <c r="J32" s="12"/>
    </row>
    <row r="33" s="4" customFormat="1" ht="16" customHeight="1" spans="1:10">
      <c r="A33" s="12">
        <v>28</v>
      </c>
      <c r="B33" s="12"/>
      <c r="C33" s="12"/>
      <c r="D33" s="12"/>
      <c r="E33" s="13"/>
      <c r="F33" s="14"/>
      <c r="G33" s="15"/>
      <c r="H33" s="16"/>
      <c r="I33" s="16"/>
      <c r="J33" s="12"/>
    </row>
    <row r="34" s="4" customFormat="1" customHeight="1" spans="1:10">
      <c r="A34" s="12" t="s">
        <v>37</v>
      </c>
      <c r="B34" s="20">
        <f>SUM(I6:I33)</f>
        <v>1140.8</v>
      </c>
      <c r="C34" s="21"/>
      <c r="D34" s="21"/>
      <c r="E34" s="21"/>
      <c r="F34" s="21"/>
      <c r="G34" s="21"/>
      <c r="H34" s="21"/>
      <c r="I34" s="21"/>
      <c r="J34" s="25"/>
    </row>
    <row r="35" s="4" customFormat="1" customHeight="1" spans="1:10">
      <c r="A35" s="12" t="s">
        <v>38</v>
      </c>
      <c r="B35" s="23">
        <f>B34</f>
        <v>1140.8</v>
      </c>
      <c r="C35" s="24"/>
      <c r="D35" s="24"/>
      <c r="E35" s="24"/>
      <c r="F35" s="24"/>
      <c r="G35" s="24"/>
      <c r="H35" s="24"/>
      <c r="I35" s="24"/>
      <c r="J35" s="26"/>
    </row>
    <row r="36" s="4" customFormat="1" customHeight="1" spans="1:1">
      <c r="A36" s="4" t="s">
        <v>39</v>
      </c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6:C19">
    <cfRule type="duplicateValues" dxfId="0" priority="3"/>
  </conditionalFormatting>
  <pageMargins left="0.751388888888889" right="0.751388888888889" top="0.409027777777778" bottom="0.2125" header="0.5" footer="0.5"/>
  <pageSetup paperSize="9" scale="93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7" workbookViewId="0">
      <selection activeCell="I17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4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6" width="11.6666666666667" style="4" customWidth="1"/>
    <col min="16327" max="16327" width="11.6666666666667" style="4"/>
    <col min="16328" max="16333" width="11" style="4"/>
    <col min="16334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4" customFormat="1" customHeight="1" spans="1:2">
      <c r="A3" s="4" t="s">
        <v>1</v>
      </c>
      <c r="B3" s="4" t="s">
        <v>2</v>
      </c>
    </row>
    <row r="4" s="4" customFormat="1" customHeight="1" spans="1:10">
      <c r="A4" s="4" t="s">
        <v>3</v>
      </c>
      <c r="B4" s="9">
        <v>45238</v>
      </c>
      <c r="C4" s="9"/>
      <c r="D4" s="10"/>
      <c r="E4" s="10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>H6/0.85</f>
        <v>3.52941176470588</v>
      </c>
      <c r="G6" s="15">
        <f>H6/F6</f>
        <v>0.85</v>
      </c>
      <c r="H6" s="16">
        <v>3</v>
      </c>
      <c r="I6" s="16">
        <f>E6*H6</f>
        <v>21</v>
      </c>
      <c r="J6" s="12"/>
    </row>
    <row r="7" s="4" customFormat="1" ht="16" customHeight="1" spans="1:10">
      <c r="A7" s="12">
        <v>2</v>
      </c>
      <c r="B7" s="12" t="s">
        <v>16</v>
      </c>
      <c r="C7" s="12"/>
      <c r="D7" s="13" t="s">
        <v>15</v>
      </c>
      <c r="E7" s="13">
        <v>4</v>
      </c>
      <c r="F7" s="14">
        <f>H7/0.85</f>
        <v>4.11764705882353</v>
      </c>
      <c r="G7" s="15">
        <f>H7/F7</f>
        <v>0.85</v>
      </c>
      <c r="H7" s="16">
        <v>3.5</v>
      </c>
      <c r="I7" s="16">
        <f>E7*H7</f>
        <v>14</v>
      </c>
      <c r="J7" s="12"/>
    </row>
    <row r="8" s="4" customFormat="1" ht="16" customHeight="1" spans="1:10">
      <c r="A8" s="12">
        <v>3</v>
      </c>
      <c r="B8" s="12" t="s">
        <v>17</v>
      </c>
      <c r="C8" s="12"/>
      <c r="D8" s="13" t="s">
        <v>15</v>
      </c>
      <c r="E8" s="13">
        <v>6</v>
      </c>
      <c r="F8" s="14">
        <f t="shared" ref="F8:F26" si="0">H8/0.85</f>
        <v>4.11764705882353</v>
      </c>
      <c r="G8" s="15">
        <f t="shared" ref="G8:G26" si="1">H8/F8</f>
        <v>0.85</v>
      </c>
      <c r="H8" s="16">
        <v>3.5</v>
      </c>
      <c r="I8" s="16">
        <f t="shared" ref="I8:I26" si="2">E8*H8</f>
        <v>21</v>
      </c>
      <c r="J8" s="12"/>
    </row>
    <row r="9" s="4" customFormat="1" ht="16" customHeight="1" spans="1:10">
      <c r="A9" s="12">
        <v>4</v>
      </c>
      <c r="B9" s="17" t="s">
        <v>18</v>
      </c>
      <c r="C9" s="17"/>
      <c r="D9" s="13" t="s">
        <v>15</v>
      </c>
      <c r="E9" s="13">
        <v>4</v>
      </c>
      <c r="F9" s="14">
        <f t="shared" si="0"/>
        <v>7.05882352941176</v>
      </c>
      <c r="G9" s="15">
        <f t="shared" si="1"/>
        <v>0.85</v>
      </c>
      <c r="H9" s="16">
        <v>6</v>
      </c>
      <c r="I9" s="16">
        <f t="shared" si="2"/>
        <v>24</v>
      </c>
      <c r="J9" s="12"/>
    </row>
    <row r="10" s="4" customFormat="1" ht="16" customHeight="1" spans="1:10">
      <c r="A10" s="12">
        <v>5</v>
      </c>
      <c r="B10" s="17" t="s">
        <v>63</v>
      </c>
      <c r="C10" s="17"/>
      <c r="D10" s="13" t="s">
        <v>15</v>
      </c>
      <c r="E10" s="13">
        <v>2</v>
      </c>
      <c r="F10" s="14">
        <f t="shared" si="0"/>
        <v>8.82352941176471</v>
      </c>
      <c r="G10" s="15">
        <f t="shared" si="1"/>
        <v>0.85</v>
      </c>
      <c r="H10" s="16">
        <v>7.5</v>
      </c>
      <c r="I10" s="16">
        <f t="shared" si="2"/>
        <v>15</v>
      </c>
      <c r="J10" s="12"/>
    </row>
    <row r="11" s="4" customFormat="1" ht="16" customHeight="1" spans="1:10">
      <c r="A11" s="12">
        <v>6</v>
      </c>
      <c r="B11" s="12" t="s">
        <v>22</v>
      </c>
      <c r="C11" s="12"/>
      <c r="D11" s="13" t="s">
        <v>23</v>
      </c>
      <c r="E11" s="13">
        <v>8</v>
      </c>
      <c r="F11" s="14">
        <f t="shared" si="0"/>
        <v>3.52941176470588</v>
      </c>
      <c r="G11" s="15">
        <f t="shared" si="1"/>
        <v>0.85</v>
      </c>
      <c r="H11" s="16">
        <v>3</v>
      </c>
      <c r="I11" s="16">
        <f t="shared" si="2"/>
        <v>24</v>
      </c>
      <c r="J11" s="12"/>
    </row>
    <row r="12" s="4" customFormat="1" ht="16" customHeight="1" spans="1:10">
      <c r="A12" s="12">
        <v>7</v>
      </c>
      <c r="B12" s="12" t="s">
        <v>90</v>
      </c>
      <c r="C12" s="12"/>
      <c r="D12" s="13" t="s">
        <v>15</v>
      </c>
      <c r="E12" s="13">
        <v>8</v>
      </c>
      <c r="F12" s="14">
        <f t="shared" si="0"/>
        <v>10.3529411764706</v>
      </c>
      <c r="G12" s="15">
        <f t="shared" si="1"/>
        <v>0.85</v>
      </c>
      <c r="H12" s="16">
        <v>8.8</v>
      </c>
      <c r="I12" s="16">
        <f t="shared" si="2"/>
        <v>70.4</v>
      </c>
      <c r="J12" s="12"/>
    </row>
    <row r="13" s="4" customFormat="1" ht="16" customHeight="1" spans="1:10">
      <c r="A13" s="12">
        <v>8</v>
      </c>
      <c r="B13" s="12" t="s">
        <v>74</v>
      </c>
      <c r="C13" s="12"/>
      <c r="D13" s="13" t="s">
        <v>15</v>
      </c>
      <c r="E13" s="13">
        <v>6</v>
      </c>
      <c r="F13" s="14">
        <f t="shared" si="0"/>
        <v>4.47058823529412</v>
      </c>
      <c r="G13" s="15">
        <f t="shared" si="1"/>
        <v>0.85</v>
      </c>
      <c r="H13" s="16">
        <v>3.8</v>
      </c>
      <c r="I13" s="16">
        <f t="shared" si="2"/>
        <v>22.8</v>
      </c>
      <c r="J13" s="12"/>
    </row>
    <row r="14" s="4" customFormat="1" ht="16" customHeight="1" spans="1:10">
      <c r="A14" s="12">
        <v>9</v>
      </c>
      <c r="B14" s="17" t="s">
        <v>85</v>
      </c>
      <c r="C14" s="17"/>
      <c r="D14" s="18" t="s">
        <v>15</v>
      </c>
      <c r="E14" s="18">
        <v>1</v>
      </c>
      <c r="F14" s="14">
        <f t="shared" si="0"/>
        <v>11.5294117647059</v>
      </c>
      <c r="G14" s="15">
        <f t="shared" si="1"/>
        <v>0.85</v>
      </c>
      <c r="H14" s="16">
        <v>9.8</v>
      </c>
      <c r="I14" s="16">
        <f t="shared" si="2"/>
        <v>9.8</v>
      </c>
      <c r="J14" s="17"/>
    </row>
    <row r="15" s="4" customFormat="1" ht="16" customHeight="1" spans="1:10">
      <c r="A15" s="12">
        <v>10</v>
      </c>
      <c r="B15" s="17" t="s">
        <v>91</v>
      </c>
      <c r="C15" s="17"/>
      <c r="D15" s="18" t="s">
        <v>15</v>
      </c>
      <c r="E15" s="18">
        <v>12</v>
      </c>
      <c r="F15" s="14">
        <f t="shared" si="0"/>
        <v>2.94117647058824</v>
      </c>
      <c r="G15" s="15">
        <f t="shared" si="1"/>
        <v>0.85</v>
      </c>
      <c r="H15" s="16">
        <v>2.5</v>
      </c>
      <c r="I15" s="16">
        <f t="shared" si="2"/>
        <v>30</v>
      </c>
      <c r="J15" s="17"/>
    </row>
    <row r="16" s="4" customFormat="1" ht="16" customHeight="1" spans="1:10">
      <c r="A16" s="12">
        <v>11</v>
      </c>
      <c r="B16" s="17" t="s">
        <v>92</v>
      </c>
      <c r="C16" s="17"/>
      <c r="D16" s="18" t="s">
        <v>15</v>
      </c>
      <c r="E16" s="18">
        <v>2</v>
      </c>
      <c r="F16" s="14">
        <f t="shared" si="0"/>
        <v>8</v>
      </c>
      <c r="G16" s="15">
        <f t="shared" si="1"/>
        <v>0.85</v>
      </c>
      <c r="H16" s="16">
        <v>6.8</v>
      </c>
      <c r="I16" s="16">
        <f t="shared" si="2"/>
        <v>13.6</v>
      </c>
      <c r="J16" s="17"/>
    </row>
    <row r="17" s="4" customFormat="1" ht="16" customHeight="1" spans="1:10">
      <c r="A17" s="12">
        <v>12</v>
      </c>
      <c r="B17" s="17" t="s">
        <v>28</v>
      </c>
      <c r="C17" s="17"/>
      <c r="D17" s="18" t="s">
        <v>15</v>
      </c>
      <c r="E17" s="18">
        <v>8</v>
      </c>
      <c r="F17" s="14">
        <f t="shared" si="0"/>
        <v>16.2352941176471</v>
      </c>
      <c r="G17" s="15">
        <f t="shared" si="1"/>
        <v>0.85</v>
      </c>
      <c r="H17" s="16">
        <v>13.8</v>
      </c>
      <c r="I17" s="16">
        <f t="shared" si="2"/>
        <v>110.4</v>
      </c>
      <c r="J17" s="17"/>
    </row>
    <row r="18" s="4" customFormat="1" ht="16" customHeight="1" spans="1:10">
      <c r="A18" s="12">
        <v>13</v>
      </c>
      <c r="B18" s="17" t="s">
        <v>93</v>
      </c>
      <c r="C18" s="17"/>
      <c r="D18" s="18" t="s">
        <v>15</v>
      </c>
      <c r="E18" s="18">
        <v>2</v>
      </c>
      <c r="F18" s="14">
        <f t="shared" si="0"/>
        <v>18.5882352941176</v>
      </c>
      <c r="G18" s="15">
        <f t="shared" si="1"/>
        <v>0.85</v>
      </c>
      <c r="H18" s="16">
        <v>15.8</v>
      </c>
      <c r="I18" s="16">
        <f t="shared" si="2"/>
        <v>31.6</v>
      </c>
      <c r="J18" s="17"/>
    </row>
    <row r="19" s="4" customFormat="1" ht="16" customHeight="1" spans="1:10">
      <c r="A19" s="12">
        <v>14</v>
      </c>
      <c r="B19" s="12" t="s">
        <v>94</v>
      </c>
      <c r="C19" s="12" t="s">
        <v>95</v>
      </c>
      <c r="D19" s="13" t="s">
        <v>53</v>
      </c>
      <c r="E19" s="13">
        <v>6</v>
      </c>
      <c r="F19" s="14">
        <f t="shared" si="0"/>
        <v>10.5882352941176</v>
      </c>
      <c r="G19" s="15">
        <f t="shared" si="1"/>
        <v>0.85</v>
      </c>
      <c r="H19" s="16">
        <v>9</v>
      </c>
      <c r="I19" s="16">
        <f t="shared" si="2"/>
        <v>54</v>
      </c>
      <c r="J19" s="12"/>
    </row>
    <row r="20" s="4" customFormat="1" ht="16" customHeight="1" spans="1:10">
      <c r="A20" s="12">
        <v>15</v>
      </c>
      <c r="B20" s="17" t="s">
        <v>96</v>
      </c>
      <c r="C20" s="17" t="s">
        <v>97</v>
      </c>
      <c r="D20" s="18" t="s">
        <v>32</v>
      </c>
      <c r="E20" s="18">
        <v>1</v>
      </c>
      <c r="F20" s="14">
        <f t="shared" si="0"/>
        <v>317.647058823529</v>
      </c>
      <c r="G20" s="15">
        <f t="shared" si="1"/>
        <v>0.85</v>
      </c>
      <c r="H20" s="16">
        <v>270</v>
      </c>
      <c r="I20" s="16">
        <f t="shared" si="2"/>
        <v>270</v>
      </c>
      <c r="J20" s="17"/>
    </row>
    <row r="21" s="4" customFormat="1" ht="16" customHeight="1" spans="1:10">
      <c r="A21" s="12">
        <v>16</v>
      </c>
      <c r="B21" s="17" t="s">
        <v>98</v>
      </c>
      <c r="C21" s="17" t="s">
        <v>99</v>
      </c>
      <c r="D21" s="18" t="s">
        <v>100</v>
      </c>
      <c r="E21" s="18">
        <v>1</v>
      </c>
      <c r="F21" s="14">
        <f t="shared" si="0"/>
        <v>152.941176470588</v>
      </c>
      <c r="G21" s="15">
        <f t="shared" si="1"/>
        <v>0.85</v>
      </c>
      <c r="H21" s="16">
        <v>130</v>
      </c>
      <c r="I21" s="16">
        <f t="shared" si="2"/>
        <v>130</v>
      </c>
      <c r="J21" s="17"/>
    </row>
    <row r="22" s="4" customFormat="1" ht="16" customHeight="1" spans="1:10">
      <c r="A22" s="12">
        <v>17</v>
      </c>
      <c r="B22" s="17" t="s">
        <v>35</v>
      </c>
      <c r="C22" s="17"/>
      <c r="D22" s="18" t="s">
        <v>36</v>
      </c>
      <c r="E22" s="18">
        <v>55</v>
      </c>
      <c r="F22" s="14">
        <f t="shared" si="0"/>
        <v>4.11764705882353</v>
      </c>
      <c r="G22" s="15">
        <f t="shared" si="1"/>
        <v>0.85</v>
      </c>
      <c r="H22" s="16">
        <v>3.5</v>
      </c>
      <c r="I22" s="16">
        <f t="shared" si="2"/>
        <v>192.5</v>
      </c>
      <c r="J22" s="17"/>
    </row>
    <row r="23" s="4" customFormat="1" ht="16" customHeight="1" spans="1:10">
      <c r="A23" s="12">
        <v>18</v>
      </c>
      <c r="B23" s="17"/>
      <c r="C23" s="17"/>
      <c r="D23" s="17"/>
      <c r="E23" s="18"/>
      <c r="F23" s="14"/>
      <c r="G23" s="15"/>
      <c r="H23" s="16"/>
      <c r="I23" s="16"/>
      <c r="J23" s="17"/>
    </row>
    <row r="24" s="4" customFormat="1" ht="16" customHeight="1" spans="1:10">
      <c r="A24" s="12">
        <v>19</v>
      </c>
      <c r="B24" s="17"/>
      <c r="C24" s="17"/>
      <c r="D24" s="18"/>
      <c r="E24" s="18"/>
      <c r="F24" s="14"/>
      <c r="G24" s="15"/>
      <c r="H24" s="16"/>
      <c r="I24" s="16"/>
      <c r="J24" s="17"/>
    </row>
    <row r="25" s="4" customFormat="1" ht="16" customHeight="1" spans="1:10">
      <c r="A25" s="12">
        <v>20</v>
      </c>
      <c r="B25" s="17"/>
      <c r="C25" s="17"/>
      <c r="D25" s="18"/>
      <c r="E25" s="18"/>
      <c r="F25" s="14"/>
      <c r="G25" s="15"/>
      <c r="H25" s="16"/>
      <c r="I25" s="16"/>
      <c r="J25" s="17"/>
    </row>
    <row r="26" s="4" customFormat="1" ht="16" customHeight="1" spans="1:10">
      <c r="A26" s="12">
        <v>21</v>
      </c>
      <c r="B26" s="12"/>
      <c r="C26" s="12"/>
      <c r="D26" s="13"/>
      <c r="E26" s="13"/>
      <c r="F26" s="14"/>
      <c r="G26" s="15"/>
      <c r="H26" s="16"/>
      <c r="I26" s="16"/>
      <c r="J26" s="12"/>
    </row>
    <row r="27" s="4" customFormat="1" ht="16" customHeight="1" spans="1:10">
      <c r="A27" s="12">
        <v>22</v>
      </c>
      <c r="B27" s="17"/>
      <c r="C27" s="17"/>
      <c r="D27" s="17"/>
      <c r="E27" s="18"/>
      <c r="F27" s="14"/>
      <c r="G27" s="15"/>
      <c r="H27" s="16"/>
      <c r="I27" s="16"/>
      <c r="J27" s="17"/>
    </row>
    <row r="28" s="4" customFormat="1" ht="16" customHeight="1" spans="1:10">
      <c r="A28" s="12">
        <v>23</v>
      </c>
      <c r="B28" s="12"/>
      <c r="C28" s="12"/>
      <c r="D28" s="17"/>
      <c r="E28" s="13"/>
      <c r="F28" s="14"/>
      <c r="G28" s="15"/>
      <c r="H28" s="16"/>
      <c r="I28" s="16"/>
      <c r="J28" s="12"/>
    </row>
    <row r="29" s="4" customFormat="1" ht="16" customHeight="1" spans="1:10">
      <c r="A29" s="12">
        <v>24</v>
      </c>
      <c r="B29" s="12"/>
      <c r="C29" s="12"/>
      <c r="D29" s="17"/>
      <c r="E29" s="13"/>
      <c r="F29" s="14"/>
      <c r="G29" s="15"/>
      <c r="H29" s="16"/>
      <c r="I29" s="16"/>
      <c r="J29" s="12"/>
    </row>
    <row r="30" s="4" customFormat="1" ht="16" customHeight="1" spans="1:10">
      <c r="A30" s="12">
        <v>25</v>
      </c>
      <c r="B30" s="12"/>
      <c r="C30" s="12"/>
      <c r="D30" s="12"/>
      <c r="E30" s="13"/>
      <c r="F30" s="14"/>
      <c r="G30" s="15"/>
      <c r="H30" s="16"/>
      <c r="I30" s="16"/>
      <c r="J30" s="12"/>
    </row>
    <row r="31" s="4" customFormat="1" ht="16" customHeight="1" spans="1:10">
      <c r="A31" s="12">
        <v>26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4" customFormat="1" ht="16" customHeight="1" spans="1:10">
      <c r="A32" s="12">
        <v>27</v>
      </c>
      <c r="B32" s="12"/>
      <c r="C32" s="12"/>
      <c r="D32" s="12"/>
      <c r="E32" s="13"/>
      <c r="F32" s="14"/>
      <c r="G32" s="15"/>
      <c r="H32" s="16"/>
      <c r="I32" s="16"/>
      <c r="J32" s="12"/>
    </row>
    <row r="33" s="4" customFormat="1" ht="16" customHeight="1" spans="1:10">
      <c r="A33" s="12">
        <v>28</v>
      </c>
      <c r="B33" s="12"/>
      <c r="C33" s="12"/>
      <c r="D33" s="12"/>
      <c r="E33" s="13"/>
      <c r="F33" s="14"/>
      <c r="G33" s="15"/>
      <c r="H33" s="16"/>
      <c r="I33" s="16"/>
      <c r="J33" s="12"/>
    </row>
    <row r="34" s="4" customFormat="1" customHeight="1" spans="1:10">
      <c r="A34" s="12" t="s">
        <v>37</v>
      </c>
      <c r="B34" s="20">
        <f>SUM(I6:I33)</f>
        <v>1054.1</v>
      </c>
      <c r="C34" s="21"/>
      <c r="D34" s="21"/>
      <c r="E34" s="21"/>
      <c r="F34" s="21"/>
      <c r="G34" s="21"/>
      <c r="H34" s="21"/>
      <c r="I34" s="21"/>
      <c r="J34" s="25"/>
    </row>
    <row r="35" s="4" customFormat="1" customHeight="1" spans="1:10">
      <c r="A35" s="12" t="s">
        <v>38</v>
      </c>
      <c r="B35" s="23">
        <f>B34</f>
        <v>1054.1</v>
      </c>
      <c r="C35" s="24"/>
      <c r="D35" s="24"/>
      <c r="E35" s="24"/>
      <c r="F35" s="24"/>
      <c r="G35" s="24"/>
      <c r="H35" s="24"/>
      <c r="I35" s="24"/>
      <c r="J35" s="26"/>
    </row>
    <row r="36" s="4" customFormat="1" customHeight="1" spans="1:1">
      <c r="A36" s="4" t="s">
        <v>39</v>
      </c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1"/>
  </conditionalFormatting>
  <conditionalFormatting sqref="B6:C26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4" workbookViewId="0">
      <selection activeCell="I14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3.125" style="4" customWidth="1"/>
    <col min="4" max="4" width="5.94166666666667" style="4" customWidth="1"/>
    <col min="5" max="5" width="5.25" style="4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6" width="11.6666666666667" style="4" customWidth="1"/>
    <col min="16327" max="16327" width="11.6666666666667" style="4"/>
    <col min="16328" max="16333" width="11" style="4"/>
    <col min="16334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="4" customFormat="1" customHeight="1" spans="1:2">
      <c r="A3" s="4" t="s">
        <v>1</v>
      </c>
      <c r="B3" s="4" t="s">
        <v>2</v>
      </c>
    </row>
    <row r="4" s="4" customFormat="1" customHeight="1" spans="1:10">
      <c r="A4" s="4" t="s">
        <v>3</v>
      </c>
      <c r="B4" s="9">
        <v>45239</v>
      </c>
      <c r="C4" s="9"/>
      <c r="D4" s="10"/>
      <c r="E4" s="10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17</v>
      </c>
      <c r="C6" s="12"/>
      <c r="D6" s="13" t="s">
        <v>15</v>
      </c>
      <c r="E6" s="13">
        <v>4</v>
      </c>
      <c r="F6" s="14">
        <f t="shared" ref="F6:F13" si="0">H6/0.85</f>
        <v>4.11764705882353</v>
      </c>
      <c r="G6" s="15">
        <f t="shared" ref="G6:G13" si="1">H6/F6</f>
        <v>0.85</v>
      </c>
      <c r="H6" s="16">
        <v>3.5</v>
      </c>
      <c r="I6" s="16">
        <f t="shared" ref="I6:I13" si="2">E6*H6</f>
        <v>14</v>
      </c>
      <c r="J6" s="12"/>
    </row>
    <row r="7" s="4" customFormat="1" ht="16" customHeight="1" spans="1:10">
      <c r="A7" s="12">
        <v>2</v>
      </c>
      <c r="B7" s="12" t="s">
        <v>101</v>
      </c>
      <c r="C7" s="12"/>
      <c r="D7" s="13" t="s">
        <v>15</v>
      </c>
      <c r="E7" s="13">
        <v>1</v>
      </c>
      <c r="F7" s="14">
        <f t="shared" si="0"/>
        <v>15.0588235294118</v>
      </c>
      <c r="G7" s="15">
        <f t="shared" si="1"/>
        <v>0.85</v>
      </c>
      <c r="H7" s="16">
        <v>12.8</v>
      </c>
      <c r="I7" s="16">
        <f t="shared" si="2"/>
        <v>12.8</v>
      </c>
      <c r="J7" s="12"/>
    </row>
    <row r="8" s="4" customFormat="1" ht="16" customHeight="1" spans="1:10">
      <c r="A8" s="12">
        <v>3</v>
      </c>
      <c r="B8" s="12" t="s">
        <v>19</v>
      </c>
      <c r="C8" s="12"/>
      <c r="D8" s="13" t="s">
        <v>15</v>
      </c>
      <c r="E8" s="13">
        <v>3</v>
      </c>
      <c r="F8" s="14">
        <f t="shared" si="0"/>
        <v>2.94117647058824</v>
      </c>
      <c r="G8" s="15">
        <f t="shared" si="1"/>
        <v>0.85</v>
      </c>
      <c r="H8" s="16">
        <v>2.5</v>
      </c>
      <c r="I8" s="16">
        <f t="shared" si="2"/>
        <v>7.5</v>
      </c>
      <c r="J8" s="12"/>
    </row>
    <row r="9" s="4" customFormat="1" ht="16" customHeight="1" spans="1:10">
      <c r="A9" s="12">
        <v>4</v>
      </c>
      <c r="B9" s="17" t="s">
        <v>102</v>
      </c>
      <c r="C9" s="17"/>
      <c r="D9" s="13" t="s">
        <v>15</v>
      </c>
      <c r="E9" s="13">
        <v>5</v>
      </c>
      <c r="F9" s="14">
        <f t="shared" si="0"/>
        <v>4.47058823529412</v>
      </c>
      <c r="G9" s="15">
        <f t="shared" si="1"/>
        <v>0.85</v>
      </c>
      <c r="H9" s="16">
        <v>3.8</v>
      </c>
      <c r="I9" s="16">
        <f t="shared" si="2"/>
        <v>19</v>
      </c>
      <c r="J9" s="12"/>
    </row>
    <row r="10" s="4" customFormat="1" ht="16" customHeight="1" spans="1:10">
      <c r="A10" s="12">
        <v>5</v>
      </c>
      <c r="B10" s="12" t="s">
        <v>20</v>
      </c>
      <c r="C10" s="12"/>
      <c r="D10" s="13" t="s">
        <v>15</v>
      </c>
      <c r="E10" s="13">
        <v>25</v>
      </c>
      <c r="F10" s="14">
        <f t="shared" si="0"/>
        <v>4.11764705882353</v>
      </c>
      <c r="G10" s="15">
        <f t="shared" si="1"/>
        <v>0.85</v>
      </c>
      <c r="H10" s="16">
        <v>3.5</v>
      </c>
      <c r="I10" s="16">
        <f t="shared" si="2"/>
        <v>87.5</v>
      </c>
      <c r="J10" s="12"/>
    </row>
    <row r="11" s="4" customFormat="1" ht="16" customHeight="1" spans="1:10">
      <c r="A11" s="12">
        <v>6</v>
      </c>
      <c r="B11" s="12" t="s">
        <v>103</v>
      </c>
      <c r="C11" s="12"/>
      <c r="D11" s="13" t="s">
        <v>15</v>
      </c>
      <c r="E11" s="13">
        <v>2</v>
      </c>
      <c r="F11" s="14">
        <f t="shared" si="0"/>
        <v>4.47058823529412</v>
      </c>
      <c r="G11" s="15">
        <f t="shared" si="1"/>
        <v>0.85</v>
      </c>
      <c r="H11" s="16">
        <v>3.8</v>
      </c>
      <c r="I11" s="16">
        <f t="shared" si="2"/>
        <v>7.6</v>
      </c>
      <c r="J11" s="12"/>
    </row>
    <row r="12" s="4" customFormat="1" ht="16" customHeight="1" spans="1:10">
      <c r="A12" s="12">
        <v>7</v>
      </c>
      <c r="B12" s="12" t="s">
        <v>104</v>
      </c>
      <c r="C12" s="12"/>
      <c r="D12" s="13" t="s">
        <v>15</v>
      </c>
      <c r="E12" s="13">
        <v>8.4</v>
      </c>
      <c r="F12" s="14">
        <f t="shared" si="0"/>
        <v>2.94117647058824</v>
      </c>
      <c r="G12" s="15">
        <f t="shared" si="1"/>
        <v>0.85</v>
      </c>
      <c r="H12" s="16">
        <v>2.5</v>
      </c>
      <c r="I12" s="16">
        <f t="shared" si="2"/>
        <v>21</v>
      </c>
      <c r="J12" s="12"/>
    </row>
    <row r="13" s="4" customFormat="1" ht="16" customHeight="1" spans="1:10">
      <c r="A13" s="12">
        <v>8</v>
      </c>
      <c r="B13" s="17" t="s">
        <v>25</v>
      </c>
      <c r="C13" s="17"/>
      <c r="D13" s="18" t="s">
        <v>15</v>
      </c>
      <c r="E13" s="18">
        <v>1</v>
      </c>
      <c r="F13" s="14">
        <f t="shared" si="0"/>
        <v>9.17647058823529</v>
      </c>
      <c r="G13" s="15">
        <f t="shared" si="1"/>
        <v>0.85</v>
      </c>
      <c r="H13" s="16">
        <v>7.8</v>
      </c>
      <c r="I13" s="16">
        <f t="shared" si="2"/>
        <v>7.8</v>
      </c>
      <c r="J13" s="17"/>
    </row>
    <row r="14" s="4" customFormat="1" ht="16" customHeight="1" spans="1:10">
      <c r="A14" s="12">
        <v>9</v>
      </c>
      <c r="B14" s="17" t="s">
        <v>85</v>
      </c>
      <c r="C14" s="17"/>
      <c r="D14" s="18" t="s">
        <v>15</v>
      </c>
      <c r="E14" s="18">
        <v>1</v>
      </c>
      <c r="F14" s="14">
        <f t="shared" ref="F14:F25" si="3">H14/0.85</f>
        <v>11.5294117647059</v>
      </c>
      <c r="G14" s="15">
        <f t="shared" ref="G14:G25" si="4">H14/F14</f>
        <v>0.85</v>
      </c>
      <c r="H14" s="16">
        <v>9.8</v>
      </c>
      <c r="I14" s="16">
        <f t="shared" ref="I14:I25" si="5">E14*H14</f>
        <v>9.8</v>
      </c>
      <c r="J14" s="17"/>
    </row>
    <row r="15" s="4" customFormat="1" ht="16" customHeight="1" spans="1:10">
      <c r="A15" s="12">
        <v>10</v>
      </c>
      <c r="B15" s="17" t="s">
        <v>105</v>
      </c>
      <c r="C15" s="17"/>
      <c r="D15" s="18" t="s">
        <v>15</v>
      </c>
      <c r="E15" s="18">
        <v>15</v>
      </c>
      <c r="F15" s="14">
        <f t="shared" si="3"/>
        <v>5.64705882352941</v>
      </c>
      <c r="G15" s="15">
        <f t="shared" si="4"/>
        <v>0.85</v>
      </c>
      <c r="H15" s="16">
        <v>4.8</v>
      </c>
      <c r="I15" s="16">
        <f t="shared" si="5"/>
        <v>72</v>
      </c>
      <c r="J15" s="17"/>
    </row>
    <row r="16" s="4" customFormat="1" ht="16" customHeight="1" spans="1:10">
      <c r="A16" s="12">
        <v>11</v>
      </c>
      <c r="B16" s="17" t="s">
        <v>106</v>
      </c>
      <c r="C16" s="17"/>
      <c r="D16" s="18" t="s">
        <v>15</v>
      </c>
      <c r="E16" s="18">
        <v>3</v>
      </c>
      <c r="F16" s="14">
        <f t="shared" si="3"/>
        <v>8</v>
      </c>
      <c r="G16" s="15">
        <f t="shared" si="4"/>
        <v>0.85</v>
      </c>
      <c r="H16" s="16">
        <v>6.8</v>
      </c>
      <c r="I16" s="16">
        <f t="shared" si="5"/>
        <v>20.4</v>
      </c>
      <c r="J16" s="17"/>
    </row>
    <row r="17" s="4" customFormat="1" ht="16" customHeight="1" spans="1:10">
      <c r="A17" s="12">
        <v>12</v>
      </c>
      <c r="B17" s="17" t="s">
        <v>26</v>
      </c>
      <c r="C17" s="17"/>
      <c r="D17" s="18" t="s">
        <v>15</v>
      </c>
      <c r="E17" s="18">
        <v>2</v>
      </c>
      <c r="F17" s="14">
        <f t="shared" si="3"/>
        <v>16.2352941176471</v>
      </c>
      <c r="G17" s="15">
        <f t="shared" si="4"/>
        <v>0.85</v>
      </c>
      <c r="H17" s="16">
        <v>13.8</v>
      </c>
      <c r="I17" s="16">
        <f t="shared" si="5"/>
        <v>27.6</v>
      </c>
      <c r="J17" s="17"/>
    </row>
    <row r="18" s="4" customFormat="1" ht="16" customHeight="1" spans="1:10">
      <c r="A18" s="12">
        <v>13</v>
      </c>
      <c r="B18" s="12" t="s">
        <v>28</v>
      </c>
      <c r="C18" s="12"/>
      <c r="D18" s="13" t="s">
        <v>15</v>
      </c>
      <c r="E18" s="13">
        <v>3</v>
      </c>
      <c r="F18" s="14">
        <f t="shared" si="3"/>
        <v>16.2352941176471</v>
      </c>
      <c r="G18" s="15">
        <f t="shared" si="4"/>
        <v>0.85</v>
      </c>
      <c r="H18" s="16">
        <v>13.8</v>
      </c>
      <c r="I18" s="16">
        <f t="shared" si="5"/>
        <v>41.4</v>
      </c>
      <c r="J18" s="12"/>
    </row>
    <row r="19" s="4" customFormat="1" ht="16" customHeight="1" spans="1:10">
      <c r="A19" s="12">
        <v>14</v>
      </c>
      <c r="B19" s="17" t="s">
        <v>69</v>
      </c>
      <c r="C19" s="17"/>
      <c r="D19" s="18" t="s">
        <v>15</v>
      </c>
      <c r="E19" s="18">
        <v>5</v>
      </c>
      <c r="F19" s="14">
        <f t="shared" si="3"/>
        <v>23.5294117647059</v>
      </c>
      <c r="G19" s="15">
        <f t="shared" si="4"/>
        <v>0.85</v>
      </c>
      <c r="H19" s="16">
        <v>20</v>
      </c>
      <c r="I19" s="16">
        <f t="shared" si="5"/>
        <v>100</v>
      </c>
      <c r="J19" s="17"/>
    </row>
    <row r="20" s="4" customFormat="1" ht="16" customHeight="1" spans="1:10">
      <c r="A20" s="12">
        <v>15</v>
      </c>
      <c r="B20" s="17" t="s">
        <v>107</v>
      </c>
      <c r="C20" s="17"/>
      <c r="D20" s="18" t="s">
        <v>15</v>
      </c>
      <c r="E20" s="18">
        <v>5</v>
      </c>
      <c r="F20" s="14">
        <f t="shared" si="3"/>
        <v>23.5294117647059</v>
      </c>
      <c r="G20" s="15">
        <f t="shared" si="4"/>
        <v>0.85</v>
      </c>
      <c r="H20" s="16">
        <v>20</v>
      </c>
      <c r="I20" s="16">
        <f t="shared" si="5"/>
        <v>100</v>
      </c>
      <c r="J20" s="17"/>
    </row>
    <row r="21" s="4" customFormat="1" ht="16" customHeight="1" spans="1:10">
      <c r="A21" s="12">
        <v>16</v>
      </c>
      <c r="B21" s="17" t="s">
        <v>108</v>
      </c>
      <c r="C21" s="17"/>
      <c r="D21" s="18" t="s">
        <v>15</v>
      </c>
      <c r="E21" s="18">
        <v>15</v>
      </c>
      <c r="F21" s="14">
        <f t="shared" si="3"/>
        <v>5.88235294117647</v>
      </c>
      <c r="G21" s="15">
        <f t="shared" si="4"/>
        <v>0.85</v>
      </c>
      <c r="H21" s="16">
        <v>5</v>
      </c>
      <c r="I21" s="16">
        <f t="shared" si="5"/>
        <v>75</v>
      </c>
      <c r="J21" s="17"/>
    </row>
    <row r="22" s="4" customFormat="1" ht="16" customHeight="1" spans="1:10">
      <c r="A22" s="12">
        <v>17</v>
      </c>
      <c r="B22" s="17" t="s">
        <v>109</v>
      </c>
      <c r="C22" s="17" t="s">
        <v>110</v>
      </c>
      <c r="D22" s="17" t="s">
        <v>51</v>
      </c>
      <c r="E22" s="18">
        <v>1</v>
      </c>
      <c r="F22" s="14">
        <f t="shared" si="3"/>
        <v>11.5294117647059</v>
      </c>
      <c r="G22" s="15">
        <f t="shared" si="4"/>
        <v>0.85</v>
      </c>
      <c r="H22" s="16">
        <v>9.8</v>
      </c>
      <c r="I22" s="16">
        <f t="shared" si="5"/>
        <v>9.8</v>
      </c>
      <c r="J22" s="17"/>
    </row>
    <row r="23" s="4" customFormat="1" ht="16" customHeight="1" spans="1:10">
      <c r="A23" s="12">
        <v>18</v>
      </c>
      <c r="B23" s="17" t="s">
        <v>111</v>
      </c>
      <c r="C23" s="17" t="s">
        <v>112</v>
      </c>
      <c r="D23" s="18" t="s">
        <v>15</v>
      </c>
      <c r="E23" s="18">
        <v>2</v>
      </c>
      <c r="F23" s="14">
        <f t="shared" si="3"/>
        <v>7.05882352941176</v>
      </c>
      <c r="G23" s="15">
        <f t="shared" si="4"/>
        <v>0.85</v>
      </c>
      <c r="H23" s="16">
        <v>6</v>
      </c>
      <c r="I23" s="16">
        <f t="shared" si="5"/>
        <v>12</v>
      </c>
      <c r="J23" s="17"/>
    </row>
    <row r="24" s="4" customFormat="1" ht="16" customHeight="1" spans="1:10">
      <c r="A24" s="12">
        <v>19</v>
      </c>
      <c r="B24" s="17" t="s">
        <v>35</v>
      </c>
      <c r="C24" s="17"/>
      <c r="D24" s="18" t="s">
        <v>36</v>
      </c>
      <c r="E24" s="18">
        <v>55</v>
      </c>
      <c r="F24" s="14">
        <f t="shared" si="3"/>
        <v>4.11764705882353</v>
      </c>
      <c r="G24" s="15">
        <f t="shared" si="4"/>
        <v>0.85</v>
      </c>
      <c r="H24" s="16">
        <v>3.5</v>
      </c>
      <c r="I24" s="16">
        <f t="shared" si="5"/>
        <v>192.5</v>
      </c>
      <c r="J24" s="17"/>
    </row>
    <row r="25" s="4" customFormat="1" ht="16" customHeight="1" spans="1:10">
      <c r="A25" s="12">
        <v>20</v>
      </c>
      <c r="B25" s="12" t="s">
        <v>113</v>
      </c>
      <c r="C25" s="12"/>
      <c r="D25" s="13" t="s">
        <v>15</v>
      </c>
      <c r="E25" s="13">
        <v>5</v>
      </c>
      <c r="F25" s="14">
        <f t="shared" si="3"/>
        <v>103.529411764706</v>
      </c>
      <c r="G25" s="15">
        <f t="shared" si="4"/>
        <v>0.85</v>
      </c>
      <c r="H25" s="16">
        <v>88</v>
      </c>
      <c r="I25" s="16">
        <f t="shared" si="5"/>
        <v>440</v>
      </c>
      <c r="J25" s="12"/>
    </row>
    <row r="26" s="4" customFormat="1" ht="16" customHeight="1" spans="1:10">
      <c r="A26" s="12">
        <v>21</v>
      </c>
      <c r="B26" s="17"/>
      <c r="C26" s="17"/>
      <c r="D26" s="13"/>
      <c r="E26" s="13"/>
      <c r="F26" s="14"/>
      <c r="G26" s="15"/>
      <c r="H26" s="16"/>
      <c r="I26" s="16"/>
      <c r="J26" s="12"/>
    </row>
    <row r="27" s="4" customFormat="1" ht="16" customHeight="1" spans="1:10">
      <c r="A27" s="12">
        <v>22</v>
      </c>
      <c r="B27" s="17"/>
      <c r="C27" s="17"/>
      <c r="D27" s="17"/>
      <c r="E27" s="18"/>
      <c r="F27" s="14"/>
      <c r="G27" s="15"/>
      <c r="H27" s="16"/>
      <c r="I27" s="16"/>
      <c r="J27" s="17"/>
    </row>
    <row r="28" s="4" customFormat="1" ht="16" customHeight="1" spans="1:10">
      <c r="A28" s="12">
        <v>23</v>
      </c>
      <c r="B28" s="12"/>
      <c r="C28" s="12"/>
      <c r="D28" s="17"/>
      <c r="E28" s="13"/>
      <c r="F28" s="14"/>
      <c r="G28" s="15"/>
      <c r="H28" s="16"/>
      <c r="I28" s="16"/>
      <c r="J28" s="12"/>
    </row>
    <row r="29" s="4" customFormat="1" ht="16" customHeight="1" spans="1:10">
      <c r="A29" s="12">
        <v>24</v>
      </c>
      <c r="B29" s="12"/>
      <c r="C29" s="12"/>
      <c r="D29" s="17"/>
      <c r="E29" s="13"/>
      <c r="F29" s="14"/>
      <c r="G29" s="15"/>
      <c r="H29" s="16"/>
      <c r="I29" s="16"/>
      <c r="J29" s="12"/>
    </row>
    <row r="30" s="4" customFormat="1" ht="16" customHeight="1" spans="1:10">
      <c r="A30" s="12">
        <v>25</v>
      </c>
      <c r="B30" s="12"/>
      <c r="C30" s="12"/>
      <c r="D30" s="12"/>
      <c r="E30" s="13"/>
      <c r="F30" s="14"/>
      <c r="G30" s="15"/>
      <c r="H30" s="16"/>
      <c r="I30" s="16"/>
      <c r="J30" s="12"/>
    </row>
    <row r="31" s="4" customFormat="1" ht="16" customHeight="1" spans="1:10">
      <c r="A31" s="12">
        <v>26</v>
      </c>
      <c r="B31" s="12"/>
      <c r="C31" s="12"/>
      <c r="D31" s="12"/>
      <c r="E31" s="13"/>
      <c r="F31" s="14"/>
      <c r="G31" s="15"/>
      <c r="H31" s="16"/>
      <c r="I31" s="16"/>
      <c r="J31" s="12"/>
    </row>
    <row r="32" s="4" customFormat="1" ht="16" customHeight="1" spans="1:10">
      <c r="A32" s="12">
        <v>27</v>
      </c>
      <c r="B32" s="12"/>
      <c r="C32" s="12"/>
      <c r="D32" s="12"/>
      <c r="E32" s="13"/>
      <c r="F32" s="14"/>
      <c r="G32" s="15"/>
      <c r="H32" s="16"/>
      <c r="I32" s="16"/>
      <c r="J32" s="12"/>
    </row>
    <row r="33" s="4" customFormat="1" customHeight="1" spans="1:10">
      <c r="A33" s="12" t="s">
        <v>37</v>
      </c>
      <c r="B33" s="20">
        <f>SUM(I6:I32)</f>
        <v>1277.7</v>
      </c>
      <c r="C33" s="21"/>
      <c r="D33" s="21"/>
      <c r="E33" s="21"/>
      <c r="F33" s="21"/>
      <c r="G33" s="21"/>
      <c r="H33" s="21"/>
      <c r="I33" s="21"/>
      <c r="J33" s="25"/>
    </row>
    <row r="34" s="4" customFormat="1" customHeight="1" spans="1:10">
      <c r="A34" s="12" t="s">
        <v>38</v>
      </c>
      <c r="B34" s="23">
        <f>B33</f>
        <v>1277.7</v>
      </c>
      <c r="C34" s="24"/>
      <c r="D34" s="24"/>
      <c r="E34" s="24"/>
      <c r="F34" s="24"/>
      <c r="G34" s="24"/>
      <c r="H34" s="24"/>
      <c r="I34" s="24"/>
      <c r="J34" s="26"/>
    </row>
    <row r="35" s="4" customFormat="1" customHeight="1" spans="1:1">
      <c r="A35" s="4" t="s">
        <v>39</v>
      </c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1"/>
  </conditionalFormatting>
  <conditionalFormatting sqref="B6:B25">
    <cfRule type="duplicateValues" dxfId="0" priority="2"/>
  </conditionalFormatting>
  <pageMargins left="0.751388888888889" right="0.751388888888889" top="0.409027777777778" bottom="0.2125" header="0.5" footer="0.5"/>
  <pageSetup paperSize="9" scale="95" orientation="portrait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2" workbookViewId="0">
      <selection activeCell="I12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6" width="11.6666666666667" style="4" customWidth="1"/>
    <col min="16327" max="16327" width="11.6666666666667" style="4"/>
    <col min="16328" max="16333" width="11" style="4"/>
    <col min="16334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45240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5</v>
      </c>
      <c r="F6" s="14">
        <f t="shared" ref="F6:F30" si="0">H6/0.85</f>
        <v>3.52941176470588</v>
      </c>
      <c r="G6" s="15">
        <f t="shared" ref="G6:G30" si="1">H6/F6</f>
        <v>0.85</v>
      </c>
      <c r="H6" s="16">
        <v>3</v>
      </c>
      <c r="I6" s="16">
        <f t="shared" ref="I6:I30" si="2">E6*H6</f>
        <v>15</v>
      </c>
      <c r="J6" s="12"/>
    </row>
    <row r="7" s="4" customFormat="1" ht="16" customHeight="1" spans="1:10">
      <c r="A7" s="12">
        <v>2</v>
      </c>
      <c r="B7" s="12" t="s">
        <v>58</v>
      </c>
      <c r="C7" s="12" t="s">
        <v>59</v>
      </c>
      <c r="D7" s="13" t="s">
        <v>15</v>
      </c>
      <c r="E7" s="13">
        <v>6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21</v>
      </c>
      <c r="J7" s="12"/>
    </row>
    <row r="8" s="4" customFormat="1" ht="16" customHeight="1" spans="1:10">
      <c r="A8" s="12">
        <v>3</v>
      </c>
      <c r="B8" s="12" t="s">
        <v>60</v>
      </c>
      <c r="C8" s="12"/>
      <c r="D8" s="13" t="s">
        <v>15</v>
      </c>
      <c r="E8" s="13">
        <v>1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3.5</v>
      </c>
      <c r="J8" s="12"/>
    </row>
    <row r="9" s="4" customFormat="1" ht="16" customHeight="1" spans="1:10">
      <c r="A9" s="12">
        <v>4</v>
      </c>
      <c r="B9" s="17" t="s">
        <v>17</v>
      </c>
      <c r="C9" s="17"/>
      <c r="D9" s="13" t="s">
        <v>15</v>
      </c>
      <c r="E9" s="13">
        <v>5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17.5</v>
      </c>
      <c r="J9" s="12"/>
    </row>
    <row r="10" s="4" customFormat="1" ht="16" customHeight="1" spans="1:10">
      <c r="A10" s="12">
        <v>5</v>
      </c>
      <c r="B10" s="17" t="s">
        <v>102</v>
      </c>
      <c r="C10" s="17"/>
      <c r="D10" s="13" t="s">
        <v>15</v>
      </c>
      <c r="E10" s="13">
        <v>6</v>
      </c>
      <c r="F10" s="14">
        <f t="shared" si="0"/>
        <v>4.47058823529412</v>
      </c>
      <c r="G10" s="15">
        <f t="shared" si="1"/>
        <v>0.85</v>
      </c>
      <c r="H10" s="16">
        <v>3.8</v>
      </c>
      <c r="I10" s="16">
        <f t="shared" si="2"/>
        <v>22.8</v>
      </c>
      <c r="J10" s="12"/>
    </row>
    <row r="11" s="4" customFormat="1" ht="16" customHeight="1" spans="1:10">
      <c r="A11" s="12">
        <v>6</v>
      </c>
      <c r="B11" s="12" t="s">
        <v>22</v>
      </c>
      <c r="C11" s="12"/>
      <c r="D11" s="13" t="s">
        <v>23</v>
      </c>
      <c r="E11" s="13">
        <v>8</v>
      </c>
      <c r="F11" s="14">
        <f t="shared" si="0"/>
        <v>3.52941176470588</v>
      </c>
      <c r="G11" s="15">
        <f t="shared" si="1"/>
        <v>0.85</v>
      </c>
      <c r="H11" s="16">
        <v>3</v>
      </c>
      <c r="I11" s="16">
        <f t="shared" si="2"/>
        <v>24</v>
      </c>
      <c r="J11" s="12"/>
    </row>
    <row r="12" s="4" customFormat="1" ht="16" customHeight="1" spans="1:10">
      <c r="A12" s="12">
        <v>7</v>
      </c>
      <c r="B12" s="12" t="s">
        <v>74</v>
      </c>
      <c r="C12" s="12"/>
      <c r="D12" s="13" t="s">
        <v>15</v>
      </c>
      <c r="E12" s="13">
        <v>6</v>
      </c>
      <c r="F12" s="14">
        <f t="shared" si="0"/>
        <v>4.47058823529412</v>
      </c>
      <c r="G12" s="15">
        <f t="shared" si="1"/>
        <v>0.85</v>
      </c>
      <c r="H12" s="16">
        <v>3.8</v>
      </c>
      <c r="I12" s="16">
        <f t="shared" si="2"/>
        <v>22.8</v>
      </c>
      <c r="J12" s="12"/>
    </row>
    <row r="13" s="4" customFormat="1" ht="16" customHeight="1" spans="1:10">
      <c r="A13" s="12">
        <v>8</v>
      </c>
      <c r="B13" s="17" t="s">
        <v>114</v>
      </c>
      <c r="C13" s="17"/>
      <c r="D13" s="18" t="s">
        <v>15</v>
      </c>
      <c r="E13" s="18">
        <v>11.3</v>
      </c>
      <c r="F13" s="14">
        <f t="shared" si="0"/>
        <v>6.82352941176471</v>
      </c>
      <c r="G13" s="15">
        <f t="shared" si="1"/>
        <v>0.85</v>
      </c>
      <c r="H13" s="19">
        <v>5.8</v>
      </c>
      <c r="I13" s="16">
        <f t="shared" si="2"/>
        <v>65.54</v>
      </c>
      <c r="J13" s="17"/>
    </row>
    <row r="14" s="4" customFormat="1" ht="16" customHeight="1" spans="1:10">
      <c r="A14" s="12">
        <v>9</v>
      </c>
      <c r="B14" s="17" t="s">
        <v>103</v>
      </c>
      <c r="C14" s="17"/>
      <c r="D14" s="18" t="s">
        <v>15</v>
      </c>
      <c r="E14" s="18">
        <v>5</v>
      </c>
      <c r="F14" s="14">
        <f t="shared" si="0"/>
        <v>4.47058823529412</v>
      </c>
      <c r="G14" s="15">
        <f t="shared" si="1"/>
        <v>0.85</v>
      </c>
      <c r="H14" s="19">
        <v>3.8</v>
      </c>
      <c r="I14" s="16">
        <f t="shared" si="2"/>
        <v>19</v>
      </c>
      <c r="J14" s="17"/>
    </row>
    <row r="15" s="4" customFormat="1" ht="16" customHeight="1" spans="1:10">
      <c r="A15" s="12">
        <v>10</v>
      </c>
      <c r="B15" s="17" t="s">
        <v>104</v>
      </c>
      <c r="C15" s="17"/>
      <c r="D15" s="18" t="s">
        <v>15</v>
      </c>
      <c r="E15" s="18">
        <v>7.8</v>
      </c>
      <c r="F15" s="14">
        <f t="shared" si="0"/>
        <v>2.94117647058824</v>
      </c>
      <c r="G15" s="15">
        <f t="shared" si="1"/>
        <v>0.85</v>
      </c>
      <c r="H15" s="19">
        <v>2.5</v>
      </c>
      <c r="I15" s="16">
        <f t="shared" si="2"/>
        <v>19.5</v>
      </c>
      <c r="J15" s="17"/>
    </row>
    <row r="16" s="4" customFormat="1" ht="16" customHeight="1" spans="1:10">
      <c r="A16" s="12">
        <v>11</v>
      </c>
      <c r="B16" s="12" t="s">
        <v>115</v>
      </c>
      <c r="C16" s="12"/>
      <c r="D16" s="13" t="s">
        <v>15</v>
      </c>
      <c r="E16" s="13">
        <v>5.5</v>
      </c>
      <c r="F16" s="14">
        <f t="shared" si="0"/>
        <v>13.8823529411765</v>
      </c>
      <c r="G16" s="15">
        <f t="shared" si="1"/>
        <v>0.85</v>
      </c>
      <c r="H16" s="16">
        <v>11.8</v>
      </c>
      <c r="I16" s="16">
        <f t="shared" si="2"/>
        <v>64.9</v>
      </c>
      <c r="J16" s="12"/>
    </row>
    <row r="17" s="4" customFormat="1" ht="16" customHeight="1" spans="1:10">
      <c r="A17" s="12">
        <v>12</v>
      </c>
      <c r="B17" s="17" t="s">
        <v>25</v>
      </c>
      <c r="C17" s="17"/>
      <c r="D17" s="18" t="s">
        <v>15</v>
      </c>
      <c r="E17" s="18">
        <v>2</v>
      </c>
      <c r="F17" s="14">
        <f t="shared" si="0"/>
        <v>9.17647058823529</v>
      </c>
      <c r="G17" s="15">
        <f t="shared" si="1"/>
        <v>0.85</v>
      </c>
      <c r="H17" s="16">
        <v>7.8</v>
      </c>
      <c r="I17" s="16">
        <f t="shared" si="2"/>
        <v>15.6</v>
      </c>
      <c r="J17" s="17"/>
    </row>
    <row r="18" s="4" customFormat="1" ht="16" customHeight="1" spans="1:10">
      <c r="A18" s="12">
        <v>13</v>
      </c>
      <c r="B18" s="17" t="s">
        <v>76</v>
      </c>
      <c r="C18" s="17"/>
      <c r="D18" s="18" t="s">
        <v>15</v>
      </c>
      <c r="E18" s="18">
        <v>8</v>
      </c>
      <c r="F18" s="14">
        <f t="shared" si="0"/>
        <v>2.11764705882353</v>
      </c>
      <c r="G18" s="15">
        <f t="shared" si="1"/>
        <v>0.85</v>
      </c>
      <c r="H18" s="16">
        <v>1.8</v>
      </c>
      <c r="I18" s="16">
        <f t="shared" si="2"/>
        <v>14.4</v>
      </c>
      <c r="J18" s="17"/>
    </row>
    <row r="19" s="4" customFormat="1" ht="16" customHeight="1" spans="1:10">
      <c r="A19" s="12">
        <v>14</v>
      </c>
      <c r="B19" s="17" t="s">
        <v>66</v>
      </c>
      <c r="C19" s="17"/>
      <c r="D19" s="17" t="s">
        <v>15</v>
      </c>
      <c r="E19" s="18">
        <v>12</v>
      </c>
      <c r="F19" s="14">
        <f t="shared" si="0"/>
        <v>2.35294117647059</v>
      </c>
      <c r="G19" s="15">
        <f t="shared" si="1"/>
        <v>0.85</v>
      </c>
      <c r="H19" s="16">
        <v>2</v>
      </c>
      <c r="I19" s="16">
        <f t="shared" si="2"/>
        <v>24</v>
      </c>
      <c r="J19" s="17"/>
    </row>
    <row r="20" s="4" customFormat="1" ht="16" customHeight="1" spans="1:10">
      <c r="A20" s="12">
        <v>15</v>
      </c>
      <c r="B20" s="17" t="s">
        <v>116</v>
      </c>
      <c r="C20" s="17"/>
      <c r="D20" s="18" t="s">
        <v>15</v>
      </c>
      <c r="E20" s="18">
        <v>3</v>
      </c>
      <c r="F20" s="14">
        <f t="shared" si="0"/>
        <v>5.64705882352941</v>
      </c>
      <c r="G20" s="15">
        <f t="shared" si="1"/>
        <v>0.85</v>
      </c>
      <c r="H20" s="16">
        <v>4.8</v>
      </c>
      <c r="I20" s="16">
        <f t="shared" si="2"/>
        <v>14.4</v>
      </c>
      <c r="J20" s="17"/>
    </row>
    <row r="21" s="4" customFormat="1" ht="16" customHeight="1" spans="1:10">
      <c r="A21" s="12">
        <v>16</v>
      </c>
      <c r="B21" s="17" t="s">
        <v>117</v>
      </c>
      <c r="C21" s="17"/>
      <c r="D21" s="18" t="s">
        <v>15</v>
      </c>
      <c r="E21" s="18">
        <v>13</v>
      </c>
      <c r="F21" s="14">
        <f t="shared" si="0"/>
        <v>8</v>
      </c>
      <c r="G21" s="15">
        <f t="shared" si="1"/>
        <v>0.85</v>
      </c>
      <c r="H21" s="16">
        <v>6.8</v>
      </c>
      <c r="I21" s="16">
        <f t="shared" si="2"/>
        <v>88.4</v>
      </c>
      <c r="J21" s="17"/>
    </row>
    <row r="22" s="4" customFormat="1" ht="16" customHeight="1" spans="1:10">
      <c r="A22" s="12">
        <v>17</v>
      </c>
      <c r="B22" s="12" t="s">
        <v>67</v>
      </c>
      <c r="C22" s="12" t="s">
        <v>68</v>
      </c>
      <c r="D22" s="13" t="s">
        <v>32</v>
      </c>
      <c r="E22" s="13">
        <v>1</v>
      </c>
      <c r="F22" s="14">
        <f t="shared" si="0"/>
        <v>352.941176470588</v>
      </c>
      <c r="G22" s="15">
        <f t="shared" si="1"/>
        <v>0.85</v>
      </c>
      <c r="H22" s="16">
        <v>300</v>
      </c>
      <c r="I22" s="16">
        <f t="shared" si="2"/>
        <v>300</v>
      </c>
      <c r="J22" s="12"/>
    </row>
    <row r="23" s="4" customFormat="1" ht="16" customHeight="1" spans="1:10">
      <c r="A23" s="12">
        <v>18</v>
      </c>
      <c r="B23" s="17" t="s">
        <v>28</v>
      </c>
      <c r="C23" s="17"/>
      <c r="D23" s="13" t="s">
        <v>15</v>
      </c>
      <c r="E23" s="13">
        <v>2</v>
      </c>
      <c r="F23" s="14">
        <f t="shared" si="0"/>
        <v>16.2352941176471</v>
      </c>
      <c r="G23" s="15">
        <f t="shared" si="1"/>
        <v>0.85</v>
      </c>
      <c r="H23" s="16">
        <v>13.8</v>
      </c>
      <c r="I23" s="16">
        <f t="shared" si="2"/>
        <v>27.6</v>
      </c>
      <c r="J23" s="12"/>
    </row>
    <row r="24" s="4" customFormat="1" ht="16" customHeight="1" spans="1:10">
      <c r="A24" s="12">
        <v>19</v>
      </c>
      <c r="B24" s="17" t="s">
        <v>118</v>
      </c>
      <c r="C24" s="17"/>
      <c r="D24" s="17" t="s">
        <v>15</v>
      </c>
      <c r="E24" s="18">
        <v>13.5</v>
      </c>
      <c r="F24" s="14">
        <f t="shared" si="0"/>
        <v>16.2352941176471</v>
      </c>
      <c r="G24" s="15">
        <f t="shared" si="1"/>
        <v>0.85</v>
      </c>
      <c r="H24" s="16">
        <v>13.8</v>
      </c>
      <c r="I24" s="16">
        <f t="shared" si="2"/>
        <v>186.3</v>
      </c>
      <c r="J24" s="17"/>
    </row>
    <row r="25" s="4" customFormat="1" ht="16" customHeight="1" spans="1:10">
      <c r="A25" s="12">
        <v>20</v>
      </c>
      <c r="B25" s="12" t="s">
        <v>119</v>
      </c>
      <c r="C25" s="12" t="s">
        <v>120</v>
      </c>
      <c r="D25" s="17" t="s">
        <v>53</v>
      </c>
      <c r="E25" s="13">
        <v>11</v>
      </c>
      <c r="F25" s="14">
        <f t="shared" si="0"/>
        <v>10.5882352941176</v>
      </c>
      <c r="G25" s="15">
        <f t="shared" si="1"/>
        <v>0.85</v>
      </c>
      <c r="H25" s="16">
        <v>9</v>
      </c>
      <c r="I25" s="16">
        <f t="shared" si="2"/>
        <v>99</v>
      </c>
      <c r="J25" s="12"/>
    </row>
    <row r="26" s="4" customFormat="1" ht="16" customHeight="1" spans="1:10">
      <c r="A26" s="12">
        <v>21</v>
      </c>
      <c r="B26" s="12" t="s">
        <v>121</v>
      </c>
      <c r="C26" s="12"/>
      <c r="D26" s="13" t="s">
        <v>53</v>
      </c>
      <c r="E26" s="13">
        <v>20</v>
      </c>
      <c r="F26" s="14">
        <f t="shared" si="0"/>
        <v>7.64705882352941</v>
      </c>
      <c r="G26" s="15">
        <f t="shared" si="1"/>
        <v>0.85</v>
      </c>
      <c r="H26" s="16">
        <v>6.5</v>
      </c>
      <c r="I26" s="16">
        <f t="shared" si="2"/>
        <v>130</v>
      </c>
      <c r="J26" s="12"/>
    </row>
    <row r="27" s="4" customFormat="1" ht="16" customHeight="1" spans="1:10">
      <c r="A27" s="12">
        <v>22</v>
      </c>
      <c r="B27" s="17" t="s">
        <v>122</v>
      </c>
      <c r="C27" s="17" t="s">
        <v>123</v>
      </c>
      <c r="D27" s="18" t="s">
        <v>53</v>
      </c>
      <c r="E27" s="18">
        <v>2</v>
      </c>
      <c r="F27" s="14">
        <f t="shared" si="0"/>
        <v>8</v>
      </c>
      <c r="G27" s="15">
        <f t="shared" si="1"/>
        <v>0.85</v>
      </c>
      <c r="H27" s="16">
        <v>6.8</v>
      </c>
      <c r="I27" s="16">
        <f t="shared" si="2"/>
        <v>13.6</v>
      </c>
      <c r="J27" s="17"/>
    </row>
    <row r="28" s="4" customFormat="1" ht="16" customHeight="1" spans="1:10">
      <c r="A28" s="12">
        <v>23</v>
      </c>
      <c r="B28" s="12" t="s">
        <v>124</v>
      </c>
      <c r="C28" s="12" t="s">
        <v>125</v>
      </c>
      <c r="D28" s="17" t="s">
        <v>51</v>
      </c>
      <c r="E28" s="13">
        <v>6</v>
      </c>
      <c r="F28" s="14">
        <f t="shared" si="0"/>
        <v>10</v>
      </c>
      <c r="G28" s="15">
        <f t="shared" si="1"/>
        <v>0.85</v>
      </c>
      <c r="H28" s="16">
        <v>8.5</v>
      </c>
      <c r="I28" s="16">
        <f t="shared" si="2"/>
        <v>51</v>
      </c>
      <c r="J28" s="12"/>
    </row>
    <row r="29" s="4" customFormat="1" ht="16" customHeight="1" spans="1:10">
      <c r="A29" s="12">
        <v>24</v>
      </c>
      <c r="B29" s="12" t="s">
        <v>35</v>
      </c>
      <c r="C29" s="12"/>
      <c r="D29" s="12" t="s">
        <v>36</v>
      </c>
      <c r="E29" s="13">
        <v>48</v>
      </c>
      <c r="F29" s="14">
        <f t="shared" si="0"/>
        <v>4.11764705882353</v>
      </c>
      <c r="G29" s="15">
        <f t="shared" si="1"/>
        <v>0.85</v>
      </c>
      <c r="H29" s="16">
        <v>3.5</v>
      </c>
      <c r="I29" s="16">
        <f t="shared" si="2"/>
        <v>168</v>
      </c>
      <c r="J29" s="12"/>
    </row>
    <row r="30" s="4" customFormat="1" ht="16" customHeight="1" spans="1:10">
      <c r="A30" s="12">
        <v>25</v>
      </c>
      <c r="B30" s="12" t="s">
        <v>88</v>
      </c>
      <c r="C30" s="12" t="s">
        <v>89</v>
      </c>
      <c r="D30" s="12" t="s">
        <v>36</v>
      </c>
      <c r="E30" s="13">
        <v>7</v>
      </c>
      <c r="F30" s="14">
        <f t="shared" si="0"/>
        <v>4.11764705882353</v>
      </c>
      <c r="G30" s="15">
        <f t="shared" si="1"/>
        <v>0.85</v>
      </c>
      <c r="H30" s="16">
        <v>3.5</v>
      </c>
      <c r="I30" s="16">
        <f t="shared" si="2"/>
        <v>24.5</v>
      </c>
      <c r="J30" s="12"/>
    </row>
    <row r="31" s="4" customFormat="1" ht="16" customHeight="1" spans="1:10">
      <c r="A31" s="12">
        <v>26</v>
      </c>
      <c r="B31" s="12"/>
      <c r="C31" s="12"/>
      <c r="D31" s="12"/>
      <c r="E31" s="13"/>
      <c r="F31" s="14"/>
      <c r="G31" s="15"/>
      <c r="H31" s="19"/>
      <c r="I31" s="16"/>
      <c r="J31" s="12"/>
    </row>
    <row r="32" s="4" customFormat="1" ht="16" customHeight="1" spans="1:10">
      <c r="A32" s="12">
        <v>27</v>
      </c>
      <c r="B32" s="12"/>
      <c r="C32" s="12"/>
      <c r="D32" s="12"/>
      <c r="E32" s="13"/>
      <c r="F32" s="14"/>
      <c r="G32" s="15"/>
      <c r="H32" s="19"/>
      <c r="I32" s="16"/>
      <c r="J32" s="12"/>
    </row>
    <row r="33" s="4" customFormat="1" customHeight="1" spans="1:10">
      <c r="A33" s="12" t="s">
        <v>37</v>
      </c>
      <c r="B33" s="20">
        <f>SUM(I6:I32)</f>
        <v>1452.34</v>
      </c>
      <c r="C33" s="21"/>
      <c r="D33" s="21"/>
      <c r="E33" s="22"/>
      <c r="F33" s="21"/>
      <c r="G33" s="21"/>
      <c r="H33" s="21"/>
      <c r="I33" s="21"/>
      <c r="J33" s="25"/>
    </row>
    <row r="34" s="4" customFormat="1" customHeight="1" spans="1:10">
      <c r="A34" s="12" t="s">
        <v>38</v>
      </c>
      <c r="B34" s="23">
        <f>B33</f>
        <v>1452.34</v>
      </c>
      <c r="C34" s="24"/>
      <c r="D34" s="24"/>
      <c r="E34" s="22"/>
      <c r="F34" s="24"/>
      <c r="G34" s="24"/>
      <c r="H34" s="24"/>
      <c r="I34" s="24"/>
      <c r="J34" s="26"/>
    </row>
    <row r="35" s="4" customFormat="1" customHeight="1" spans="1:5">
      <c r="A35" s="4" t="s">
        <v>39</v>
      </c>
      <c r="E35" s="5"/>
    </row>
  </sheetData>
  <sortState ref="A12:J27">
    <sortCondition ref="A12"/>
  </sortState>
  <mergeCells count="4">
    <mergeCell ref="A1:J1"/>
    <mergeCell ref="B33:J33"/>
    <mergeCell ref="B34:J34"/>
    <mergeCell ref="A35:J35"/>
  </mergeCells>
  <conditionalFormatting sqref="B6:B24">
    <cfRule type="duplicateValues" dxfId="0" priority="2"/>
  </conditionalFormatting>
  <conditionalFormatting sqref="B6:B32">
    <cfRule type="duplicateValues" dxfId="0" priority="1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9" workbookViewId="0">
      <selection activeCell="I19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6" width="11.6666666666667" style="4" customWidth="1"/>
    <col min="16327" max="16327" width="11.6666666666667" style="4"/>
    <col min="16328" max="16333" width="11" style="4"/>
    <col min="16334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45243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 t="shared" ref="F6:F28" si="0">H6/0.85</f>
        <v>3.52941176470588</v>
      </c>
      <c r="G6" s="15">
        <f t="shared" ref="G6:G28" si="1">H6/F6</f>
        <v>0.85</v>
      </c>
      <c r="H6" s="16">
        <v>3</v>
      </c>
      <c r="I6" s="16">
        <f t="shared" ref="I6:I28" si="2">E6*H6</f>
        <v>21</v>
      </c>
      <c r="J6" s="12"/>
    </row>
    <row r="7" s="4" customFormat="1" ht="16" customHeight="1" spans="1:10">
      <c r="A7" s="12">
        <v>2</v>
      </c>
      <c r="B7" s="12" t="s">
        <v>60</v>
      </c>
      <c r="C7" s="12"/>
      <c r="D7" s="13" t="s">
        <v>15</v>
      </c>
      <c r="E7" s="13">
        <v>2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7</v>
      </c>
      <c r="J7" s="12"/>
    </row>
    <row r="8" s="4" customFormat="1" ht="16" customHeight="1" spans="1:10">
      <c r="A8" s="12">
        <v>3</v>
      </c>
      <c r="B8" s="12" t="s">
        <v>16</v>
      </c>
      <c r="C8" s="12"/>
      <c r="D8" s="13" t="s">
        <v>15</v>
      </c>
      <c r="E8" s="13">
        <v>3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10.5</v>
      </c>
      <c r="J8" s="12"/>
    </row>
    <row r="9" s="4" customFormat="1" ht="16" customHeight="1" spans="1:10">
      <c r="A9" s="12">
        <v>4</v>
      </c>
      <c r="B9" s="17" t="s">
        <v>17</v>
      </c>
      <c r="C9" s="17"/>
      <c r="D9" s="13" t="s">
        <v>15</v>
      </c>
      <c r="E9" s="13">
        <v>5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17.5</v>
      </c>
      <c r="J9" s="12"/>
    </row>
    <row r="10" s="4" customFormat="1" ht="16" customHeight="1" spans="1:10">
      <c r="A10" s="12">
        <v>5</v>
      </c>
      <c r="B10" s="12" t="s">
        <v>126</v>
      </c>
      <c r="C10" s="12"/>
      <c r="D10" s="13" t="s">
        <v>15</v>
      </c>
      <c r="E10" s="13">
        <v>3</v>
      </c>
      <c r="F10" s="14">
        <f t="shared" si="0"/>
        <v>4.11764705882353</v>
      </c>
      <c r="G10" s="15">
        <f t="shared" si="1"/>
        <v>0.85</v>
      </c>
      <c r="H10" s="16">
        <v>3.5</v>
      </c>
      <c r="I10" s="16">
        <f t="shared" si="2"/>
        <v>10.5</v>
      </c>
      <c r="J10" s="12"/>
    </row>
    <row r="11" s="4" customFormat="1" ht="16" customHeight="1" spans="1:10">
      <c r="A11" s="12">
        <v>6</v>
      </c>
      <c r="B11" s="17" t="s">
        <v>41</v>
      </c>
      <c r="C11" s="17"/>
      <c r="D11" s="18" t="s">
        <v>15</v>
      </c>
      <c r="E11" s="18">
        <v>2</v>
      </c>
      <c r="F11" s="14">
        <f t="shared" si="0"/>
        <v>8</v>
      </c>
      <c r="G11" s="15">
        <f t="shared" si="1"/>
        <v>0.85</v>
      </c>
      <c r="H11" s="19">
        <v>6.8</v>
      </c>
      <c r="I11" s="16">
        <f t="shared" si="2"/>
        <v>13.6</v>
      </c>
      <c r="J11" s="12"/>
    </row>
    <row r="12" s="4" customFormat="1" ht="16" customHeight="1" spans="1:10">
      <c r="A12" s="12">
        <v>7</v>
      </c>
      <c r="B12" s="17" t="s">
        <v>127</v>
      </c>
      <c r="C12" s="17"/>
      <c r="D12" s="18" t="s">
        <v>15</v>
      </c>
      <c r="E12" s="18">
        <v>13</v>
      </c>
      <c r="F12" s="14">
        <f t="shared" si="0"/>
        <v>10</v>
      </c>
      <c r="G12" s="15">
        <f t="shared" si="1"/>
        <v>0.85</v>
      </c>
      <c r="H12" s="19">
        <v>8.5</v>
      </c>
      <c r="I12" s="16">
        <f t="shared" si="2"/>
        <v>110.5</v>
      </c>
      <c r="J12" s="17"/>
    </row>
    <row r="13" s="4" customFormat="1" ht="16" customHeight="1" spans="1:10">
      <c r="A13" s="12">
        <v>8</v>
      </c>
      <c r="B13" s="17" t="s">
        <v>63</v>
      </c>
      <c r="C13" s="17"/>
      <c r="D13" s="18" t="s">
        <v>15</v>
      </c>
      <c r="E13" s="18">
        <v>3</v>
      </c>
      <c r="F13" s="14">
        <f t="shared" si="0"/>
        <v>8.82352941176471</v>
      </c>
      <c r="G13" s="15">
        <f t="shared" si="1"/>
        <v>0.85</v>
      </c>
      <c r="H13" s="19">
        <v>7.5</v>
      </c>
      <c r="I13" s="16">
        <f t="shared" si="2"/>
        <v>22.5</v>
      </c>
      <c r="J13" s="17"/>
    </row>
    <row r="14" s="4" customFormat="1" ht="16" customHeight="1" spans="1:10">
      <c r="A14" s="12">
        <v>9</v>
      </c>
      <c r="B14" s="17" t="s">
        <v>64</v>
      </c>
      <c r="C14" s="17"/>
      <c r="D14" s="18" t="s">
        <v>15</v>
      </c>
      <c r="E14" s="18">
        <v>3</v>
      </c>
      <c r="F14" s="14">
        <f t="shared" si="0"/>
        <v>4.70588235294118</v>
      </c>
      <c r="G14" s="15">
        <f t="shared" si="1"/>
        <v>0.85</v>
      </c>
      <c r="H14" s="19">
        <v>4</v>
      </c>
      <c r="I14" s="16">
        <f t="shared" si="2"/>
        <v>12</v>
      </c>
      <c r="J14" s="17"/>
    </row>
    <row r="15" s="4" customFormat="1" ht="16" customHeight="1" spans="1:10">
      <c r="A15" s="12">
        <v>10</v>
      </c>
      <c r="B15" s="17" t="s">
        <v>75</v>
      </c>
      <c r="C15" s="17"/>
      <c r="D15" s="18" t="s">
        <v>15</v>
      </c>
      <c r="E15" s="18">
        <v>6</v>
      </c>
      <c r="F15" s="14">
        <f t="shared" si="0"/>
        <v>6.82352941176471</v>
      </c>
      <c r="G15" s="15">
        <f t="shared" si="1"/>
        <v>0.85</v>
      </c>
      <c r="H15" s="19">
        <v>5.8</v>
      </c>
      <c r="I15" s="16">
        <f t="shared" si="2"/>
        <v>34.8</v>
      </c>
      <c r="J15" s="17"/>
    </row>
    <row r="16" s="4" customFormat="1" ht="16" customHeight="1" spans="1:10">
      <c r="A16" s="12">
        <v>11</v>
      </c>
      <c r="B16" s="17" t="s">
        <v>105</v>
      </c>
      <c r="C16" s="17"/>
      <c r="D16" s="18" t="s">
        <v>15</v>
      </c>
      <c r="E16" s="18">
        <v>14.3</v>
      </c>
      <c r="F16" s="14">
        <f t="shared" si="0"/>
        <v>5.64705882352941</v>
      </c>
      <c r="G16" s="15">
        <f t="shared" si="1"/>
        <v>0.85</v>
      </c>
      <c r="H16" s="19">
        <v>4.8</v>
      </c>
      <c r="I16" s="16">
        <f t="shared" si="2"/>
        <v>68.64</v>
      </c>
      <c r="J16" s="17"/>
    </row>
    <row r="17" s="4" customFormat="1" ht="16" customHeight="1" spans="1:10">
      <c r="A17" s="12">
        <v>12</v>
      </c>
      <c r="B17" s="12" t="s">
        <v>116</v>
      </c>
      <c r="C17" s="12"/>
      <c r="D17" s="13" t="s">
        <v>15</v>
      </c>
      <c r="E17" s="13">
        <v>3</v>
      </c>
      <c r="F17" s="14">
        <f t="shared" si="0"/>
        <v>5.64705882352941</v>
      </c>
      <c r="G17" s="15">
        <f t="shared" si="1"/>
        <v>0.85</v>
      </c>
      <c r="H17" s="19">
        <v>4.8</v>
      </c>
      <c r="I17" s="16">
        <f t="shared" si="2"/>
        <v>14.4</v>
      </c>
      <c r="J17" s="17"/>
    </row>
    <row r="18" s="4" customFormat="1" ht="16" customHeight="1" spans="1:10">
      <c r="A18" s="12">
        <v>13</v>
      </c>
      <c r="B18" s="17" t="s">
        <v>46</v>
      </c>
      <c r="C18" s="17"/>
      <c r="D18" s="17" t="s">
        <v>15</v>
      </c>
      <c r="E18" s="18">
        <v>15</v>
      </c>
      <c r="F18" s="14">
        <f t="shared" si="0"/>
        <v>4.11764705882353</v>
      </c>
      <c r="G18" s="15">
        <f t="shared" si="1"/>
        <v>0.85</v>
      </c>
      <c r="H18" s="19">
        <v>3.5</v>
      </c>
      <c r="I18" s="16">
        <f t="shared" si="2"/>
        <v>52.5</v>
      </c>
      <c r="J18" s="12"/>
    </row>
    <row r="19" s="4" customFormat="1" ht="16" customHeight="1" spans="1:10">
      <c r="A19" s="12">
        <v>14</v>
      </c>
      <c r="B19" s="12" t="s">
        <v>28</v>
      </c>
      <c r="C19" s="12"/>
      <c r="D19" s="17" t="s">
        <v>15</v>
      </c>
      <c r="E19" s="13">
        <v>4</v>
      </c>
      <c r="F19" s="14">
        <f t="shared" si="0"/>
        <v>16.2352941176471</v>
      </c>
      <c r="G19" s="15">
        <f t="shared" si="1"/>
        <v>0.85</v>
      </c>
      <c r="H19" s="19">
        <v>13.8</v>
      </c>
      <c r="I19" s="16">
        <f t="shared" si="2"/>
        <v>55.2</v>
      </c>
      <c r="J19" s="17"/>
    </row>
    <row r="20" s="4" customFormat="1" ht="16" customHeight="1" spans="1:10">
      <c r="A20" s="12">
        <v>15</v>
      </c>
      <c r="B20" s="12" t="s">
        <v>107</v>
      </c>
      <c r="C20" s="12"/>
      <c r="D20" s="12" t="s">
        <v>15</v>
      </c>
      <c r="E20" s="13">
        <v>3</v>
      </c>
      <c r="F20" s="14">
        <f t="shared" si="0"/>
        <v>23.5294117647059</v>
      </c>
      <c r="G20" s="15">
        <f t="shared" si="1"/>
        <v>0.85</v>
      </c>
      <c r="H20" s="19">
        <v>20</v>
      </c>
      <c r="I20" s="16">
        <f t="shared" si="2"/>
        <v>60</v>
      </c>
      <c r="J20" s="12"/>
    </row>
    <row r="21" s="4" customFormat="1" ht="16" customHeight="1" spans="1:10">
      <c r="A21" s="12">
        <v>16</v>
      </c>
      <c r="B21" s="12" t="s">
        <v>128</v>
      </c>
      <c r="C21" s="12"/>
      <c r="D21" s="12" t="s">
        <v>15</v>
      </c>
      <c r="E21" s="13">
        <v>15</v>
      </c>
      <c r="F21" s="14">
        <f t="shared" si="0"/>
        <v>32.9411764705882</v>
      </c>
      <c r="G21" s="15">
        <f t="shared" si="1"/>
        <v>0.85</v>
      </c>
      <c r="H21" s="19">
        <v>28</v>
      </c>
      <c r="I21" s="16">
        <f t="shared" si="2"/>
        <v>420</v>
      </c>
      <c r="J21" s="12"/>
    </row>
    <row r="22" s="4" customFormat="1" ht="16" customHeight="1" spans="1:10">
      <c r="A22" s="12">
        <v>17</v>
      </c>
      <c r="B22" s="12" t="s">
        <v>129</v>
      </c>
      <c r="C22" s="12" t="s">
        <v>130</v>
      </c>
      <c r="D22" s="12" t="s">
        <v>53</v>
      </c>
      <c r="E22" s="13">
        <v>1</v>
      </c>
      <c r="F22" s="14">
        <f t="shared" si="0"/>
        <v>97.6470588235294</v>
      </c>
      <c r="G22" s="15">
        <f t="shared" si="1"/>
        <v>0.85</v>
      </c>
      <c r="H22" s="19">
        <v>83</v>
      </c>
      <c r="I22" s="16">
        <f t="shared" si="2"/>
        <v>83</v>
      </c>
      <c r="J22" s="12"/>
    </row>
    <row r="23" s="4" customFormat="1" ht="16" customHeight="1" spans="1:10">
      <c r="A23" s="12">
        <v>18</v>
      </c>
      <c r="B23" s="12" t="s">
        <v>131</v>
      </c>
      <c r="C23" s="12" t="s">
        <v>132</v>
      </c>
      <c r="D23" s="12" t="s">
        <v>53</v>
      </c>
      <c r="E23" s="13">
        <v>10</v>
      </c>
      <c r="F23" s="14">
        <f t="shared" si="0"/>
        <v>2.35294117647059</v>
      </c>
      <c r="G23" s="15">
        <f t="shared" si="1"/>
        <v>0.85</v>
      </c>
      <c r="H23" s="19">
        <v>2</v>
      </c>
      <c r="I23" s="16">
        <f t="shared" si="2"/>
        <v>20</v>
      </c>
      <c r="J23" s="12"/>
    </row>
    <row r="24" s="4" customFormat="1" ht="16" customHeight="1" spans="1:10">
      <c r="A24" s="12">
        <v>19</v>
      </c>
      <c r="B24" s="14" t="s">
        <v>133</v>
      </c>
      <c r="C24" s="14" t="s">
        <v>134</v>
      </c>
      <c r="D24" s="14" t="s">
        <v>32</v>
      </c>
      <c r="E24" s="13">
        <v>1</v>
      </c>
      <c r="F24" s="14">
        <f t="shared" si="0"/>
        <v>64.7058823529412</v>
      </c>
      <c r="G24" s="15">
        <f t="shared" si="1"/>
        <v>0.85</v>
      </c>
      <c r="H24" s="19">
        <v>55</v>
      </c>
      <c r="I24" s="16">
        <f t="shared" si="2"/>
        <v>55</v>
      </c>
      <c r="J24" s="12"/>
    </row>
    <row r="25" s="4" customFormat="1" customHeight="1" spans="1:10">
      <c r="A25" s="12">
        <v>20</v>
      </c>
      <c r="B25" s="14" t="s">
        <v>35</v>
      </c>
      <c r="C25" s="14"/>
      <c r="D25" s="14" t="s">
        <v>36</v>
      </c>
      <c r="E25" s="13">
        <v>55</v>
      </c>
      <c r="F25" s="14">
        <f t="shared" si="0"/>
        <v>4.11764705882353</v>
      </c>
      <c r="G25" s="15">
        <f t="shared" si="1"/>
        <v>0.85</v>
      </c>
      <c r="H25" s="19">
        <v>3.5</v>
      </c>
      <c r="I25" s="16">
        <f t="shared" si="2"/>
        <v>192.5</v>
      </c>
      <c r="J25" s="14"/>
    </row>
    <row r="26" s="4" customFormat="1" customHeight="1" spans="1:10">
      <c r="A26" s="12">
        <v>21</v>
      </c>
      <c r="B26" s="14" t="s">
        <v>80</v>
      </c>
      <c r="C26" s="14"/>
      <c r="D26" s="14" t="s">
        <v>15</v>
      </c>
      <c r="E26" s="13">
        <v>5</v>
      </c>
      <c r="F26" s="14">
        <f t="shared" si="0"/>
        <v>103.529411764706</v>
      </c>
      <c r="G26" s="15">
        <f t="shared" si="1"/>
        <v>0.85</v>
      </c>
      <c r="H26" s="19">
        <v>88</v>
      </c>
      <c r="I26" s="16">
        <f t="shared" si="2"/>
        <v>440</v>
      </c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2"/>
      <c r="C29" s="12"/>
      <c r="D29" s="13"/>
      <c r="E29" s="13"/>
      <c r="F29" s="14"/>
      <c r="G29" s="15"/>
      <c r="H29" s="16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4" customFormat="1" customHeight="1" spans="1:10">
      <c r="A34" s="12" t="s">
        <v>37</v>
      </c>
      <c r="B34" s="20">
        <f>SUM(I6:I33)</f>
        <v>1721.14</v>
      </c>
      <c r="C34" s="21"/>
      <c r="D34" s="21"/>
      <c r="E34" s="22"/>
      <c r="F34" s="21"/>
      <c r="G34" s="21"/>
      <c r="H34" s="21"/>
      <c r="I34" s="21"/>
      <c r="J34" s="25"/>
    </row>
    <row r="35" s="4" customFormat="1" customHeight="1" spans="1:10">
      <c r="A35" s="12" t="s">
        <v>38</v>
      </c>
      <c r="B35" s="23">
        <f>B34</f>
        <v>1721.14</v>
      </c>
      <c r="C35" s="24"/>
      <c r="D35" s="24"/>
      <c r="E35" s="22"/>
      <c r="F35" s="24"/>
      <c r="G35" s="24"/>
      <c r="H35" s="24"/>
      <c r="I35" s="24"/>
      <c r="J35" s="26"/>
    </row>
    <row r="36" s="4" customFormat="1" customHeight="1" spans="1:5">
      <c r="A36" s="4" t="s">
        <v>39</v>
      </c>
      <c r="E36" s="5"/>
    </row>
  </sheetData>
  <sortState ref="A11:I29">
    <sortCondition ref="A11"/>
  </sortState>
  <mergeCells count="4">
    <mergeCell ref="A1:J1"/>
    <mergeCell ref="B34:J34"/>
    <mergeCell ref="B35:J35"/>
    <mergeCell ref="A36:J36"/>
  </mergeCells>
  <conditionalFormatting sqref="B6:B33">
    <cfRule type="duplicateValues" dxfId="0" priority="1"/>
  </conditionalFormatting>
  <conditionalFormatting sqref="B6:C18">
    <cfRule type="duplicateValues" dxfId="0" priority="2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6" workbookViewId="0">
      <selection activeCell="I16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11" width="11.6666666666667" style="4" customWidth="1"/>
    <col min="16312" max="16312" width="11.6666666666667" style="4"/>
    <col min="16313" max="16318" width="11" style="4"/>
    <col min="1631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45244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 t="shared" ref="F6:F25" si="0">H6/0.85</f>
        <v>3.52941176470588</v>
      </c>
      <c r="G6" s="15">
        <f t="shared" ref="G6:G25" si="1">H6/F6</f>
        <v>0.85</v>
      </c>
      <c r="H6" s="16">
        <v>3</v>
      </c>
      <c r="I6" s="16">
        <f t="shared" ref="I6:I25" si="2">E6*H6</f>
        <v>21</v>
      </c>
      <c r="J6" s="12"/>
    </row>
    <row r="7" s="4" customFormat="1" ht="16" customHeight="1" spans="1:10">
      <c r="A7" s="12">
        <v>2</v>
      </c>
      <c r="B7" s="12" t="s">
        <v>71</v>
      </c>
      <c r="C7" s="12"/>
      <c r="D7" s="13" t="s">
        <v>15</v>
      </c>
      <c r="E7" s="13">
        <v>3</v>
      </c>
      <c r="F7" s="14">
        <f t="shared" si="0"/>
        <v>4.70588235294118</v>
      </c>
      <c r="G7" s="15">
        <f t="shared" si="1"/>
        <v>0.85</v>
      </c>
      <c r="H7" s="16">
        <v>4</v>
      </c>
      <c r="I7" s="16">
        <f t="shared" si="2"/>
        <v>12</v>
      </c>
      <c r="J7" s="12"/>
    </row>
    <row r="8" s="4" customFormat="1" ht="16" customHeight="1" spans="1:10">
      <c r="A8" s="12">
        <v>3</v>
      </c>
      <c r="B8" s="12" t="s">
        <v>58</v>
      </c>
      <c r="C8" s="12" t="s">
        <v>59</v>
      </c>
      <c r="D8" s="13" t="s">
        <v>15</v>
      </c>
      <c r="E8" s="13">
        <v>6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21</v>
      </c>
      <c r="J8" s="12"/>
    </row>
    <row r="9" s="4" customFormat="1" ht="16" customHeight="1" spans="1:10">
      <c r="A9" s="12">
        <v>4</v>
      </c>
      <c r="B9" s="17" t="s">
        <v>17</v>
      </c>
      <c r="C9" s="17"/>
      <c r="D9" s="13" t="s">
        <v>15</v>
      </c>
      <c r="E9" s="13">
        <v>5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17.5</v>
      </c>
      <c r="J9" s="12"/>
    </row>
    <row r="10" s="4" customFormat="1" ht="16" customHeight="1" spans="1:10">
      <c r="A10" s="12">
        <v>5</v>
      </c>
      <c r="B10" s="12" t="s">
        <v>20</v>
      </c>
      <c r="C10" s="12"/>
      <c r="D10" s="13" t="s">
        <v>15</v>
      </c>
      <c r="E10" s="13">
        <v>20</v>
      </c>
      <c r="F10" s="14">
        <f t="shared" si="0"/>
        <v>4.11764705882353</v>
      </c>
      <c r="G10" s="15">
        <f t="shared" si="1"/>
        <v>0.85</v>
      </c>
      <c r="H10" s="16">
        <v>3.5</v>
      </c>
      <c r="I10" s="16">
        <f t="shared" si="2"/>
        <v>70</v>
      </c>
      <c r="J10" s="12"/>
    </row>
    <row r="11" s="4" customFormat="1" ht="16" customHeight="1" spans="1:10">
      <c r="A11" s="12">
        <v>6</v>
      </c>
      <c r="B11" s="12" t="s">
        <v>22</v>
      </c>
      <c r="C11" s="12"/>
      <c r="D11" s="13" t="s">
        <v>23</v>
      </c>
      <c r="E11" s="13">
        <v>8</v>
      </c>
      <c r="F11" s="14">
        <f t="shared" si="0"/>
        <v>3.52941176470588</v>
      </c>
      <c r="G11" s="15">
        <f t="shared" si="1"/>
        <v>0.85</v>
      </c>
      <c r="H11" s="16">
        <v>3</v>
      </c>
      <c r="I11" s="16">
        <f t="shared" si="2"/>
        <v>24</v>
      </c>
      <c r="J11" s="12"/>
    </row>
    <row r="12" s="4" customFormat="1" ht="16" customHeight="1" spans="1:10">
      <c r="A12" s="12">
        <v>7</v>
      </c>
      <c r="B12" s="17" t="s">
        <v>135</v>
      </c>
      <c r="C12" s="17"/>
      <c r="D12" s="18" t="s">
        <v>15</v>
      </c>
      <c r="E12" s="18">
        <v>13</v>
      </c>
      <c r="F12" s="14">
        <f t="shared" si="0"/>
        <v>4.47058823529412</v>
      </c>
      <c r="G12" s="15">
        <f t="shared" si="1"/>
        <v>0.85</v>
      </c>
      <c r="H12" s="16">
        <v>3.8</v>
      </c>
      <c r="I12" s="16">
        <f t="shared" si="2"/>
        <v>49.4</v>
      </c>
      <c r="J12" s="17"/>
    </row>
    <row r="13" s="4" customFormat="1" ht="16" customHeight="1" spans="1:10">
      <c r="A13" s="12">
        <v>8</v>
      </c>
      <c r="B13" s="17" t="s">
        <v>65</v>
      </c>
      <c r="C13" s="17"/>
      <c r="D13" s="18" t="s">
        <v>15</v>
      </c>
      <c r="E13" s="18">
        <v>8</v>
      </c>
      <c r="F13" s="14">
        <f t="shared" si="0"/>
        <v>2.94117647058824</v>
      </c>
      <c r="G13" s="15">
        <f t="shared" si="1"/>
        <v>0.85</v>
      </c>
      <c r="H13" s="16">
        <v>2.5</v>
      </c>
      <c r="I13" s="16">
        <f t="shared" si="2"/>
        <v>20</v>
      </c>
      <c r="J13" s="17"/>
    </row>
    <row r="14" s="4" customFormat="1" ht="16" customHeight="1" spans="1:10">
      <c r="A14" s="12">
        <v>9</v>
      </c>
      <c r="B14" s="17" t="s">
        <v>24</v>
      </c>
      <c r="C14" s="17"/>
      <c r="D14" s="18" t="s">
        <v>15</v>
      </c>
      <c r="E14" s="18">
        <v>6</v>
      </c>
      <c r="F14" s="14">
        <f t="shared" si="0"/>
        <v>6.82352941176471</v>
      </c>
      <c r="G14" s="15">
        <f t="shared" si="1"/>
        <v>0.85</v>
      </c>
      <c r="H14" s="16">
        <v>5.8</v>
      </c>
      <c r="I14" s="16">
        <f t="shared" si="2"/>
        <v>34.8</v>
      </c>
      <c r="J14" s="17"/>
    </row>
    <row r="15" s="4" customFormat="1" ht="16" customHeight="1" spans="1:10">
      <c r="A15" s="12">
        <v>10</v>
      </c>
      <c r="B15" s="12" t="s">
        <v>136</v>
      </c>
      <c r="C15" s="12"/>
      <c r="D15" s="13" t="s">
        <v>15</v>
      </c>
      <c r="E15" s="13">
        <v>13.3</v>
      </c>
      <c r="F15" s="14">
        <f t="shared" si="0"/>
        <v>4.11764705882353</v>
      </c>
      <c r="G15" s="15">
        <f t="shared" si="1"/>
        <v>0.85</v>
      </c>
      <c r="H15" s="16">
        <v>3.5</v>
      </c>
      <c r="I15" s="16">
        <f t="shared" si="2"/>
        <v>46.55</v>
      </c>
      <c r="J15" s="14"/>
    </row>
    <row r="16" s="4" customFormat="1" ht="16" customHeight="1" spans="1:10">
      <c r="A16" s="12">
        <v>11</v>
      </c>
      <c r="B16" s="17" t="s">
        <v>86</v>
      </c>
      <c r="C16" s="17"/>
      <c r="D16" s="18" t="s">
        <v>15</v>
      </c>
      <c r="E16" s="18">
        <v>3</v>
      </c>
      <c r="F16" s="14">
        <f t="shared" si="0"/>
        <v>5.64705882352941</v>
      </c>
      <c r="G16" s="15">
        <f t="shared" si="1"/>
        <v>0.85</v>
      </c>
      <c r="H16" s="16">
        <v>4.8</v>
      </c>
      <c r="I16" s="16">
        <f t="shared" si="2"/>
        <v>14.4</v>
      </c>
      <c r="J16" s="17"/>
    </row>
    <row r="17" s="4" customFormat="1" ht="16" customHeight="1" spans="1:10">
      <c r="A17" s="12">
        <v>12</v>
      </c>
      <c r="B17" s="17" t="s">
        <v>66</v>
      </c>
      <c r="C17" s="17"/>
      <c r="D17" s="18" t="s">
        <v>15</v>
      </c>
      <c r="E17" s="18">
        <v>13</v>
      </c>
      <c r="F17" s="14">
        <f t="shared" si="0"/>
        <v>2.35294117647059</v>
      </c>
      <c r="G17" s="15">
        <f t="shared" si="1"/>
        <v>0.85</v>
      </c>
      <c r="H17" s="16">
        <v>2</v>
      </c>
      <c r="I17" s="16">
        <f t="shared" si="2"/>
        <v>26</v>
      </c>
      <c r="J17" s="17"/>
    </row>
    <row r="18" s="4" customFormat="1" ht="16" customHeight="1" spans="1:10">
      <c r="A18" s="12">
        <v>13</v>
      </c>
      <c r="B18" s="17" t="s">
        <v>28</v>
      </c>
      <c r="C18" s="17"/>
      <c r="D18" s="18" t="s">
        <v>15</v>
      </c>
      <c r="E18" s="18">
        <v>5</v>
      </c>
      <c r="F18" s="14">
        <f t="shared" si="0"/>
        <v>16.2352941176471</v>
      </c>
      <c r="G18" s="15">
        <f t="shared" si="1"/>
        <v>0.85</v>
      </c>
      <c r="H18" s="16">
        <v>13.8</v>
      </c>
      <c r="I18" s="16">
        <f t="shared" si="2"/>
        <v>69</v>
      </c>
      <c r="J18" s="17"/>
    </row>
    <row r="19" s="4" customFormat="1" ht="16" customHeight="1" spans="1:10">
      <c r="A19" s="12">
        <v>14</v>
      </c>
      <c r="B19" s="17" t="s">
        <v>137</v>
      </c>
      <c r="C19" s="17"/>
      <c r="D19" s="17" t="s">
        <v>15</v>
      </c>
      <c r="E19" s="18">
        <v>15</v>
      </c>
      <c r="F19" s="14">
        <f t="shared" si="0"/>
        <v>32.9411764705882</v>
      </c>
      <c r="G19" s="15">
        <f t="shared" si="1"/>
        <v>0.85</v>
      </c>
      <c r="H19" s="16">
        <v>28</v>
      </c>
      <c r="I19" s="16">
        <f t="shared" si="2"/>
        <v>420</v>
      </c>
      <c r="J19" s="12"/>
    </row>
    <row r="20" s="4" customFormat="1" ht="16" customHeight="1" spans="1:10">
      <c r="A20" s="12">
        <v>15</v>
      </c>
      <c r="B20" s="12" t="s">
        <v>70</v>
      </c>
      <c r="C20" s="12"/>
      <c r="D20" s="17" t="s">
        <v>15</v>
      </c>
      <c r="E20" s="13">
        <v>5</v>
      </c>
      <c r="F20" s="14">
        <f t="shared" si="0"/>
        <v>19.7647058823529</v>
      </c>
      <c r="G20" s="15">
        <f t="shared" si="1"/>
        <v>0.85</v>
      </c>
      <c r="H20" s="16">
        <v>16.8</v>
      </c>
      <c r="I20" s="16">
        <f t="shared" si="2"/>
        <v>84</v>
      </c>
      <c r="J20" s="17"/>
    </row>
    <row r="21" s="4" customFormat="1" ht="16" customHeight="1" spans="1:10">
      <c r="A21" s="12">
        <v>16</v>
      </c>
      <c r="B21" s="12" t="s">
        <v>94</v>
      </c>
      <c r="C21" s="12" t="s">
        <v>95</v>
      </c>
      <c r="D21" s="12" t="s">
        <v>53</v>
      </c>
      <c r="E21" s="13">
        <v>20</v>
      </c>
      <c r="F21" s="14">
        <f t="shared" si="0"/>
        <v>10.5882352941176</v>
      </c>
      <c r="G21" s="15">
        <f t="shared" si="1"/>
        <v>0.85</v>
      </c>
      <c r="H21" s="16">
        <v>9</v>
      </c>
      <c r="I21" s="16">
        <f t="shared" si="2"/>
        <v>180</v>
      </c>
      <c r="J21" s="12"/>
    </row>
    <row r="22" s="4" customFormat="1" ht="16" customHeight="1" spans="1:10">
      <c r="A22" s="12">
        <v>17</v>
      </c>
      <c r="B22" s="12" t="s">
        <v>138</v>
      </c>
      <c r="C22" s="12"/>
      <c r="D22" s="12" t="s">
        <v>32</v>
      </c>
      <c r="E22" s="13">
        <v>1</v>
      </c>
      <c r="F22" s="14">
        <f t="shared" si="0"/>
        <v>76.4705882352941</v>
      </c>
      <c r="G22" s="15">
        <f t="shared" si="1"/>
        <v>0.85</v>
      </c>
      <c r="H22" s="16">
        <v>65</v>
      </c>
      <c r="I22" s="16">
        <f t="shared" si="2"/>
        <v>65</v>
      </c>
      <c r="J22" s="12"/>
    </row>
    <row r="23" s="4" customFormat="1" ht="16" customHeight="1" spans="1:10">
      <c r="A23" s="12">
        <v>18</v>
      </c>
      <c r="B23" s="12" t="s">
        <v>139</v>
      </c>
      <c r="C23" s="12" t="s">
        <v>140</v>
      </c>
      <c r="D23" s="12" t="s">
        <v>141</v>
      </c>
      <c r="E23" s="13">
        <v>10</v>
      </c>
      <c r="F23" s="14">
        <f t="shared" si="0"/>
        <v>8</v>
      </c>
      <c r="G23" s="15">
        <f t="shared" si="1"/>
        <v>0.85</v>
      </c>
      <c r="H23" s="16">
        <v>6.8</v>
      </c>
      <c r="I23" s="16">
        <f t="shared" si="2"/>
        <v>68</v>
      </c>
      <c r="J23" s="12"/>
    </row>
    <row r="24" s="4" customFormat="1" customHeight="1" spans="1:10">
      <c r="A24" s="12">
        <v>19</v>
      </c>
      <c r="B24" s="14" t="s">
        <v>35</v>
      </c>
      <c r="C24" s="14"/>
      <c r="D24" s="14" t="s">
        <v>36</v>
      </c>
      <c r="E24" s="13">
        <v>48</v>
      </c>
      <c r="F24" s="14">
        <f t="shared" si="0"/>
        <v>4.11764705882353</v>
      </c>
      <c r="G24" s="15">
        <f t="shared" si="1"/>
        <v>0.85</v>
      </c>
      <c r="H24" s="16">
        <v>3.5</v>
      </c>
      <c r="I24" s="16">
        <f t="shared" si="2"/>
        <v>168</v>
      </c>
      <c r="J24" s="12"/>
    </row>
    <row r="25" s="4" customFormat="1" customHeight="1" spans="1:10">
      <c r="A25" s="12">
        <v>20</v>
      </c>
      <c r="B25" s="14" t="s">
        <v>88</v>
      </c>
      <c r="C25" s="14" t="s">
        <v>89</v>
      </c>
      <c r="D25" s="14" t="s">
        <v>36</v>
      </c>
      <c r="E25" s="13">
        <v>2</v>
      </c>
      <c r="F25" s="14">
        <f t="shared" si="0"/>
        <v>4.11764705882353</v>
      </c>
      <c r="G25" s="15">
        <f t="shared" si="1"/>
        <v>0.85</v>
      </c>
      <c r="H25" s="16">
        <v>3.5</v>
      </c>
      <c r="I25" s="16">
        <f t="shared" si="2"/>
        <v>7</v>
      </c>
      <c r="J25" s="14"/>
    </row>
    <row r="26" s="4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 t="s">
        <v>37</v>
      </c>
      <c r="B33" s="20">
        <f>SUM(I6:I32)</f>
        <v>1417.65</v>
      </c>
      <c r="C33" s="21"/>
      <c r="D33" s="21"/>
      <c r="E33" s="22"/>
      <c r="F33" s="21"/>
      <c r="G33" s="21"/>
      <c r="H33" s="21"/>
      <c r="I33" s="21"/>
      <c r="J33" s="25"/>
    </row>
    <row r="34" s="4" customFormat="1" customHeight="1" spans="1:10">
      <c r="A34" s="12" t="s">
        <v>38</v>
      </c>
      <c r="B34" s="23">
        <f>B33</f>
        <v>1417.65</v>
      </c>
      <c r="C34" s="24"/>
      <c r="D34" s="24"/>
      <c r="E34" s="22"/>
      <c r="F34" s="24"/>
      <c r="G34" s="24"/>
      <c r="H34" s="24"/>
      <c r="I34" s="24"/>
      <c r="J34" s="26"/>
    </row>
    <row r="35" s="4" customFormat="1" customHeight="1" spans="1:5">
      <c r="A35" s="4" t="s">
        <v>39</v>
      </c>
      <c r="E35" s="5"/>
    </row>
  </sheetData>
  <sortState ref="A15:J25">
    <sortCondition ref="A15"/>
  </sortState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8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4" workbookViewId="0">
      <selection activeCell="E12" sqref="E12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1" width="11.6666666666667" style="4" customWidth="1"/>
    <col min="16322" max="16322" width="11.6666666666667" style="4"/>
    <col min="16323" max="16328" width="11" style="4"/>
    <col min="1632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45245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30</v>
      </c>
      <c r="C6" s="12" t="s">
        <v>31</v>
      </c>
      <c r="D6" s="13" t="s">
        <v>32</v>
      </c>
      <c r="E6" s="13">
        <v>2</v>
      </c>
      <c r="F6" s="14">
        <f t="shared" ref="F6:F11" si="0">H6/0.85</f>
        <v>411.764705882353</v>
      </c>
      <c r="G6" s="15">
        <f t="shared" ref="G6:G11" si="1">H6/F6</f>
        <v>0.85</v>
      </c>
      <c r="H6" s="16">
        <v>350</v>
      </c>
      <c r="I6" s="16">
        <f t="shared" ref="I6:I11" si="2">E6*H6</f>
        <v>700</v>
      </c>
      <c r="J6" s="12"/>
    </row>
    <row r="7" s="4" customFormat="1" ht="16" customHeight="1" spans="1:10">
      <c r="A7" s="12">
        <v>2</v>
      </c>
      <c r="B7" s="12" t="s">
        <v>14</v>
      </c>
      <c r="C7" s="12"/>
      <c r="D7" s="13" t="s">
        <v>15</v>
      </c>
      <c r="E7" s="13">
        <v>8</v>
      </c>
      <c r="F7" s="14">
        <f t="shared" si="0"/>
        <v>3.52941176470588</v>
      </c>
      <c r="G7" s="15">
        <f t="shared" si="1"/>
        <v>0.85</v>
      </c>
      <c r="H7" s="16">
        <v>3</v>
      </c>
      <c r="I7" s="16">
        <f t="shared" si="2"/>
        <v>24</v>
      </c>
      <c r="J7" s="12"/>
    </row>
    <row r="8" s="4" customFormat="1" ht="16" customHeight="1" spans="1:10">
      <c r="A8" s="12">
        <v>3</v>
      </c>
      <c r="B8" s="12" t="s">
        <v>16</v>
      </c>
      <c r="C8" s="12"/>
      <c r="D8" s="13" t="s">
        <v>15</v>
      </c>
      <c r="E8" s="13">
        <v>5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17.5</v>
      </c>
      <c r="J8" s="12"/>
    </row>
    <row r="9" s="4" customFormat="1" ht="16" customHeight="1" spans="1:10">
      <c r="A9" s="12">
        <v>4</v>
      </c>
      <c r="B9" s="12" t="s">
        <v>17</v>
      </c>
      <c r="C9" s="12"/>
      <c r="D9" s="13" t="s">
        <v>15</v>
      </c>
      <c r="E9" s="13">
        <v>6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21</v>
      </c>
      <c r="J9" s="12"/>
    </row>
    <row r="10" s="4" customFormat="1" ht="16" customHeight="1" spans="1:10">
      <c r="A10" s="12">
        <v>5</v>
      </c>
      <c r="B10" s="12" t="s">
        <v>18</v>
      </c>
      <c r="C10" s="12"/>
      <c r="D10" s="13" t="s">
        <v>15</v>
      </c>
      <c r="E10" s="13">
        <v>4</v>
      </c>
      <c r="F10" s="14">
        <f t="shared" si="0"/>
        <v>7.05882352941176</v>
      </c>
      <c r="G10" s="15">
        <f t="shared" si="1"/>
        <v>0.85</v>
      </c>
      <c r="H10" s="16">
        <v>6</v>
      </c>
      <c r="I10" s="16">
        <f t="shared" si="2"/>
        <v>24</v>
      </c>
      <c r="J10" s="12"/>
    </row>
    <row r="11" s="4" customFormat="1" ht="16" customHeight="1" spans="1:10">
      <c r="A11" s="12">
        <v>6</v>
      </c>
      <c r="B11" s="17" t="s">
        <v>102</v>
      </c>
      <c r="C11" s="17"/>
      <c r="D11" s="18" t="s">
        <v>15</v>
      </c>
      <c r="E11" s="18">
        <v>8</v>
      </c>
      <c r="F11" s="14">
        <f t="shared" si="0"/>
        <v>4.47058823529412</v>
      </c>
      <c r="G11" s="15">
        <f t="shared" si="1"/>
        <v>0.85</v>
      </c>
      <c r="H11" s="19">
        <v>3.8</v>
      </c>
      <c r="I11" s="16">
        <f t="shared" si="2"/>
        <v>30.4</v>
      </c>
      <c r="J11" s="17"/>
    </row>
    <row r="12" s="4" customFormat="1" ht="16" customHeight="1" spans="1:10">
      <c r="A12" s="12">
        <v>7</v>
      </c>
      <c r="B12" s="17" t="s">
        <v>63</v>
      </c>
      <c r="C12" s="17"/>
      <c r="D12" s="18" t="s">
        <v>15</v>
      </c>
      <c r="E12" s="18">
        <v>4</v>
      </c>
      <c r="F12" s="14">
        <f t="shared" ref="F12:F23" si="3">H12/0.85</f>
        <v>8.82352941176471</v>
      </c>
      <c r="G12" s="15">
        <f t="shared" ref="G12:G23" si="4">H12/F12</f>
        <v>0.85</v>
      </c>
      <c r="H12" s="19">
        <v>7.5</v>
      </c>
      <c r="I12" s="16">
        <f t="shared" ref="I12:I23" si="5">E12*H12</f>
        <v>30</v>
      </c>
      <c r="J12" s="17"/>
    </row>
    <row r="13" s="4" customFormat="1" ht="16" customHeight="1" spans="1:10">
      <c r="A13" s="12">
        <v>8</v>
      </c>
      <c r="B13" s="17" t="s">
        <v>64</v>
      </c>
      <c r="C13" s="17"/>
      <c r="D13" s="18" t="s">
        <v>15</v>
      </c>
      <c r="E13" s="18">
        <v>3</v>
      </c>
      <c r="F13" s="14">
        <f t="shared" si="3"/>
        <v>4.70588235294118</v>
      </c>
      <c r="G13" s="15">
        <f t="shared" si="4"/>
        <v>0.85</v>
      </c>
      <c r="H13" s="19">
        <v>4</v>
      </c>
      <c r="I13" s="16">
        <f t="shared" si="5"/>
        <v>12</v>
      </c>
      <c r="J13" s="17"/>
    </row>
    <row r="14" s="4" customFormat="1" ht="16" customHeight="1" spans="1:10">
      <c r="A14" s="12">
        <v>9</v>
      </c>
      <c r="B14" s="17" t="s">
        <v>74</v>
      </c>
      <c r="C14" s="17"/>
      <c r="D14" s="18" t="s">
        <v>15</v>
      </c>
      <c r="E14" s="18">
        <v>2</v>
      </c>
      <c r="F14" s="14">
        <f t="shared" si="3"/>
        <v>4.47058823529412</v>
      </c>
      <c r="G14" s="15">
        <f t="shared" si="4"/>
        <v>0.85</v>
      </c>
      <c r="H14" s="19">
        <v>3.8</v>
      </c>
      <c r="I14" s="16">
        <f t="shared" si="5"/>
        <v>7.6</v>
      </c>
      <c r="J14" s="17"/>
    </row>
    <row r="15" s="4" customFormat="1" ht="16" customHeight="1" spans="1:10">
      <c r="A15" s="12">
        <v>10</v>
      </c>
      <c r="B15" s="17" t="s">
        <v>85</v>
      </c>
      <c r="C15" s="17"/>
      <c r="D15" s="18" t="s">
        <v>15</v>
      </c>
      <c r="E15" s="18">
        <v>5</v>
      </c>
      <c r="F15" s="14">
        <f t="shared" si="3"/>
        <v>11.5294117647059</v>
      </c>
      <c r="G15" s="15">
        <f t="shared" si="4"/>
        <v>0.85</v>
      </c>
      <c r="H15" s="19">
        <v>9.8</v>
      </c>
      <c r="I15" s="16">
        <f t="shared" si="5"/>
        <v>49</v>
      </c>
      <c r="J15" s="17"/>
    </row>
    <row r="16" s="4" customFormat="1" ht="16" customHeight="1" spans="1:10">
      <c r="A16" s="12">
        <v>11</v>
      </c>
      <c r="B16" s="12" t="s">
        <v>76</v>
      </c>
      <c r="C16" s="12"/>
      <c r="D16" s="13" t="s">
        <v>15</v>
      </c>
      <c r="E16" s="13">
        <v>13</v>
      </c>
      <c r="F16" s="14">
        <f t="shared" si="3"/>
        <v>2.11764705882353</v>
      </c>
      <c r="G16" s="15">
        <f t="shared" si="4"/>
        <v>0.85</v>
      </c>
      <c r="H16" s="19">
        <v>1.8</v>
      </c>
      <c r="I16" s="16">
        <f t="shared" si="5"/>
        <v>23.4</v>
      </c>
      <c r="J16" s="12"/>
    </row>
    <row r="17" s="4" customFormat="1" ht="16" customHeight="1" spans="1:10">
      <c r="A17" s="12">
        <v>12</v>
      </c>
      <c r="B17" s="17" t="s">
        <v>116</v>
      </c>
      <c r="C17" s="17"/>
      <c r="D17" s="17" t="s">
        <v>15</v>
      </c>
      <c r="E17" s="18">
        <v>4.7</v>
      </c>
      <c r="F17" s="14">
        <f t="shared" si="3"/>
        <v>5.64705882352941</v>
      </c>
      <c r="G17" s="15">
        <f t="shared" si="4"/>
        <v>0.85</v>
      </c>
      <c r="H17" s="19">
        <v>4.8</v>
      </c>
      <c r="I17" s="16">
        <f t="shared" si="5"/>
        <v>22.56</v>
      </c>
      <c r="J17" s="17"/>
    </row>
    <row r="18" s="4" customFormat="1" ht="16" customHeight="1" spans="1:10">
      <c r="A18" s="12">
        <v>13</v>
      </c>
      <c r="B18" s="12" t="s">
        <v>142</v>
      </c>
      <c r="C18" s="12"/>
      <c r="D18" s="17" t="s">
        <v>15</v>
      </c>
      <c r="E18" s="13">
        <v>7</v>
      </c>
      <c r="F18" s="14">
        <f t="shared" si="3"/>
        <v>8</v>
      </c>
      <c r="G18" s="15">
        <f t="shared" si="4"/>
        <v>0.85</v>
      </c>
      <c r="H18" s="19">
        <v>6.8</v>
      </c>
      <c r="I18" s="16">
        <f t="shared" si="5"/>
        <v>47.6</v>
      </c>
      <c r="J18" s="12"/>
    </row>
    <row r="19" s="4" customFormat="1" ht="16" customHeight="1" spans="1:10">
      <c r="A19" s="12">
        <v>14</v>
      </c>
      <c r="B19" s="12" t="s">
        <v>47</v>
      </c>
      <c r="C19" s="12"/>
      <c r="D19" s="12" t="s">
        <v>15</v>
      </c>
      <c r="E19" s="13">
        <v>16.5</v>
      </c>
      <c r="F19" s="14">
        <f t="shared" si="3"/>
        <v>17.4117647058824</v>
      </c>
      <c r="G19" s="15">
        <f t="shared" si="4"/>
        <v>0.85</v>
      </c>
      <c r="H19" s="19">
        <v>14.8</v>
      </c>
      <c r="I19" s="16">
        <f t="shared" si="5"/>
        <v>244.2</v>
      </c>
      <c r="J19" s="12"/>
    </row>
    <row r="20" s="4" customFormat="1" ht="16" customHeight="1" spans="1:10">
      <c r="A20" s="12">
        <v>15</v>
      </c>
      <c r="B20" s="12" t="s">
        <v>29</v>
      </c>
      <c r="C20" s="12"/>
      <c r="D20" s="12" t="s">
        <v>15</v>
      </c>
      <c r="E20" s="13">
        <v>8</v>
      </c>
      <c r="F20" s="14">
        <f t="shared" si="3"/>
        <v>32.9411764705882</v>
      </c>
      <c r="G20" s="15">
        <f t="shared" si="4"/>
        <v>0.85</v>
      </c>
      <c r="H20" s="19">
        <v>28</v>
      </c>
      <c r="I20" s="16">
        <f t="shared" si="5"/>
        <v>224</v>
      </c>
      <c r="J20" s="12"/>
    </row>
    <row r="21" s="4" customFormat="1" ht="16" customHeight="1" spans="1:10">
      <c r="A21" s="12">
        <v>16</v>
      </c>
      <c r="B21" s="12" t="s">
        <v>143</v>
      </c>
      <c r="C21" s="12" t="s">
        <v>59</v>
      </c>
      <c r="D21" s="12" t="s">
        <v>15</v>
      </c>
      <c r="E21" s="13">
        <v>1</v>
      </c>
      <c r="F21" s="14">
        <f t="shared" si="3"/>
        <v>29.4117647058824</v>
      </c>
      <c r="G21" s="15">
        <f t="shared" si="4"/>
        <v>0.85</v>
      </c>
      <c r="H21" s="19">
        <v>25</v>
      </c>
      <c r="I21" s="16">
        <f t="shared" si="5"/>
        <v>25</v>
      </c>
      <c r="J21" s="12"/>
    </row>
    <row r="22" s="4" customFormat="1" customHeight="1" spans="1:10">
      <c r="A22" s="12">
        <v>17</v>
      </c>
      <c r="B22" s="14" t="s">
        <v>144</v>
      </c>
      <c r="C22" s="14" t="s">
        <v>145</v>
      </c>
      <c r="D22" s="14" t="s">
        <v>32</v>
      </c>
      <c r="E22" s="13">
        <v>1</v>
      </c>
      <c r="F22" s="14">
        <f t="shared" si="3"/>
        <v>411.764705882353</v>
      </c>
      <c r="G22" s="15">
        <f t="shared" si="4"/>
        <v>0.85</v>
      </c>
      <c r="H22" s="19">
        <v>350</v>
      </c>
      <c r="I22" s="16">
        <f t="shared" si="5"/>
        <v>350</v>
      </c>
      <c r="J22" s="14"/>
    </row>
    <row r="23" s="4" customFormat="1" customHeight="1" spans="1:10">
      <c r="A23" s="12">
        <v>18</v>
      </c>
      <c r="B23" s="14" t="s">
        <v>35</v>
      </c>
      <c r="C23" s="14"/>
      <c r="D23" s="14" t="s">
        <v>36</v>
      </c>
      <c r="E23" s="13">
        <v>30</v>
      </c>
      <c r="F23" s="14">
        <f t="shared" si="3"/>
        <v>4.11764705882353</v>
      </c>
      <c r="G23" s="15">
        <f t="shared" si="4"/>
        <v>0.85</v>
      </c>
      <c r="H23" s="19">
        <v>3.5</v>
      </c>
      <c r="I23" s="16">
        <f t="shared" si="5"/>
        <v>105</v>
      </c>
      <c r="J23" s="14"/>
    </row>
    <row r="24" s="4" customFormat="1" customHeight="1" spans="1:10">
      <c r="A24" s="12">
        <v>19</v>
      </c>
      <c r="B24" s="14"/>
      <c r="C24" s="14"/>
      <c r="D24" s="14"/>
      <c r="E24" s="13"/>
      <c r="F24" s="14"/>
      <c r="G24" s="15"/>
      <c r="H24" s="19"/>
      <c r="I24" s="16"/>
      <c r="J24" s="14"/>
    </row>
    <row r="25" s="4" customFormat="1" customHeight="1" spans="1:10">
      <c r="A25" s="12">
        <v>20</v>
      </c>
      <c r="B25" s="14"/>
      <c r="C25" s="14"/>
      <c r="D25" s="14"/>
      <c r="E25" s="13"/>
      <c r="F25" s="14"/>
      <c r="G25" s="15"/>
      <c r="H25" s="19"/>
      <c r="I25" s="16"/>
      <c r="J25" s="14"/>
    </row>
    <row r="26" s="4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4" customFormat="1" customHeight="1" spans="1:10">
      <c r="A34" s="12" t="s">
        <v>37</v>
      </c>
      <c r="B34" s="20">
        <f>SUM(I6:I33)</f>
        <v>1957.26</v>
      </c>
      <c r="C34" s="21"/>
      <c r="D34" s="21"/>
      <c r="E34" s="22"/>
      <c r="F34" s="21"/>
      <c r="G34" s="21"/>
      <c r="H34" s="21"/>
      <c r="I34" s="21"/>
      <c r="J34" s="25"/>
    </row>
    <row r="35" s="4" customFormat="1" customHeight="1" spans="1:10">
      <c r="A35" s="12" t="s">
        <v>38</v>
      </c>
      <c r="B35" s="23">
        <f>B34</f>
        <v>1957.26</v>
      </c>
      <c r="C35" s="24"/>
      <c r="D35" s="24"/>
      <c r="E35" s="22"/>
      <c r="F35" s="24"/>
      <c r="G35" s="24"/>
      <c r="H35" s="24"/>
      <c r="I35" s="24"/>
      <c r="J35" s="26"/>
    </row>
    <row r="36" s="4" customFormat="1" customHeight="1" spans="1:5">
      <c r="A36" s="4" t="s">
        <v>39</v>
      </c>
      <c r="E36" s="5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7" workbookViewId="0">
      <selection activeCell="I17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1" width="11.6666666666667" style="4" customWidth="1"/>
    <col min="16322" max="16322" width="11.6666666666667" style="4"/>
    <col min="16323" max="16328" width="11" style="4"/>
    <col min="1632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45246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 t="shared" ref="F6:F12" si="0">H6/0.85</f>
        <v>3.52941176470588</v>
      </c>
      <c r="G6" s="15">
        <f t="shared" ref="G6:G12" si="1">H6/F6</f>
        <v>0.85</v>
      </c>
      <c r="H6" s="16">
        <v>3</v>
      </c>
      <c r="I6" s="16">
        <f t="shared" ref="I6:I12" si="2">E6*H6</f>
        <v>21</v>
      </c>
      <c r="J6" s="12"/>
    </row>
    <row r="7" s="4" customFormat="1" ht="16" customHeight="1" spans="1:10">
      <c r="A7" s="12">
        <v>2</v>
      </c>
      <c r="B7" s="12" t="s">
        <v>16</v>
      </c>
      <c r="C7" s="12"/>
      <c r="D7" s="13" t="s">
        <v>15</v>
      </c>
      <c r="E7" s="13">
        <v>4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14</v>
      </c>
      <c r="J7" s="12"/>
    </row>
    <row r="8" s="4" customFormat="1" ht="16" customHeight="1" spans="1:10">
      <c r="A8" s="12">
        <v>3</v>
      </c>
      <c r="B8" s="12" t="s">
        <v>17</v>
      </c>
      <c r="C8" s="12"/>
      <c r="D8" s="13" t="s">
        <v>15</v>
      </c>
      <c r="E8" s="13">
        <v>7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24.5</v>
      </c>
      <c r="J8" s="12"/>
    </row>
    <row r="9" s="4" customFormat="1" ht="16" customHeight="1" spans="1:10">
      <c r="A9" s="12">
        <v>4</v>
      </c>
      <c r="B9" s="12" t="s">
        <v>40</v>
      </c>
      <c r="C9" s="12"/>
      <c r="D9" s="13" t="s">
        <v>15</v>
      </c>
      <c r="E9" s="13">
        <v>5</v>
      </c>
      <c r="F9" s="14">
        <f t="shared" si="0"/>
        <v>15.0588235294118</v>
      </c>
      <c r="G9" s="15">
        <f t="shared" si="1"/>
        <v>0.85</v>
      </c>
      <c r="H9" s="16">
        <v>12.8</v>
      </c>
      <c r="I9" s="16">
        <f t="shared" si="2"/>
        <v>64</v>
      </c>
      <c r="J9" s="12"/>
    </row>
    <row r="10" s="4" customFormat="1" ht="16" customHeight="1" spans="1:10">
      <c r="A10" s="12">
        <v>5</v>
      </c>
      <c r="B10" s="12" t="s">
        <v>146</v>
      </c>
      <c r="C10" s="12"/>
      <c r="D10" s="13" t="s">
        <v>15</v>
      </c>
      <c r="E10" s="13">
        <v>7</v>
      </c>
      <c r="F10" s="14">
        <f t="shared" si="0"/>
        <v>6.82352941176471</v>
      </c>
      <c r="G10" s="15">
        <f t="shared" si="1"/>
        <v>0.85</v>
      </c>
      <c r="H10" s="16">
        <v>5.8</v>
      </c>
      <c r="I10" s="16">
        <f t="shared" si="2"/>
        <v>40.6</v>
      </c>
      <c r="J10" s="12"/>
    </row>
    <row r="11" s="4" customFormat="1" ht="16" customHeight="1" spans="1:10">
      <c r="A11" s="12">
        <v>6</v>
      </c>
      <c r="B11" s="17" t="s">
        <v>63</v>
      </c>
      <c r="C11" s="17"/>
      <c r="D11" s="18" t="s">
        <v>15</v>
      </c>
      <c r="E11" s="18">
        <v>3</v>
      </c>
      <c r="F11" s="14">
        <f t="shared" si="0"/>
        <v>8.82352941176471</v>
      </c>
      <c r="G11" s="15">
        <f t="shared" si="1"/>
        <v>0.85</v>
      </c>
      <c r="H11" s="19">
        <v>7.5</v>
      </c>
      <c r="I11" s="16">
        <f t="shared" si="2"/>
        <v>22.5</v>
      </c>
      <c r="J11" s="17"/>
    </row>
    <row r="12" s="4" customFormat="1" ht="16" customHeight="1" spans="1:10">
      <c r="A12" s="12">
        <v>7</v>
      </c>
      <c r="B12" s="17" t="s">
        <v>22</v>
      </c>
      <c r="C12" s="17"/>
      <c r="D12" s="18" t="s">
        <v>23</v>
      </c>
      <c r="E12" s="18">
        <v>15</v>
      </c>
      <c r="F12" s="14">
        <f t="shared" si="0"/>
        <v>3.52941176470588</v>
      </c>
      <c r="G12" s="15">
        <f t="shared" si="1"/>
        <v>0.85</v>
      </c>
      <c r="H12" s="19">
        <v>3</v>
      </c>
      <c r="I12" s="16">
        <f t="shared" si="2"/>
        <v>45</v>
      </c>
      <c r="J12" s="17"/>
    </row>
    <row r="13" s="4" customFormat="1" ht="16" customHeight="1" spans="1:10">
      <c r="A13" s="12">
        <v>8</v>
      </c>
      <c r="B13" s="17" t="s">
        <v>64</v>
      </c>
      <c r="C13" s="17"/>
      <c r="D13" s="18" t="s">
        <v>15</v>
      </c>
      <c r="E13" s="18">
        <v>3</v>
      </c>
      <c r="F13" s="14">
        <f t="shared" ref="F13:F25" si="3">H13/0.85</f>
        <v>4.70588235294118</v>
      </c>
      <c r="G13" s="15">
        <f t="shared" ref="G13:G25" si="4">H13/F13</f>
        <v>0.85</v>
      </c>
      <c r="H13" s="19">
        <v>4</v>
      </c>
      <c r="I13" s="16">
        <f t="shared" ref="I13:I25" si="5">E13*H13</f>
        <v>12</v>
      </c>
      <c r="J13" s="17"/>
    </row>
    <row r="14" s="4" customFormat="1" ht="16" customHeight="1" spans="1:10">
      <c r="A14" s="12">
        <v>9</v>
      </c>
      <c r="B14" s="17" t="s">
        <v>74</v>
      </c>
      <c r="C14" s="17"/>
      <c r="D14" s="18" t="s">
        <v>15</v>
      </c>
      <c r="E14" s="18">
        <v>5</v>
      </c>
      <c r="F14" s="14">
        <f t="shared" si="3"/>
        <v>4.47058823529412</v>
      </c>
      <c r="G14" s="15">
        <f t="shared" si="4"/>
        <v>0.85</v>
      </c>
      <c r="H14" s="19">
        <v>3.8</v>
      </c>
      <c r="I14" s="16">
        <f t="shared" si="5"/>
        <v>19</v>
      </c>
      <c r="J14" s="17"/>
    </row>
    <row r="15" s="4" customFormat="1" ht="16" customHeight="1" spans="1:10">
      <c r="A15" s="12">
        <v>10</v>
      </c>
      <c r="B15" s="17" t="s">
        <v>44</v>
      </c>
      <c r="C15" s="17"/>
      <c r="D15" s="18" t="s">
        <v>15</v>
      </c>
      <c r="E15" s="18">
        <v>13</v>
      </c>
      <c r="F15" s="14">
        <f t="shared" si="3"/>
        <v>5.29411764705882</v>
      </c>
      <c r="G15" s="15">
        <f t="shared" si="4"/>
        <v>0.85</v>
      </c>
      <c r="H15" s="19">
        <v>4.5</v>
      </c>
      <c r="I15" s="16">
        <f t="shared" si="5"/>
        <v>58.5</v>
      </c>
      <c r="J15" s="17"/>
    </row>
    <row r="16" s="4" customFormat="1" ht="16" customHeight="1" spans="1:10">
      <c r="A16" s="12">
        <v>11</v>
      </c>
      <c r="B16" s="12" t="s">
        <v>135</v>
      </c>
      <c r="C16" s="12"/>
      <c r="D16" s="13" t="s">
        <v>15</v>
      </c>
      <c r="E16" s="13">
        <v>7</v>
      </c>
      <c r="F16" s="14">
        <f t="shared" si="3"/>
        <v>4.47058823529412</v>
      </c>
      <c r="G16" s="15">
        <f t="shared" si="4"/>
        <v>0.85</v>
      </c>
      <c r="H16" s="19">
        <v>3.8</v>
      </c>
      <c r="I16" s="16">
        <f t="shared" si="5"/>
        <v>26.6</v>
      </c>
      <c r="J16" s="12"/>
    </row>
    <row r="17" s="4" customFormat="1" ht="16" customHeight="1" spans="1:10">
      <c r="A17" s="12">
        <v>12</v>
      </c>
      <c r="B17" s="17" t="s">
        <v>25</v>
      </c>
      <c r="C17" s="17"/>
      <c r="D17" s="17" t="s">
        <v>15</v>
      </c>
      <c r="E17" s="18">
        <v>2</v>
      </c>
      <c r="F17" s="14">
        <f t="shared" si="3"/>
        <v>9.17647058823529</v>
      </c>
      <c r="G17" s="15">
        <f t="shared" si="4"/>
        <v>0.85</v>
      </c>
      <c r="H17" s="19">
        <v>7.8</v>
      </c>
      <c r="I17" s="16">
        <f t="shared" si="5"/>
        <v>15.6</v>
      </c>
      <c r="J17" s="17"/>
    </row>
    <row r="18" s="4" customFormat="1" ht="16" customHeight="1" spans="1:10">
      <c r="A18" s="12">
        <v>13</v>
      </c>
      <c r="B18" s="12" t="s">
        <v>45</v>
      </c>
      <c r="C18" s="12"/>
      <c r="D18" s="17" t="s">
        <v>15</v>
      </c>
      <c r="E18" s="13">
        <v>15</v>
      </c>
      <c r="F18" s="14">
        <f t="shared" si="3"/>
        <v>5.29411764705882</v>
      </c>
      <c r="G18" s="15">
        <f t="shared" si="4"/>
        <v>0.85</v>
      </c>
      <c r="H18" s="19">
        <v>4.5</v>
      </c>
      <c r="I18" s="16">
        <f t="shared" si="5"/>
        <v>67.5</v>
      </c>
      <c r="J18" s="12"/>
    </row>
    <row r="19" s="4" customFormat="1" ht="16" customHeight="1" spans="1:10">
      <c r="A19" s="12">
        <v>14</v>
      </c>
      <c r="B19" s="12" t="s">
        <v>28</v>
      </c>
      <c r="C19" s="12"/>
      <c r="D19" s="12" t="s">
        <v>15</v>
      </c>
      <c r="E19" s="13">
        <v>10</v>
      </c>
      <c r="F19" s="14">
        <f t="shared" si="3"/>
        <v>16.2352941176471</v>
      </c>
      <c r="G19" s="15">
        <f t="shared" si="4"/>
        <v>0.85</v>
      </c>
      <c r="H19" s="19">
        <v>13.8</v>
      </c>
      <c r="I19" s="16">
        <f t="shared" si="5"/>
        <v>138</v>
      </c>
      <c r="J19" s="12"/>
    </row>
    <row r="20" s="4" customFormat="1" ht="16" customHeight="1" spans="1:10">
      <c r="A20" s="12">
        <v>15</v>
      </c>
      <c r="B20" s="12" t="s">
        <v>29</v>
      </c>
      <c r="C20" s="12"/>
      <c r="D20" s="12" t="s">
        <v>15</v>
      </c>
      <c r="E20" s="13">
        <v>18</v>
      </c>
      <c r="F20" s="14">
        <f t="shared" si="3"/>
        <v>32.9411764705882</v>
      </c>
      <c r="G20" s="15">
        <f t="shared" si="4"/>
        <v>0.85</v>
      </c>
      <c r="H20" s="19">
        <v>28</v>
      </c>
      <c r="I20" s="16">
        <f t="shared" si="5"/>
        <v>504</v>
      </c>
      <c r="J20" s="12"/>
    </row>
    <row r="21" s="4" customFormat="1" customHeight="1" spans="1:10">
      <c r="A21" s="12">
        <v>16</v>
      </c>
      <c r="B21" s="12" t="s">
        <v>113</v>
      </c>
      <c r="C21" s="12"/>
      <c r="D21" s="13" t="s">
        <v>15</v>
      </c>
      <c r="E21" s="13">
        <v>3</v>
      </c>
      <c r="F21" s="14">
        <f t="shared" si="3"/>
        <v>103.529411764706</v>
      </c>
      <c r="G21" s="15">
        <f t="shared" si="4"/>
        <v>0.85</v>
      </c>
      <c r="H21" s="16">
        <v>88</v>
      </c>
      <c r="I21" s="16">
        <f t="shared" si="5"/>
        <v>264</v>
      </c>
      <c r="J21" s="14"/>
    </row>
    <row r="22" s="4" customFormat="1" customHeight="1" spans="1:10">
      <c r="A22" s="12">
        <v>17</v>
      </c>
      <c r="B22" s="14" t="s">
        <v>147</v>
      </c>
      <c r="C22" s="14" t="s">
        <v>148</v>
      </c>
      <c r="D22" s="14" t="s">
        <v>149</v>
      </c>
      <c r="E22" s="13">
        <v>1</v>
      </c>
      <c r="F22" s="14">
        <f t="shared" si="3"/>
        <v>48.8235294117647</v>
      </c>
      <c r="G22" s="15">
        <f t="shared" si="4"/>
        <v>0.85</v>
      </c>
      <c r="H22" s="19">
        <v>41.5</v>
      </c>
      <c r="I22" s="16">
        <f t="shared" si="5"/>
        <v>41.5</v>
      </c>
      <c r="J22" s="14"/>
    </row>
    <row r="23" s="4" customFormat="1" customHeight="1" spans="1:10">
      <c r="A23" s="12">
        <v>18</v>
      </c>
      <c r="B23" s="14" t="s">
        <v>56</v>
      </c>
      <c r="C23" s="14" t="s">
        <v>57</v>
      </c>
      <c r="D23" s="14" t="s">
        <v>53</v>
      </c>
      <c r="E23" s="13">
        <v>2</v>
      </c>
      <c r="F23" s="14">
        <f t="shared" si="3"/>
        <v>205.882352941176</v>
      </c>
      <c r="G23" s="15">
        <f t="shared" si="4"/>
        <v>0.85</v>
      </c>
      <c r="H23" s="19">
        <v>175</v>
      </c>
      <c r="I23" s="16">
        <f t="shared" si="5"/>
        <v>350</v>
      </c>
      <c r="J23" s="14"/>
    </row>
    <row r="24" s="4" customFormat="1" customHeight="1" spans="1:10">
      <c r="A24" s="12">
        <v>19</v>
      </c>
      <c r="B24" s="14" t="s">
        <v>33</v>
      </c>
      <c r="C24" s="14" t="s">
        <v>34</v>
      </c>
      <c r="D24" s="14" t="s">
        <v>15</v>
      </c>
      <c r="E24" s="13">
        <v>4</v>
      </c>
      <c r="F24" s="14">
        <f t="shared" si="3"/>
        <v>5.76470588235294</v>
      </c>
      <c r="G24" s="15">
        <f t="shared" si="4"/>
        <v>0.85</v>
      </c>
      <c r="H24" s="19">
        <v>4.9</v>
      </c>
      <c r="I24" s="16">
        <f t="shared" si="5"/>
        <v>19.6</v>
      </c>
      <c r="J24" s="14"/>
    </row>
    <row r="25" s="4" customFormat="1" customHeight="1" spans="1:10">
      <c r="A25" s="12">
        <v>20</v>
      </c>
      <c r="B25" s="14" t="s">
        <v>35</v>
      </c>
      <c r="C25" s="14"/>
      <c r="D25" s="14" t="s">
        <v>36</v>
      </c>
      <c r="E25" s="13">
        <v>55</v>
      </c>
      <c r="F25" s="14">
        <f t="shared" si="3"/>
        <v>4.11764705882353</v>
      </c>
      <c r="G25" s="15">
        <f t="shared" si="4"/>
        <v>0.85</v>
      </c>
      <c r="H25" s="19">
        <v>3.5</v>
      </c>
      <c r="I25" s="16">
        <f t="shared" si="5"/>
        <v>192.5</v>
      </c>
      <c r="J25" s="14"/>
    </row>
    <row r="26" s="4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 t="s">
        <v>37</v>
      </c>
      <c r="B33" s="20">
        <f>SUM(I6:I32)</f>
        <v>1940.4</v>
      </c>
      <c r="C33" s="21"/>
      <c r="D33" s="21"/>
      <c r="E33" s="22"/>
      <c r="F33" s="21"/>
      <c r="G33" s="21"/>
      <c r="H33" s="21"/>
      <c r="I33" s="21"/>
      <c r="J33" s="25"/>
    </row>
    <row r="34" s="4" customFormat="1" customHeight="1" spans="1:10">
      <c r="A34" s="12" t="s">
        <v>38</v>
      </c>
      <c r="B34" s="23">
        <f>B33</f>
        <v>1940.4</v>
      </c>
      <c r="C34" s="24"/>
      <c r="D34" s="24"/>
      <c r="E34" s="22"/>
      <c r="F34" s="24"/>
      <c r="G34" s="24"/>
      <c r="H34" s="24"/>
      <c r="I34" s="24"/>
      <c r="J34" s="26"/>
    </row>
    <row r="35" s="4" customFormat="1" customHeight="1" spans="1:5">
      <c r="A35" s="4" t="s">
        <v>39</v>
      </c>
      <c r="E35" s="5"/>
    </row>
  </sheetData>
  <mergeCells count="4">
    <mergeCell ref="A1:J1"/>
    <mergeCell ref="B33:J33"/>
    <mergeCell ref="B34:J34"/>
    <mergeCell ref="A35:J35"/>
  </mergeCells>
  <conditionalFormatting sqref="B21">
    <cfRule type="duplicateValues" dxfId="0" priority="1"/>
    <cfRule type="duplicateValues" dxfId="0" priority="2"/>
  </conditionalFormatting>
  <conditionalFormatting sqref="B1:B20 B35:B1048576 B22:B32">
    <cfRule type="duplicateValues" dxfId="0" priority="3"/>
  </conditionalFormatting>
  <conditionalFormatting sqref="B6:C16">
    <cfRule type="duplicateValues" dxfId="0" priority="5"/>
  </conditionalFormatting>
  <conditionalFormatting sqref="B6:B20 B22:B32">
    <cfRule type="duplicateValues" dxfId="0" priority="4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7" workbookViewId="0">
      <selection activeCell="E12" sqref="E12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06" width="11.6666666666667" style="4" customWidth="1"/>
    <col min="16307" max="16307" width="11.6666666666667" style="4"/>
    <col min="16308" max="16313" width="11" style="4"/>
    <col min="16314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45247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2</v>
      </c>
      <c r="F6" s="14">
        <f t="shared" ref="F6:F20" si="0">H6/0.85</f>
        <v>3.52941176470588</v>
      </c>
      <c r="G6" s="15">
        <f t="shared" ref="G6:G20" si="1">H6/F6</f>
        <v>0.85</v>
      </c>
      <c r="H6" s="16">
        <v>3</v>
      </c>
      <c r="I6" s="16">
        <f t="shared" ref="I6:I20" si="2">E6*H6</f>
        <v>6</v>
      </c>
      <c r="J6" s="12"/>
    </row>
    <row r="7" s="4" customFormat="1" ht="16" customHeight="1" spans="1:10">
      <c r="A7" s="12">
        <v>2</v>
      </c>
      <c r="B7" s="12" t="s">
        <v>60</v>
      </c>
      <c r="C7" s="12"/>
      <c r="D7" s="13" t="s">
        <v>15</v>
      </c>
      <c r="E7" s="13">
        <v>1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3.5</v>
      </c>
      <c r="J7" s="12"/>
    </row>
    <row r="8" s="4" customFormat="1" ht="16" customHeight="1" spans="1:10">
      <c r="A8" s="12">
        <v>3</v>
      </c>
      <c r="B8" s="12" t="s">
        <v>17</v>
      </c>
      <c r="C8" s="12"/>
      <c r="D8" s="13" t="s">
        <v>15</v>
      </c>
      <c r="E8" s="13">
        <v>3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10.5</v>
      </c>
      <c r="J8" s="12"/>
    </row>
    <row r="9" s="4" customFormat="1" ht="16" customHeight="1" spans="1:10">
      <c r="A9" s="12">
        <v>4</v>
      </c>
      <c r="B9" s="17" t="s">
        <v>102</v>
      </c>
      <c r="C9" s="17"/>
      <c r="D9" s="13" t="s">
        <v>15</v>
      </c>
      <c r="E9" s="13">
        <v>6</v>
      </c>
      <c r="F9" s="14">
        <f t="shared" si="0"/>
        <v>4.47058823529412</v>
      </c>
      <c r="G9" s="15">
        <f t="shared" si="1"/>
        <v>0.85</v>
      </c>
      <c r="H9" s="16">
        <v>3.8</v>
      </c>
      <c r="I9" s="16">
        <f t="shared" si="2"/>
        <v>22.8</v>
      </c>
      <c r="J9" s="12"/>
    </row>
    <row r="10" s="4" customFormat="1" ht="16" customHeight="1" spans="1:10">
      <c r="A10" s="12">
        <v>5</v>
      </c>
      <c r="B10" s="12" t="s">
        <v>20</v>
      </c>
      <c r="C10" s="12"/>
      <c r="D10" s="13" t="s">
        <v>15</v>
      </c>
      <c r="E10" s="13">
        <v>15</v>
      </c>
      <c r="F10" s="14">
        <f t="shared" si="0"/>
        <v>4.11764705882353</v>
      </c>
      <c r="G10" s="15">
        <f t="shared" si="1"/>
        <v>0.85</v>
      </c>
      <c r="H10" s="16">
        <v>3.5</v>
      </c>
      <c r="I10" s="16">
        <f t="shared" si="2"/>
        <v>52.5</v>
      </c>
      <c r="J10" s="12"/>
    </row>
    <row r="11" s="4" customFormat="1" ht="16" customHeight="1" spans="1:10">
      <c r="A11" s="12">
        <v>6</v>
      </c>
      <c r="B11" s="12" t="s">
        <v>63</v>
      </c>
      <c r="C11" s="12"/>
      <c r="D11" s="13" t="s">
        <v>15</v>
      </c>
      <c r="E11" s="13">
        <v>3</v>
      </c>
      <c r="F11" s="14">
        <f t="shared" si="0"/>
        <v>8.82352941176471</v>
      </c>
      <c r="G11" s="15">
        <f t="shared" si="1"/>
        <v>0.85</v>
      </c>
      <c r="H11" s="16">
        <v>7.5</v>
      </c>
      <c r="I11" s="16">
        <f t="shared" si="2"/>
        <v>22.5</v>
      </c>
      <c r="J11" s="12"/>
    </row>
    <row r="12" s="4" customFormat="1" ht="16" customHeight="1" spans="1:10">
      <c r="A12" s="12">
        <v>7</v>
      </c>
      <c r="B12" s="17" t="s">
        <v>64</v>
      </c>
      <c r="C12" s="17"/>
      <c r="D12" s="18" t="s">
        <v>15</v>
      </c>
      <c r="E12" s="18">
        <v>4</v>
      </c>
      <c r="F12" s="14">
        <f t="shared" si="0"/>
        <v>4.70588235294118</v>
      </c>
      <c r="G12" s="15">
        <f t="shared" si="1"/>
        <v>0.85</v>
      </c>
      <c r="H12" s="19">
        <v>4</v>
      </c>
      <c r="I12" s="16">
        <f t="shared" si="2"/>
        <v>16</v>
      </c>
      <c r="J12" s="17"/>
    </row>
    <row r="13" s="4" customFormat="1" ht="16" customHeight="1" spans="1:10">
      <c r="A13" s="12">
        <v>8</v>
      </c>
      <c r="B13" s="17" t="s">
        <v>103</v>
      </c>
      <c r="C13" s="17"/>
      <c r="D13" s="18" t="s">
        <v>15</v>
      </c>
      <c r="E13" s="18">
        <v>5</v>
      </c>
      <c r="F13" s="14">
        <f t="shared" si="0"/>
        <v>4.47058823529412</v>
      </c>
      <c r="G13" s="15">
        <f t="shared" si="1"/>
        <v>0.85</v>
      </c>
      <c r="H13" s="19">
        <v>3.8</v>
      </c>
      <c r="I13" s="16">
        <f t="shared" si="2"/>
        <v>19</v>
      </c>
      <c r="J13" s="17"/>
    </row>
    <row r="14" s="4" customFormat="1" ht="16" customHeight="1" spans="1:10">
      <c r="A14" s="12">
        <v>9</v>
      </c>
      <c r="B14" s="17" t="s">
        <v>25</v>
      </c>
      <c r="C14" s="17"/>
      <c r="D14" s="18" t="s">
        <v>15</v>
      </c>
      <c r="E14" s="18">
        <v>1</v>
      </c>
      <c r="F14" s="14">
        <f t="shared" si="0"/>
        <v>9.17647058823529</v>
      </c>
      <c r="G14" s="15">
        <f t="shared" si="1"/>
        <v>0.85</v>
      </c>
      <c r="H14" s="19">
        <v>7.8</v>
      </c>
      <c r="I14" s="16">
        <f t="shared" si="2"/>
        <v>7.8</v>
      </c>
      <c r="J14" s="17"/>
    </row>
    <row r="15" s="4" customFormat="1" ht="16" customHeight="1" spans="1:10">
      <c r="A15" s="12">
        <v>10</v>
      </c>
      <c r="B15" s="17" t="s">
        <v>86</v>
      </c>
      <c r="C15" s="17"/>
      <c r="D15" s="18" t="s">
        <v>15</v>
      </c>
      <c r="E15" s="18">
        <v>6</v>
      </c>
      <c r="F15" s="14">
        <f t="shared" si="0"/>
        <v>5.64705882352941</v>
      </c>
      <c r="G15" s="15">
        <f t="shared" si="1"/>
        <v>0.85</v>
      </c>
      <c r="H15" s="19">
        <v>4.8</v>
      </c>
      <c r="I15" s="16">
        <f t="shared" si="2"/>
        <v>28.8</v>
      </c>
      <c r="J15" s="17"/>
    </row>
    <row r="16" s="4" customFormat="1" ht="16" customHeight="1" spans="1:10">
      <c r="A16" s="12">
        <v>11</v>
      </c>
      <c r="B16" s="17" t="s">
        <v>150</v>
      </c>
      <c r="C16" s="17"/>
      <c r="D16" s="18" t="s">
        <v>15</v>
      </c>
      <c r="E16" s="18">
        <v>12</v>
      </c>
      <c r="F16" s="14">
        <f t="shared" si="0"/>
        <v>4.11764705882353</v>
      </c>
      <c r="G16" s="15">
        <f t="shared" si="1"/>
        <v>0.85</v>
      </c>
      <c r="H16" s="19">
        <v>3.5</v>
      </c>
      <c r="I16" s="16">
        <f t="shared" si="2"/>
        <v>42</v>
      </c>
      <c r="J16" s="17"/>
    </row>
    <row r="17" s="4" customFormat="1" ht="16" customHeight="1" spans="1:10">
      <c r="A17" s="12">
        <v>12</v>
      </c>
      <c r="B17" s="17" t="s">
        <v>26</v>
      </c>
      <c r="C17" s="17"/>
      <c r="D17" s="17" t="s">
        <v>15</v>
      </c>
      <c r="E17" s="18">
        <v>4</v>
      </c>
      <c r="F17" s="14">
        <f t="shared" si="0"/>
        <v>16.2352941176471</v>
      </c>
      <c r="G17" s="15">
        <f t="shared" si="1"/>
        <v>0.85</v>
      </c>
      <c r="H17" s="19">
        <v>13.8</v>
      </c>
      <c r="I17" s="16">
        <f t="shared" si="2"/>
        <v>55.2</v>
      </c>
      <c r="J17" s="17"/>
    </row>
    <row r="18" s="4" customFormat="1" ht="16" customHeight="1" spans="1:10">
      <c r="A18" s="12">
        <v>13</v>
      </c>
      <c r="B18" s="12" t="s">
        <v>27</v>
      </c>
      <c r="C18" s="12"/>
      <c r="D18" s="12" t="s">
        <v>15</v>
      </c>
      <c r="E18" s="13">
        <v>12</v>
      </c>
      <c r="F18" s="14">
        <f t="shared" si="0"/>
        <v>22.9411764705882</v>
      </c>
      <c r="G18" s="15">
        <f t="shared" si="1"/>
        <v>0.85</v>
      </c>
      <c r="H18" s="19">
        <v>19.5</v>
      </c>
      <c r="I18" s="16">
        <f t="shared" si="2"/>
        <v>234</v>
      </c>
      <c r="J18" s="12"/>
    </row>
    <row r="19" s="4" customFormat="1" ht="16" customHeight="1" spans="1:10">
      <c r="A19" s="12">
        <v>14</v>
      </c>
      <c r="B19" s="17" t="s">
        <v>151</v>
      </c>
      <c r="C19" s="17" t="s">
        <v>152</v>
      </c>
      <c r="D19" s="18" t="s">
        <v>153</v>
      </c>
      <c r="E19" s="18">
        <v>13</v>
      </c>
      <c r="F19" s="14">
        <f t="shared" si="0"/>
        <v>2.35294117647059</v>
      </c>
      <c r="G19" s="15">
        <f t="shared" si="1"/>
        <v>0.85</v>
      </c>
      <c r="H19" s="19">
        <v>2</v>
      </c>
      <c r="I19" s="16">
        <f t="shared" si="2"/>
        <v>26</v>
      </c>
      <c r="J19" s="12"/>
    </row>
    <row r="20" s="4" customFormat="1" ht="16" customHeight="1" spans="1:10">
      <c r="A20" s="12">
        <v>15</v>
      </c>
      <c r="B20" s="12" t="s">
        <v>35</v>
      </c>
      <c r="C20" s="12"/>
      <c r="D20" s="12" t="s">
        <v>36</v>
      </c>
      <c r="E20" s="13">
        <v>35</v>
      </c>
      <c r="F20" s="14">
        <f t="shared" si="0"/>
        <v>4.11764705882353</v>
      </c>
      <c r="G20" s="15">
        <f t="shared" si="1"/>
        <v>0.85</v>
      </c>
      <c r="H20" s="19">
        <v>3.5</v>
      </c>
      <c r="I20" s="16">
        <f t="shared" si="2"/>
        <v>122.5</v>
      </c>
      <c r="J20" s="12"/>
    </row>
    <row r="21" s="4" customFormat="1" ht="16" customHeight="1" spans="1:10">
      <c r="A21" s="12">
        <v>16</v>
      </c>
      <c r="B21" s="12"/>
      <c r="C21" s="12"/>
      <c r="D21" s="12"/>
      <c r="E21" s="13"/>
      <c r="F21" s="14"/>
      <c r="G21" s="15"/>
      <c r="H21" s="19"/>
      <c r="I21" s="16"/>
      <c r="J21" s="12"/>
    </row>
    <row r="22" s="4" customFormat="1" ht="16" customHeight="1" spans="1:10">
      <c r="A22" s="12">
        <v>17</v>
      </c>
      <c r="B22" s="12"/>
      <c r="C22" s="12"/>
      <c r="D22" s="12"/>
      <c r="E22" s="13"/>
      <c r="F22" s="14"/>
      <c r="G22" s="15"/>
      <c r="H22" s="19"/>
      <c r="I22" s="16"/>
      <c r="J22" s="12"/>
    </row>
    <row r="23" s="4" customFormat="1" customHeight="1" spans="1:10">
      <c r="A23" s="12">
        <v>18</v>
      </c>
      <c r="B23" s="14"/>
      <c r="C23" s="14"/>
      <c r="D23" s="14"/>
      <c r="E23" s="13"/>
      <c r="F23" s="14"/>
      <c r="G23" s="15"/>
      <c r="H23" s="19"/>
      <c r="I23" s="16"/>
      <c r="J23" s="14"/>
    </row>
    <row r="24" s="4" customFormat="1" customHeight="1" spans="1:10">
      <c r="A24" s="12">
        <v>19</v>
      </c>
      <c r="B24" s="14"/>
      <c r="C24" s="14"/>
      <c r="D24" s="14"/>
      <c r="E24" s="13"/>
      <c r="F24" s="14"/>
      <c r="G24" s="15"/>
      <c r="H24" s="19"/>
      <c r="I24" s="16"/>
      <c r="J24" s="14"/>
    </row>
    <row r="25" s="4" customFormat="1" customHeight="1" spans="1:10">
      <c r="A25" s="12">
        <v>20</v>
      </c>
      <c r="B25" s="14"/>
      <c r="C25" s="14"/>
      <c r="D25" s="14"/>
      <c r="E25" s="13"/>
      <c r="F25" s="14"/>
      <c r="G25" s="15"/>
      <c r="H25" s="19"/>
      <c r="I25" s="16"/>
      <c r="J25" s="14"/>
    </row>
    <row r="26" s="4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4" customFormat="1" customHeight="1" spans="1:10">
      <c r="A34" s="12" t="s">
        <v>37</v>
      </c>
      <c r="B34" s="20">
        <f>SUM(I6:I33)</f>
        <v>669.1</v>
      </c>
      <c r="C34" s="21"/>
      <c r="D34" s="21"/>
      <c r="E34" s="22"/>
      <c r="F34" s="21"/>
      <c r="G34" s="21"/>
      <c r="H34" s="21"/>
      <c r="I34" s="21"/>
      <c r="J34" s="25"/>
    </row>
    <row r="35" s="4" customFormat="1" customHeight="1" spans="1:10">
      <c r="A35" s="12" t="s">
        <v>38</v>
      </c>
      <c r="B35" s="23">
        <f>B34</f>
        <v>669.1</v>
      </c>
      <c r="C35" s="24"/>
      <c r="D35" s="24"/>
      <c r="E35" s="22"/>
      <c r="F35" s="24"/>
      <c r="G35" s="24"/>
      <c r="H35" s="24"/>
      <c r="I35" s="24"/>
      <c r="J35" s="26"/>
    </row>
    <row r="36" s="4" customFormat="1" customHeight="1" spans="1:5">
      <c r="A36" s="4" t="s">
        <v>39</v>
      </c>
      <c r="E36" s="5"/>
    </row>
  </sheetData>
  <sortState ref="A17:I20">
    <sortCondition ref="A17"/>
  </sortState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36"/>
  <sheetViews>
    <sheetView topLeftCell="A15" workbookViewId="0">
      <selection activeCell="I15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1" width="11.6666666666667" style="4" customWidth="1"/>
    <col min="16322" max="16322" width="11.6666666666667" style="4"/>
    <col min="16323" max="16328" width="11" style="4"/>
    <col min="1632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45250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8</v>
      </c>
      <c r="F6" s="14">
        <f t="shared" ref="F6:F28" si="0">H6/0.85</f>
        <v>3.52941176470588</v>
      </c>
      <c r="G6" s="15">
        <f t="shared" ref="G6:G28" si="1">H6/F6</f>
        <v>0.85</v>
      </c>
      <c r="H6" s="16">
        <v>3</v>
      </c>
      <c r="I6" s="16">
        <f t="shared" ref="I6:I28" si="2">E6*H6</f>
        <v>24</v>
      </c>
      <c r="J6" s="12"/>
    </row>
    <row r="7" s="4" customFormat="1" ht="16" customHeight="1" spans="1:10">
      <c r="A7" s="12">
        <v>2</v>
      </c>
      <c r="B7" s="12" t="s">
        <v>60</v>
      </c>
      <c r="C7" s="12"/>
      <c r="D7" s="13" t="s">
        <v>15</v>
      </c>
      <c r="E7" s="13">
        <v>2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7</v>
      </c>
      <c r="J7" s="12"/>
    </row>
    <row r="8" s="4" customFormat="1" ht="16" customHeight="1" spans="1:10">
      <c r="A8" s="12">
        <v>3</v>
      </c>
      <c r="B8" s="12" t="s">
        <v>17</v>
      </c>
      <c r="C8" s="12"/>
      <c r="D8" s="13" t="s">
        <v>15</v>
      </c>
      <c r="E8" s="13">
        <v>7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24.5</v>
      </c>
      <c r="J8" s="12"/>
    </row>
    <row r="9" s="4" customFormat="1" ht="16" customHeight="1" spans="1:10">
      <c r="A9" s="12">
        <v>4</v>
      </c>
      <c r="B9" s="17" t="s">
        <v>126</v>
      </c>
      <c r="C9" s="17"/>
      <c r="D9" s="13" t="s">
        <v>15</v>
      </c>
      <c r="E9" s="13">
        <v>2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7</v>
      </c>
      <c r="J9" s="12"/>
    </row>
    <row r="10" s="4" customFormat="1" ht="16" customHeight="1" spans="1:10">
      <c r="A10" s="12">
        <v>5</v>
      </c>
      <c r="B10" s="12" t="s">
        <v>63</v>
      </c>
      <c r="C10" s="12"/>
      <c r="D10" s="13" t="s">
        <v>15</v>
      </c>
      <c r="E10" s="13">
        <v>3</v>
      </c>
      <c r="F10" s="14">
        <f t="shared" si="0"/>
        <v>8.82352941176471</v>
      </c>
      <c r="G10" s="15">
        <f t="shared" si="1"/>
        <v>0.85</v>
      </c>
      <c r="H10" s="16">
        <v>7.5</v>
      </c>
      <c r="I10" s="16">
        <f t="shared" si="2"/>
        <v>22.5</v>
      </c>
      <c r="J10" s="12"/>
    </row>
    <row r="11" s="4" customFormat="1" ht="16" customHeight="1" spans="1:10">
      <c r="A11" s="12">
        <v>6</v>
      </c>
      <c r="B11" s="12" t="s">
        <v>21</v>
      </c>
      <c r="C11" s="12"/>
      <c r="D11" s="13" t="s">
        <v>15</v>
      </c>
      <c r="E11" s="13">
        <v>5</v>
      </c>
      <c r="F11" s="14">
        <f t="shared" si="0"/>
        <v>2.94117647058824</v>
      </c>
      <c r="G11" s="15">
        <f t="shared" si="1"/>
        <v>0.85</v>
      </c>
      <c r="H11" s="16">
        <v>2.5</v>
      </c>
      <c r="I11" s="16">
        <f t="shared" si="2"/>
        <v>12.5</v>
      </c>
      <c r="J11" s="12"/>
    </row>
    <row r="12" s="4" customFormat="1" ht="16" customHeight="1" spans="1:10">
      <c r="A12" s="12">
        <v>7</v>
      </c>
      <c r="B12" s="17" t="s">
        <v>22</v>
      </c>
      <c r="C12" s="17"/>
      <c r="D12" s="18" t="s">
        <v>23</v>
      </c>
      <c r="E12" s="18">
        <v>8</v>
      </c>
      <c r="F12" s="14">
        <f t="shared" si="0"/>
        <v>3.52941176470588</v>
      </c>
      <c r="G12" s="15">
        <f t="shared" si="1"/>
        <v>0.85</v>
      </c>
      <c r="H12" s="19">
        <v>3</v>
      </c>
      <c r="I12" s="16">
        <f t="shared" si="2"/>
        <v>24</v>
      </c>
      <c r="J12" s="17"/>
    </row>
    <row r="13" s="4" customFormat="1" ht="16" customHeight="1" spans="1:10">
      <c r="A13" s="12">
        <v>8</v>
      </c>
      <c r="B13" s="17" t="s">
        <v>64</v>
      </c>
      <c r="C13" s="17"/>
      <c r="D13" s="18" t="s">
        <v>15</v>
      </c>
      <c r="E13" s="18">
        <v>3</v>
      </c>
      <c r="F13" s="14">
        <f t="shared" si="0"/>
        <v>4.70588235294118</v>
      </c>
      <c r="G13" s="15">
        <f t="shared" si="1"/>
        <v>0.85</v>
      </c>
      <c r="H13" s="19">
        <v>4</v>
      </c>
      <c r="I13" s="16">
        <f t="shared" si="2"/>
        <v>12</v>
      </c>
      <c r="J13" s="17"/>
    </row>
    <row r="14" s="4" customFormat="1" ht="16" customHeight="1" spans="1:10">
      <c r="A14" s="12">
        <v>9</v>
      </c>
      <c r="B14" s="17" t="s">
        <v>74</v>
      </c>
      <c r="C14" s="17"/>
      <c r="D14" s="18" t="s">
        <v>15</v>
      </c>
      <c r="E14" s="18">
        <v>5</v>
      </c>
      <c r="F14" s="14">
        <f t="shared" si="0"/>
        <v>4.47058823529412</v>
      </c>
      <c r="G14" s="15">
        <f t="shared" si="1"/>
        <v>0.85</v>
      </c>
      <c r="H14" s="19">
        <v>3.8</v>
      </c>
      <c r="I14" s="16">
        <f t="shared" si="2"/>
        <v>19</v>
      </c>
      <c r="J14" s="17"/>
    </row>
    <row r="15" s="4" customFormat="1" ht="16" customHeight="1" spans="1:10">
      <c r="A15" s="12">
        <v>10</v>
      </c>
      <c r="B15" s="17" t="s">
        <v>103</v>
      </c>
      <c r="C15" s="17"/>
      <c r="D15" s="18" t="s">
        <v>15</v>
      </c>
      <c r="E15" s="18">
        <v>8</v>
      </c>
      <c r="F15" s="14">
        <f t="shared" si="0"/>
        <v>4.47058823529412</v>
      </c>
      <c r="G15" s="15">
        <f t="shared" si="1"/>
        <v>0.85</v>
      </c>
      <c r="H15" s="19">
        <v>3.8</v>
      </c>
      <c r="I15" s="16">
        <f t="shared" si="2"/>
        <v>30.4</v>
      </c>
      <c r="J15" s="17"/>
    </row>
    <row r="16" s="4" customFormat="1" ht="16" customHeight="1" spans="1:10">
      <c r="A16" s="12">
        <v>11</v>
      </c>
      <c r="B16" s="12" t="s">
        <v>86</v>
      </c>
      <c r="C16" s="12"/>
      <c r="D16" s="17" t="s">
        <v>15</v>
      </c>
      <c r="E16" s="13">
        <v>3</v>
      </c>
      <c r="F16" s="14">
        <f t="shared" si="0"/>
        <v>5.64705882352941</v>
      </c>
      <c r="G16" s="15">
        <f t="shared" si="1"/>
        <v>0.85</v>
      </c>
      <c r="H16" s="19">
        <v>4.8</v>
      </c>
      <c r="I16" s="16">
        <f t="shared" si="2"/>
        <v>14.4</v>
      </c>
      <c r="J16" s="17"/>
    </row>
    <row r="17" s="4" customFormat="1" ht="16" customHeight="1" spans="1:10">
      <c r="A17" s="12">
        <v>12</v>
      </c>
      <c r="B17" s="12" t="s">
        <v>66</v>
      </c>
      <c r="C17" s="12"/>
      <c r="D17" s="12" t="s">
        <v>15</v>
      </c>
      <c r="E17" s="13">
        <v>15</v>
      </c>
      <c r="F17" s="14">
        <f t="shared" si="0"/>
        <v>2.35294117647059</v>
      </c>
      <c r="G17" s="15">
        <f t="shared" si="1"/>
        <v>0.85</v>
      </c>
      <c r="H17" s="19">
        <v>2</v>
      </c>
      <c r="I17" s="16">
        <f t="shared" si="2"/>
        <v>30</v>
      </c>
      <c r="J17" s="17"/>
    </row>
    <row r="18" s="4" customFormat="1" ht="16" customHeight="1" spans="1:10">
      <c r="A18" s="12">
        <v>13</v>
      </c>
      <c r="B18" s="12" t="s">
        <v>116</v>
      </c>
      <c r="C18" s="12"/>
      <c r="D18" s="12" t="s">
        <v>15</v>
      </c>
      <c r="E18" s="13">
        <v>4</v>
      </c>
      <c r="F18" s="14">
        <f t="shared" si="0"/>
        <v>5.64705882352941</v>
      </c>
      <c r="G18" s="15">
        <f t="shared" si="1"/>
        <v>0.85</v>
      </c>
      <c r="H18" s="19">
        <v>4.8</v>
      </c>
      <c r="I18" s="16">
        <f t="shared" si="2"/>
        <v>19.2</v>
      </c>
      <c r="J18" s="12"/>
    </row>
    <row r="19" s="4" customFormat="1" ht="16" customHeight="1" spans="1:10">
      <c r="A19" s="12">
        <v>14</v>
      </c>
      <c r="B19" s="12" t="s">
        <v>142</v>
      </c>
      <c r="C19" s="12"/>
      <c r="D19" s="12" t="s">
        <v>15</v>
      </c>
      <c r="E19" s="13">
        <v>8</v>
      </c>
      <c r="F19" s="14">
        <f t="shared" si="0"/>
        <v>8</v>
      </c>
      <c r="G19" s="15">
        <f t="shared" si="1"/>
        <v>0.85</v>
      </c>
      <c r="H19" s="19">
        <v>6.8</v>
      </c>
      <c r="I19" s="16">
        <f t="shared" si="2"/>
        <v>54.4</v>
      </c>
      <c r="J19" s="12"/>
    </row>
    <row r="20" s="4" customFormat="1" ht="16" customHeight="1" spans="1:10">
      <c r="A20" s="12">
        <v>15</v>
      </c>
      <c r="B20" s="14" t="s">
        <v>67</v>
      </c>
      <c r="C20" s="14" t="s">
        <v>68</v>
      </c>
      <c r="D20" s="14" t="s">
        <v>32</v>
      </c>
      <c r="E20" s="13">
        <v>1</v>
      </c>
      <c r="F20" s="14">
        <f t="shared" si="0"/>
        <v>352.941176470588</v>
      </c>
      <c r="G20" s="15">
        <f t="shared" si="1"/>
        <v>0.85</v>
      </c>
      <c r="H20" s="19">
        <v>300</v>
      </c>
      <c r="I20" s="16">
        <f t="shared" si="2"/>
        <v>300</v>
      </c>
      <c r="J20" s="12"/>
    </row>
    <row r="21" s="4" customFormat="1" ht="16" customHeight="1" spans="1:10">
      <c r="A21" s="12">
        <v>16</v>
      </c>
      <c r="B21" s="14" t="s">
        <v>154</v>
      </c>
      <c r="C21" s="14"/>
      <c r="D21" s="14" t="s">
        <v>15</v>
      </c>
      <c r="E21" s="13">
        <v>10</v>
      </c>
      <c r="F21" s="14">
        <f t="shared" si="0"/>
        <v>68.2352941176471</v>
      </c>
      <c r="G21" s="15">
        <f t="shared" si="1"/>
        <v>0.85</v>
      </c>
      <c r="H21" s="19">
        <v>58</v>
      </c>
      <c r="I21" s="16">
        <f t="shared" si="2"/>
        <v>580</v>
      </c>
      <c r="J21" s="12"/>
    </row>
    <row r="22" s="4" customFormat="1" ht="16" customHeight="1" spans="1:10">
      <c r="A22" s="12">
        <v>17</v>
      </c>
      <c r="B22" s="14" t="s">
        <v>28</v>
      </c>
      <c r="C22" s="14"/>
      <c r="D22" s="14" t="s">
        <v>15</v>
      </c>
      <c r="E22" s="13">
        <v>7</v>
      </c>
      <c r="F22" s="14">
        <f t="shared" si="0"/>
        <v>16.2352941176471</v>
      </c>
      <c r="G22" s="15">
        <f t="shared" si="1"/>
        <v>0.85</v>
      </c>
      <c r="H22" s="19">
        <v>13.8</v>
      </c>
      <c r="I22" s="16">
        <f t="shared" si="2"/>
        <v>96.6</v>
      </c>
      <c r="J22" s="12"/>
    </row>
    <row r="23" s="4" customFormat="1" customHeight="1" spans="1:10">
      <c r="A23" s="12">
        <v>18</v>
      </c>
      <c r="B23" s="14" t="s">
        <v>107</v>
      </c>
      <c r="C23" s="14"/>
      <c r="D23" s="14" t="s">
        <v>15</v>
      </c>
      <c r="E23" s="13">
        <v>10</v>
      </c>
      <c r="F23" s="14">
        <f t="shared" si="0"/>
        <v>23.5294117647059</v>
      </c>
      <c r="G23" s="15">
        <f t="shared" si="1"/>
        <v>0.85</v>
      </c>
      <c r="H23" s="19">
        <v>20</v>
      </c>
      <c r="I23" s="16">
        <f t="shared" si="2"/>
        <v>200</v>
      </c>
      <c r="J23" s="14"/>
    </row>
    <row r="24" s="4" customFormat="1" customHeight="1" spans="1:10">
      <c r="A24" s="12">
        <v>19</v>
      </c>
      <c r="B24" s="14" t="s">
        <v>155</v>
      </c>
      <c r="C24" s="14" t="s">
        <v>59</v>
      </c>
      <c r="D24" s="14" t="s">
        <v>15</v>
      </c>
      <c r="E24" s="13">
        <v>5</v>
      </c>
      <c r="F24" s="14">
        <f t="shared" si="0"/>
        <v>68.2352941176471</v>
      </c>
      <c r="G24" s="15">
        <f t="shared" si="1"/>
        <v>0.85</v>
      </c>
      <c r="H24" s="19">
        <v>58</v>
      </c>
      <c r="I24" s="16">
        <f t="shared" si="2"/>
        <v>290</v>
      </c>
      <c r="J24" s="14"/>
    </row>
    <row r="25" s="4" customFormat="1" customHeight="1" spans="1:10">
      <c r="A25" s="12">
        <v>20</v>
      </c>
      <c r="B25" s="14" t="s">
        <v>156</v>
      </c>
      <c r="C25" s="14"/>
      <c r="D25" s="14" t="s">
        <v>15</v>
      </c>
      <c r="E25" s="13">
        <v>5</v>
      </c>
      <c r="F25" s="14">
        <f t="shared" si="0"/>
        <v>13.8823529411765</v>
      </c>
      <c r="G25" s="15">
        <f t="shared" si="1"/>
        <v>0.85</v>
      </c>
      <c r="H25" s="19">
        <v>11.8</v>
      </c>
      <c r="I25" s="16">
        <f t="shared" si="2"/>
        <v>59</v>
      </c>
      <c r="J25" s="14"/>
    </row>
    <row r="26" s="4" customFormat="1" customHeight="1" spans="1:10">
      <c r="A26" s="12">
        <v>21</v>
      </c>
      <c r="B26" s="14" t="s">
        <v>157</v>
      </c>
      <c r="C26" s="14" t="s">
        <v>59</v>
      </c>
      <c r="D26" s="14" t="s">
        <v>15</v>
      </c>
      <c r="E26" s="13">
        <v>5</v>
      </c>
      <c r="F26" s="14">
        <f t="shared" si="0"/>
        <v>8</v>
      </c>
      <c r="G26" s="15">
        <f t="shared" si="1"/>
        <v>0.85</v>
      </c>
      <c r="H26" s="19">
        <v>6.8</v>
      </c>
      <c r="I26" s="16">
        <f t="shared" si="2"/>
        <v>34</v>
      </c>
      <c r="J26" s="14"/>
    </row>
    <row r="27" s="4" customFormat="1" customHeight="1" spans="1:10">
      <c r="A27" s="12">
        <v>22</v>
      </c>
      <c r="B27" s="12" t="s">
        <v>35</v>
      </c>
      <c r="C27" s="12"/>
      <c r="D27" s="12" t="s">
        <v>36</v>
      </c>
      <c r="E27" s="13">
        <v>50</v>
      </c>
      <c r="F27" s="14">
        <f t="shared" si="0"/>
        <v>4.11764705882353</v>
      </c>
      <c r="G27" s="15">
        <f t="shared" si="1"/>
        <v>0.85</v>
      </c>
      <c r="H27" s="19">
        <v>3.5</v>
      </c>
      <c r="I27" s="16">
        <f t="shared" si="2"/>
        <v>175</v>
      </c>
      <c r="J27" s="14"/>
    </row>
    <row r="28" s="4" customFormat="1" customHeight="1" spans="1:16384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  <c r="XDA28" s="6"/>
      <c r="XDB28" s="6"/>
      <c r="XDC28" s="6"/>
      <c r="XDD28" s="6"/>
      <c r="XDE28" s="6"/>
      <c r="XDF28" s="6"/>
      <c r="XDG28" s="6"/>
      <c r="XDH28" s="6"/>
      <c r="XDI28" s="6"/>
      <c r="XDJ28" s="6"/>
      <c r="XDK28" s="6"/>
      <c r="XDL28" s="6"/>
      <c r="XDM28" s="6"/>
      <c r="XDN28" s="6"/>
      <c r="XDO28" s="6"/>
      <c r="XDP28" s="6"/>
      <c r="XDQ28" s="6"/>
      <c r="XDR28" s="6"/>
      <c r="XDS28" s="6"/>
      <c r="XDT28" s="6"/>
      <c r="XDU28" s="6"/>
      <c r="XDV28" s="6"/>
      <c r="XDW28" s="6"/>
      <c r="XDX28" s="6"/>
      <c r="XDY28" s="6"/>
      <c r="XDZ28" s="6"/>
      <c r="XEA28" s="6"/>
      <c r="XEB28" s="6"/>
      <c r="XEC28" s="6"/>
      <c r="XED28" s="6"/>
      <c r="XEE28" s="6"/>
      <c r="XEF28" s="6"/>
      <c r="XEG28" s="6"/>
      <c r="XEH28" s="6"/>
      <c r="XEI28" s="6"/>
      <c r="XEJ28" s="6"/>
      <c r="XEK28" s="6"/>
      <c r="XEL28" s="6"/>
      <c r="XEM28" s="6"/>
      <c r="XEN28" s="6"/>
      <c r="XEO28" s="6"/>
      <c r="XEP28" s="6"/>
      <c r="XEQ28" s="6"/>
      <c r="XER28" s="6"/>
      <c r="XES28" s="6"/>
      <c r="XET28" s="6"/>
      <c r="XEU28" s="6"/>
      <c r="XEV28" s="6"/>
      <c r="XEW28" s="6"/>
      <c r="XEX28" s="6"/>
      <c r="XEY28" s="6"/>
      <c r="XEZ28" s="6"/>
      <c r="XFA28" s="6"/>
      <c r="XFB28" s="6"/>
      <c r="XFC28" s="6"/>
      <c r="XFD28" s="6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7"/>
      <c r="C31" s="17"/>
      <c r="D31" s="18"/>
      <c r="E31" s="18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7"/>
      <c r="C32" s="17"/>
      <c r="D32" s="18"/>
      <c r="E32" s="18"/>
      <c r="F32" s="14"/>
      <c r="G32" s="15"/>
      <c r="H32" s="19"/>
      <c r="I32" s="16"/>
      <c r="J32" s="14"/>
    </row>
    <row r="33" s="4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4" customFormat="1" customHeight="1" spans="1:10">
      <c r="A34" s="12" t="s">
        <v>37</v>
      </c>
      <c r="B34" s="20">
        <f>SUM(I6:I33)</f>
        <v>2035.5</v>
      </c>
      <c r="C34" s="21"/>
      <c r="D34" s="21"/>
      <c r="E34" s="22"/>
      <c r="F34" s="21"/>
      <c r="G34" s="21"/>
      <c r="H34" s="21"/>
      <c r="I34" s="21"/>
      <c r="J34" s="25"/>
    </row>
    <row r="35" s="4" customFormat="1" customHeight="1" spans="1:10">
      <c r="A35" s="12" t="s">
        <v>38</v>
      </c>
      <c r="B35" s="23">
        <f>B34</f>
        <v>2035.5</v>
      </c>
      <c r="C35" s="24"/>
      <c r="D35" s="24"/>
      <c r="E35" s="22"/>
      <c r="F35" s="24"/>
      <c r="G35" s="24"/>
      <c r="H35" s="24"/>
      <c r="I35" s="24"/>
      <c r="J35" s="26"/>
    </row>
    <row r="36" s="4" customFormat="1" customHeight="1" spans="1:5">
      <c r="A36" s="4" t="s">
        <v>39</v>
      </c>
      <c r="E36" s="5"/>
    </row>
  </sheetData>
  <sortState ref="A23:I33">
    <sortCondition ref="A23"/>
  </sortState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22" workbookViewId="0">
      <selection activeCell="I22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1" width="11.6666666666667" style="4" customWidth="1"/>
    <col min="16322" max="16322" width="11.6666666666667" style="4"/>
    <col min="16323" max="16328" width="11" style="4"/>
    <col min="1632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45251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4</v>
      </c>
      <c r="F6" s="14">
        <f t="shared" ref="F6:F29" si="0">H6/0.85</f>
        <v>3.52941176470588</v>
      </c>
      <c r="G6" s="15">
        <f t="shared" ref="G6:G29" si="1">H6/F6</f>
        <v>0.85</v>
      </c>
      <c r="H6" s="16">
        <v>3</v>
      </c>
      <c r="I6" s="16">
        <f t="shared" ref="I6:I29" si="2">E6*H6</f>
        <v>12</v>
      </c>
      <c r="J6" s="12"/>
    </row>
    <row r="7" s="4" customFormat="1" ht="16" customHeight="1" spans="1:10">
      <c r="A7" s="12">
        <v>2</v>
      </c>
      <c r="B7" s="12" t="s">
        <v>16</v>
      </c>
      <c r="C7" s="12"/>
      <c r="D7" s="13" t="s">
        <v>15</v>
      </c>
      <c r="E7" s="13">
        <v>5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17.5</v>
      </c>
      <c r="J7" s="12"/>
    </row>
    <row r="8" s="4" customFormat="1" ht="16" customHeight="1" spans="1:10">
      <c r="A8" s="12">
        <v>3</v>
      </c>
      <c r="B8" s="12" t="s">
        <v>17</v>
      </c>
      <c r="C8" s="12"/>
      <c r="D8" s="13" t="s">
        <v>15</v>
      </c>
      <c r="E8" s="13">
        <v>4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14</v>
      </c>
      <c r="J8" s="12"/>
    </row>
    <row r="9" s="4" customFormat="1" ht="16" customHeight="1" spans="1:10">
      <c r="A9" s="12">
        <v>4</v>
      </c>
      <c r="B9" s="17" t="s">
        <v>41</v>
      </c>
      <c r="C9" s="17"/>
      <c r="D9" s="13" t="s">
        <v>15</v>
      </c>
      <c r="E9" s="13">
        <v>1</v>
      </c>
      <c r="F9" s="14">
        <f t="shared" si="0"/>
        <v>8</v>
      </c>
      <c r="G9" s="15">
        <f t="shared" si="1"/>
        <v>0.85</v>
      </c>
      <c r="H9" s="16">
        <v>6.8</v>
      </c>
      <c r="I9" s="16">
        <f t="shared" si="2"/>
        <v>6.8</v>
      </c>
      <c r="J9" s="12"/>
    </row>
    <row r="10" s="4" customFormat="1" ht="16" customHeight="1" spans="1:10">
      <c r="A10" s="12">
        <v>5</v>
      </c>
      <c r="B10" s="12" t="s">
        <v>42</v>
      </c>
      <c r="C10" s="12"/>
      <c r="D10" s="13" t="s">
        <v>15</v>
      </c>
      <c r="E10" s="13">
        <v>7</v>
      </c>
      <c r="F10" s="14">
        <f t="shared" si="0"/>
        <v>21.1764705882353</v>
      </c>
      <c r="G10" s="15">
        <f t="shared" si="1"/>
        <v>0.85</v>
      </c>
      <c r="H10" s="16">
        <v>18</v>
      </c>
      <c r="I10" s="16">
        <f t="shared" si="2"/>
        <v>126</v>
      </c>
      <c r="J10" s="12"/>
    </row>
    <row r="11" s="4" customFormat="1" ht="16" customHeight="1" spans="1:10">
      <c r="A11" s="12">
        <v>6</v>
      </c>
      <c r="B11" s="12" t="s">
        <v>81</v>
      </c>
      <c r="C11" s="12"/>
      <c r="D11" s="13" t="s">
        <v>15</v>
      </c>
      <c r="E11" s="13">
        <v>10</v>
      </c>
      <c r="F11" s="14">
        <f t="shared" si="0"/>
        <v>4.11764705882353</v>
      </c>
      <c r="G11" s="15">
        <f t="shared" si="1"/>
        <v>0.85</v>
      </c>
      <c r="H11" s="16">
        <v>3.5</v>
      </c>
      <c r="I11" s="16">
        <f t="shared" si="2"/>
        <v>35</v>
      </c>
      <c r="J11" s="12"/>
    </row>
    <row r="12" s="4" customFormat="1" ht="16" customHeight="1" spans="1:10">
      <c r="A12" s="12">
        <v>7</v>
      </c>
      <c r="B12" s="17" t="s">
        <v>102</v>
      </c>
      <c r="C12" s="17"/>
      <c r="D12" s="18" t="s">
        <v>15</v>
      </c>
      <c r="E12" s="18">
        <v>15</v>
      </c>
      <c r="F12" s="14">
        <f t="shared" si="0"/>
        <v>4.47058823529412</v>
      </c>
      <c r="G12" s="15">
        <f t="shared" si="1"/>
        <v>0.85</v>
      </c>
      <c r="H12" s="19">
        <v>3.8</v>
      </c>
      <c r="I12" s="16">
        <f t="shared" si="2"/>
        <v>57</v>
      </c>
      <c r="J12" s="17"/>
    </row>
    <row r="13" s="4" customFormat="1" ht="16" customHeight="1" spans="1:10">
      <c r="A13" s="12">
        <v>8</v>
      </c>
      <c r="B13" s="17" t="s">
        <v>63</v>
      </c>
      <c r="C13" s="17"/>
      <c r="D13" s="18" t="s">
        <v>15</v>
      </c>
      <c r="E13" s="18">
        <v>2</v>
      </c>
      <c r="F13" s="14">
        <f t="shared" si="0"/>
        <v>8.82352941176471</v>
      </c>
      <c r="G13" s="15">
        <f t="shared" si="1"/>
        <v>0.85</v>
      </c>
      <c r="H13" s="19">
        <v>7.5</v>
      </c>
      <c r="I13" s="16">
        <f t="shared" si="2"/>
        <v>15</v>
      </c>
      <c r="J13" s="17"/>
    </row>
    <row r="14" s="4" customFormat="1" ht="16" customHeight="1" spans="1:10">
      <c r="A14" s="12">
        <v>9</v>
      </c>
      <c r="B14" s="17" t="s">
        <v>158</v>
      </c>
      <c r="C14" s="17"/>
      <c r="D14" s="18" t="s">
        <v>15</v>
      </c>
      <c r="E14" s="18">
        <v>12</v>
      </c>
      <c r="F14" s="14">
        <f t="shared" si="0"/>
        <v>11.5294117647059</v>
      </c>
      <c r="G14" s="15">
        <f t="shared" si="1"/>
        <v>0.85</v>
      </c>
      <c r="H14" s="19">
        <v>9.8</v>
      </c>
      <c r="I14" s="16">
        <f t="shared" si="2"/>
        <v>117.6</v>
      </c>
      <c r="J14" s="17"/>
    </row>
    <row r="15" s="4" customFormat="1" ht="16" customHeight="1" spans="1:10">
      <c r="A15" s="12">
        <v>10</v>
      </c>
      <c r="B15" s="17" t="s">
        <v>64</v>
      </c>
      <c r="C15" s="17"/>
      <c r="D15" s="18" t="s">
        <v>15</v>
      </c>
      <c r="E15" s="18">
        <v>2</v>
      </c>
      <c r="F15" s="14">
        <f t="shared" si="0"/>
        <v>4.70588235294118</v>
      </c>
      <c r="G15" s="15">
        <f t="shared" si="1"/>
        <v>0.85</v>
      </c>
      <c r="H15" s="19">
        <v>4</v>
      </c>
      <c r="I15" s="16">
        <f t="shared" si="2"/>
        <v>8</v>
      </c>
      <c r="J15" s="17"/>
    </row>
    <row r="16" s="4" customFormat="1" ht="16" customHeight="1" spans="1:10">
      <c r="A16" s="12">
        <v>11</v>
      </c>
      <c r="B16" s="17" t="s">
        <v>25</v>
      </c>
      <c r="C16" s="17"/>
      <c r="D16" s="18" t="s">
        <v>15</v>
      </c>
      <c r="E16" s="18">
        <v>4</v>
      </c>
      <c r="F16" s="14">
        <f t="shared" si="0"/>
        <v>9.17647058823529</v>
      </c>
      <c r="G16" s="15">
        <f t="shared" si="1"/>
        <v>0.85</v>
      </c>
      <c r="H16" s="19">
        <v>7.8</v>
      </c>
      <c r="I16" s="16">
        <f t="shared" si="2"/>
        <v>31.2</v>
      </c>
      <c r="J16" s="17"/>
    </row>
    <row r="17" s="4" customFormat="1" ht="16" customHeight="1" spans="1:10">
      <c r="A17" s="12">
        <v>12</v>
      </c>
      <c r="B17" s="17" t="s">
        <v>159</v>
      </c>
      <c r="C17" s="17"/>
      <c r="D17" s="18" t="s">
        <v>15</v>
      </c>
      <c r="E17" s="18">
        <v>13</v>
      </c>
      <c r="F17" s="14">
        <f t="shared" si="0"/>
        <v>5.64705882352941</v>
      </c>
      <c r="G17" s="15">
        <f t="shared" si="1"/>
        <v>0.85</v>
      </c>
      <c r="H17" s="19">
        <v>4.8</v>
      </c>
      <c r="I17" s="16">
        <f t="shared" si="2"/>
        <v>62.4</v>
      </c>
      <c r="J17" s="17"/>
    </row>
    <row r="18" s="4" customFormat="1" ht="16" customHeight="1" spans="1:10">
      <c r="A18" s="12">
        <v>13</v>
      </c>
      <c r="B18" s="12" t="s">
        <v>160</v>
      </c>
      <c r="C18" s="12"/>
      <c r="D18" s="13" t="s">
        <v>15</v>
      </c>
      <c r="E18" s="13">
        <v>1</v>
      </c>
      <c r="F18" s="14">
        <f t="shared" si="0"/>
        <v>9.41176470588235</v>
      </c>
      <c r="G18" s="15">
        <f t="shared" si="1"/>
        <v>0.85</v>
      </c>
      <c r="H18" s="19">
        <v>8</v>
      </c>
      <c r="I18" s="16">
        <f t="shared" si="2"/>
        <v>8</v>
      </c>
      <c r="J18" s="12"/>
    </row>
    <row r="19" s="4" customFormat="1" ht="16" customHeight="1" spans="1:10">
      <c r="A19" s="12">
        <v>14</v>
      </c>
      <c r="B19" s="17" t="s">
        <v>161</v>
      </c>
      <c r="C19" s="17"/>
      <c r="D19" s="17" t="s">
        <v>15</v>
      </c>
      <c r="E19" s="18">
        <v>19.6</v>
      </c>
      <c r="F19" s="14">
        <f t="shared" si="0"/>
        <v>5.29411764705882</v>
      </c>
      <c r="G19" s="15">
        <f t="shared" si="1"/>
        <v>0.85</v>
      </c>
      <c r="H19" s="19">
        <v>4.5</v>
      </c>
      <c r="I19" s="16">
        <f t="shared" si="2"/>
        <v>88.2</v>
      </c>
      <c r="J19" s="17"/>
    </row>
    <row r="20" s="4" customFormat="1" ht="16" customHeight="1" spans="1:10">
      <c r="A20" s="12">
        <v>15</v>
      </c>
      <c r="B20" s="12" t="s">
        <v>47</v>
      </c>
      <c r="C20" s="12"/>
      <c r="D20" s="12" t="s">
        <v>15</v>
      </c>
      <c r="E20" s="13">
        <v>16.5</v>
      </c>
      <c r="F20" s="14">
        <f t="shared" ref="F20:F26" si="3">H20/0.85</f>
        <v>17.4117647058824</v>
      </c>
      <c r="G20" s="15">
        <f t="shared" ref="G20:G26" si="4">H20/F20</f>
        <v>0.85</v>
      </c>
      <c r="H20" s="19">
        <v>14.8</v>
      </c>
      <c r="I20" s="16">
        <f t="shared" ref="I20:I26" si="5">E20*H20</f>
        <v>244.2</v>
      </c>
      <c r="J20" s="12"/>
    </row>
    <row r="21" s="4" customFormat="1" ht="16" customHeight="1" spans="1:10">
      <c r="A21" s="12">
        <v>16</v>
      </c>
      <c r="B21" s="12" t="s">
        <v>118</v>
      </c>
      <c r="C21" s="12"/>
      <c r="D21" s="12" t="s">
        <v>15</v>
      </c>
      <c r="E21" s="13">
        <v>13.5</v>
      </c>
      <c r="F21" s="14">
        <f t="shared" si="3"/>
        <v>16.2352941176471</v>
      </c>
      <c r="G21" s="15">
        <f t="shared" si="4"/>
        <v>0.85</v>
      </c>
      <c r="H21" s="19">
        <v>13.8</v>
      </c>
      <c r="I21" s="16">
        <f t="shared" si="5"/>
        <v>186.3</v>
      </c>
      <c r="J21" s="12"/>
    </row>
    <row r="22" s="4" customFormat="1" ht="16" customHeight="1" spans="1:10">
      <c r="A22" s="12">
        <v>17</v>
      </c>
      <c r="B22" s="12" t="s">
        <v>162</v>
      </c>
      <c r="C22" s="12" t="s">
        <v>59</v>
      </c>
      <c r="D22" s="12" t="s">
        <v>15</v>
      </c>
      <c r="E22" s="13">
        <v>5</v>
      </c>
      <c r="F22" s="14">
        <f t="shared" si="3"/>
        <v>18.8235294117647</v>
      </c>
      <c r="G22" s="15">
        <f t="shared" si="4"/>
        <v>0.85</v>
      </c>
      <c r="H22" s="19">
        <v>16</v>
      </c>
      <c r="I22" s="16">
        <f t="shared" si="5"/>
        <v>80</v>
      </c>
      <c r="J22" s="12"/>
    </row>
    <row r="23" s="4" customFormat="1" ht="16" customHeight="1" spans="1:10">
      <c r="A23" s="12">
        <v>18</v>
      </c>
      <c r="B23" s="12" t="s">
        <v>163</v>
      </c>
      <c r="C23" s="12" t="s">
        <v>59</v>
      </c>
      <c r="D23" s="12" t="s">
        <v>15</v>
      </c>
      <c r="E23" s="13">
        <v>5</v>
      </c>
      <c r="F23" s="14">
        <f t="shared" si="3"/>
        <v>30.5882352941176</v>
      </c>
      <c r="G23" s="15">
        <f t="shared" si="4"/>
        <v>0.85</v>
      </c>
      <c r="H23" s="19">
        <v>26</v>
      </c>
      <c r="I23" s="16">
        <f t="shared" si="5"/>
        <v>130</v>
      </c>
      <c r="J23" s="12"/>
    </row>
    <row r="24" s="4" customFormat="1" customHeight="1" spans="1:10">
      <c r="A24" s="12">
        <v>19</v>
      </c>
      <c r="B24" s="14" t="s">
        <v>164</v>
      </c>
      <c r="C24" s="14"/>
      <c r="D24" s="14" t="s">
        <v>15</v>
      </c>
      <c r="E24" s="13">
        <v>4</v>
      </c>
      <c r="F24" s="14">
        <f t="shared" si="3"/>
        <v>8.82352941176471</v>
      </c>
      <c r="G24" s="15">
        <f t="shared" si="4"/>
        <v>0.85</v>
      </c>
      <c r="H24" s="19">
        <v>7.5</v>
      </c>
      <c r="I24" s="16">
        <f t="shared" si="5"/>
        <v>30</v>
      </c>
      <c r="J24" s="14"/>
    </row>
    <row r="25" s="4" customFormat="1" customHeight="1" spans="1:10">
      <c r="A25" s="12">
        <v>20</v>
      </c>
      <c r="B25" s="14" t="s">
        <v>165</v>
      </c>
      <c r="C25" s="14" t="s">
        <v>166</v>
      </c>
      <c r="D25" s="14" t="s">
        <v>32</v>
      </c>
      <c r="E25" s="13">
        <v>3</v>
      </c>
      <c r="F25" s="14">
        <v>141.176470588235</v>
      </c>
      <c r="G25" s="15">
        <v>0.85</v>
      </c>
      <c r="H25" s="19">
        <v>120</v>
      </c>
      <c r="I25" s="16">
        <f t="shared" si="5"/>
        <v>360</v>
      </c>
      <c r="J25" s="14"/>
    </row>
    <row r="26" s="4" customFormat="1" customHeight="1" spans="1:10">
      <c r="A26" s="12">
        <v>21</v>
      </c>
      <c r="B26" s="14" t="s">
        <v>80</v>
      </c>
      <c r="C26" s="14"/>
      <c r="D26" s="14" t="s">
        <v>15</v>
      </c>
      <c r="E26" s="13">
        <v>5</v>
      </c>
      <c r="F26" s="14">
        <f t="shared" si="3"/>
        <v>103.529411764706</v>
      </c>
      <c r="G26" s="15">
        <f t="shared" si="4"/>
        <v>0.85</v>
      </c>
      <c r="H26" s="19">
        <v>88</v>
      </c>
      <c r="I26" s="16">
        <f t="shared" si="5"/>
        <v>440</v>
      </c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>
        <v>28</v>
      </c>
      <c r="B33" s="14"/>
      <c r="C33" s="14"/>
      <c r="D33" s="14"/>
      <c r="E33" s="13"/>
      <c r="F33" s="14"/>
      <c r="G33" s="14"/>
      <c r="H33" s="14"/>
      <c r="I33" s="14"/>
      <c r="J33" s="14"/>
    </row>
    <row r="34" s="4" customFormat="1" customHeight="1" spans="1:10">
      <c r="A34" s="12" t="s">
        <v>37</v>
      </c>
      <c r="B34" s="20">
        <f>SUM(I6:I33)</f>
        <v>2069.2</v>
      </c>
      <c r="C34" s="21"/>
      <c r="D34" s="21"/>
      <c r="E34" s="22"/>
      <c r="F34" s="21"/>
      <c r="G34" s="21"/>
      <c r="H34" s="21"/>
      <c r="I34" s="21"/>
      <c r="J34" s="25"/>
    </row>
    <row r="35" s="4" customFormat="1" customHeight="1" spans="1:10">
      <c r="A35" s="12" t="s">
        <v>38</v>
      </c>
      <c r="B35" s="23">
        <f>B34</f>
        <v>2069.2</v>
      </c>
      <c r="C35" s="24"/>
      <c r="D35" s="24"/>
      <c r="E35" s="22"/>
      <c r="F35" s="24"/>
      <c r="G35" s="24"/>
      <c r="H35" s="24"/>
      <c r="I35" s="24"/>
      <c r="J35" s="26"/>
    </row>
    <row r="36" s="4" customFormat="1" customHeight="1" spans="1:5">
      <c r="A36" s="4" t="s">
        <v>39</v>
      </c>
      <c r="E36" s="5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8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4" workbookViewId="0">
      <selection activeCell="I14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297" width="11.6666666666667" style="4" customWidth="1"/>
    <col min="16298" max="16298" width="11.6666666666667" style="4"/>
    <col min="16299" max="16304" width="11" style="4"/>
    <col min="16305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45252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2</v>
      </c>
      <c r="F6" s="14">
        <f t="shared" ref="F6:F28" si="0">H6/0.85</f>
        <v>3.52941176470588</v>
      </c>
      <c r="G6" s="15">
        <f t="shared" ref="G6:G28" si="1">H6/F6</f>
        <v>0.85</v>
      </c>
      <c r="H6" s="16">
        <v>3</v>
      </c>
      <c r="I6" s="16">
        <f t="shared" ref="I6:I28" si="2">E6*H6</f>
        <v>6</v>
      </c>
      <c r="J6" s="12"/>
    </row>
    <row r="7" s="4" customFormat="1" ht="16" customHeight="1" spans="1:10">
      <c r="A7" s="12">
        <v>2</v>
      </c>
      <c r="B7" s="12" t="s">
        <v>58</v>
      </c>
      <c r="C7" s="12" t="s">
        <v>59</v>
      </c>
      <c r="D7" s="13" t="s">
        <v>15</v>
      </c>
      <c r="E7" s="13">
        <v>6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21</v>
      </c>
      <c r="J7" s="12"/>
    </row>
    <row r="8" s="4" customFormat="1" ht="16" customHeight="1" spans="1:10">
      <c r="A8" s="12">
        <v>3</v>
      </c>
      <c r="B8" s="12" t="s">
        <v>60</v>
      </c>
      <c r="C8" s="12"/>
      <c r="D8" s="13" t="s">
        <v>15</v>
      </c>
      <c r="E8" s="13">
        <v>1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3.5</v>
      </c>
      <c r="J8" s="12"/>
    </row>
    <row r="9" s="4" customFormat="1" ht="16" customHeight="1" spans="1:10">
      <c r="A9" s="12">
        <v>4</v>
      </c>
      <c r="B9" s="17" t="s">
        <v>17</v>
      </c>
      <c r="C9" s="17"/>
      <c r="D9" s="13" t="s">
        <v>15</v>
      </c>
      <c r="E9" s="13">
        <v>5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17.5</v>
      </c>
      <c r="J9" s="12"/>
    </row>
    <row r="10" s="4" customFormat="1" ht="16" customHeight="1" spans="1:10">
      <c r="A10" s="12">
        <v>5</v>
      </c>
      <c r="B10" s="12" t="s">
        <v>167</v>
      </c>
      <c r="C10" s="12"/>
      <c r="D10" s="13" t="s">
        <v>15</v>
      </c>
      <c r="E10" s="13">
        <v>7</v>
      </c>
      <c r="F10" s="14">
        <f t="shared" si="0"/>
        <v>2.94117647058824</v>
      </c>
      <c r="G10" s="15">
        <f t="shared" si="1"/>
        <v>0.85</v>
      </c>
      <c r="H10" s="16">
        <v>2.5</v>
      </c>
      <c r="I10" s="16">
        <f t="shared" si="2"/>
        <v>17.5</v>
      </c>
      <c r="J10" s="12"/>
    </row>
    <row r="11" s="4" customFormat="1" ht="16" customHeight="1" spans="1:10">
      <c r="A11" s="12">
        <v>6</v>
      </c>
      <c r="B11" s="12" t="s">
        <v>168</v>
      </c>
      <c r="C11" s="12"/>
      <c r="D11" s="13" t="s">
        <v>15</v>
      </c>
      <c r="E11" s="13">
        <v>13</v>
      </c>
      <c r="F11" s="14">
        <f t="shared" si="0"/>
        <v>6.82352941176471</v>
      </c>
      <c r="G11" s="15">
        <f t="shared" si="1"/>
        <v>0.85</v>
      </c>
      <c r="H11" s="16">
        <v>5.8</v>
      </c>
      <c r="I11" s="16">
        <f t="shared" si="2"/>
        <v>75.4</v>
      </c>
      <c r="J11" s="12"/>
    </row>
    <row r="12" s="4" customFormat="1" ht="16" customHeight="1" spans="1:10">
      <c r="A12" s="12">
        <v>7</v>
      </c>
      <c r="B12" s="17" t="s">
        <v>72</v>
      </c>
      <c r="C12" s="17"/>
      <c r="D12" s="18" t="s">
        <v>15</v>
      </c>
      <c r="E12" s="18">
        <v>4</v>
      </c>
      <c r="F12" s="14">
        <f t="shared" si="0"/>
        <v>9.17647058823529</v>
      </c>
      <c r="G12" s="15">
        <f t="shared" si="1"/>
        <v>0.85</v>
      </c>
      <c r="H12" s="16">
        <v>7.8</v>
      </c>
      <c r="I12" s="16">
        <f t="shared" si="2"/>
        <v>31.2</v>
      </c>
      <c r="J12" s="17"/>
    </row>
    <row r="13" s="4" customFormat="1" ht="16" customHeight="1" spans="1:10">
      <c r="A13" s="12">
        <v>8</v>
      </c>
      <c r="B13" s="17" t="s">
        <v>102</v>
      </c>
      <c r="C13" s="17"/>
      <c r="D13" s="18" t="s">
        <v>15</v>
      </c>
      <c r="E13" s="18">
        <v>8</v>
      </c>
      <c r="F13" s="14">
        <f t="shared" si="0"/>
        <v>4.47058823529412</v>
      </c>
      <c r="G13" s="15">
        <f t="shared" si="1"/>
        <v>0.85</v>
      </c>
      <c r="H13" s="16">
        <v>3.8</v>
      </c>
      <c r="I13" s="16">
        <f t="shared" si="2"/>
        <v>30.4</v>
      </c>
      <c r="J13" s="17"/>
    </row>
    <row r="14" s="4" customFormat="1" ht="16" customHeight="1" spans="1:10">
      <c r="A14" s="12">
        <v>9</v>
      </c>
      <c r="B14" s="17" t="s">
        <v>63</v>
      </c>
      <c r="C14" s="17"/>
      <c r="D14" s="18" t="s">
        <v>15</v>
      </c>
      <c r="E14" s="18">
        <v>2</v>
      </c>
      <c r="F14" s="14">
        <f t="shared" si="0"/>
        <v>8.82352941176471</v>
      </c>
      <c r="G14" s="15">
        <f t="shared" si="1"/>
        <v>0.85</v>
      </c>
      <c r="H14" s="16">
        <v>7.5</v>
      </c>
      <c r="I14" s="16">
        <f t="shared" si="2"/>
        <v>15</v>
      </c>
      <c r="J14" s="17"/>
    </row>
    <row r="15" s="4" customFormat="1" ht="16" customHeight="1" spans="1:10">
      <c r="A15" s="12">
        <v>10</v>
      </c>
      <c r="B15" s="17" t="s">
        <v>158</v>
      </c>
      <c r="C15" s="17"/>
      <c r="D15" s="18" t="s">
        <v>15</v>
      </c>
      <c r="E15" s="18">
        <v>2</v>
      </c>
      <c r="F15" s="14">
        <f t="shared" si="0"/>
        <v>11.5294117647059</v>
      </c>
      <c r="G15" s="15">
        <f t="shared" si="1"/>
        <v>0.85</v>
      </c>
      <c r="H15" s="16">
        <v>9.8</v>
      </c>
      <c r="I15" s="16">
        <f t="shared" si="2"/>
        <v>19.6</v>
      </c>
      <c r="J15" s="17"/>
    </row>
    <row r="16" s="4" customFormat="1" ht="16" customHeight="1" spans="1:10">
      <c r="A16" s="12">
        <v>11</v>
      </c>
      <c r="B16" s="17" t="s">
        <v>22</v>
      </c>
      <c r="C16" s="17"/>
      <c r="D16" s="18" t="s">
        <v>23</v>
      </c>
      <c r="E16" s="18">
        <v>8</v>
      </c>
      <c r="F16" s="14">
        <f t="shared" si="0"/>
        <v>3.52941176470588</v>
      </c>
      <c r="G16" s="15">
        <f t="shared" si="1"/>
        <v>0.85</v>
      </c>
      <c r="H16" s="16">
        <v>3</v>
      </c>
      <c r="I16" s="16">
        <f t="shared" si="2"/>
        <v>24</v>
      </c>
      <c r="J16" s="17"/>
    </row>
    <row r="17" s="4" customFormat="1" ht="16" customHeight="1" spans="1:10">
      <c r="A17" s="12">
        <v>12</v>
      </c>
      <c r="B17" s="17" t="s">
        <v>83</v>
      </c>
      <c r="C17" s="17" t="s">
        <v>84</v>
      </c>
      <c r="D17" s="18" t="s">
        <v>15</v>
      </c>
      <c r="E17" s="18">
        <v>18</v>
      </c>
      <c r="F17" s="14">
        <f t="shared" si="0"/>
        <v>10.3529411764706</v>
      </c>
      <c r="G17" s="15">
        <f t="shared" si="1"/>
        <v>0.85</v>
      </c>
      <c r="H17" s="16">
        <v>8.8</v>
      </c>
      <c r="I17" s="16">
        <f t="shared" si="2"/>
        <v>158.4</v>
      </c>
      <c r="J17" s="17"/>
    </row>
    <row r="18" s="4" customFormat="1" ht="16" customHeight="1" spans="1:10">
      <c r="A18" s="12">
        <v>13</v>
      </c>
      <c r="B18" s="12" t="s">
        <v>45</v>
      </c>
      <c r="C18" s="12"/>
      <c r="D18" s="12" t="s">
        <v>15</v>
      </c>
      <c r="E18" s="13">
        <v>13</v>
      </c>
      <c r="F18" s="14">
        <f t="shared" si="0"/>
        <v>5.29411764705882</v>
      </c>
      <c r="G18" s="15">
        <f t="shared" si="1"/>
        <v>0.85</v>
      </c>
      <c r="H18" s="16">
        <v>4.5</v>
      </c>
      <c r="I18" s="16">
        <f t="shared" si="2"/>
        <v>58.5</v>
      </c>
      <c r="J18" s="12"/>
    </row>
    <row r="19" s="4" customFormat="1" ht="16" customHeight="1" spans="1:10">
      <c r="A19" s="12">
        <v>14</v>
      </c>
      <c r="B19" s="12" t="s">
        <v>69</v>
      </c>
      <c r="C19" s="12"/>
      <c r="D19" s="12" t="s">
        <v>15</v>
      </c>
      <c r="E19" s="13">
        <v>6</v>
      </c>
      <c r="F19" s="14">
        <f t="shared" si="0"/>
        <v>23.5294117647059</v>
      </c>
      <c r="G19" s="15">
        <f t="shared" si="1"/>
        <v>0.85</v>
      </c>
      <c r="H19" s="16">
        <v>20</v>
      </c>
      <c r="I19" s="16">
        <f t="shared" si="2"/>
        <v>120</v>
      </c>
      <c r="J19" s="12"/>
    </row>
    <row r="20" s="4" customFormat="1" ht="16" customHeight="1" spans="1:10">
      <c r="A20" s="12">
        <v>15</v>
      </c>
      <c r="B20" s="12" t="s">
        <v>29</v>
      </c>
      <c r="C20" s="12"/>
      <c r="D20" s="12" t="s">
        <v>15</v>
      </c>
      <c r="E20" s="13">
        <v>8</v>
      </c>
      <c r="F20" s="14">
        <f t="shared" si="0"/>
        <v>32.9411764705882</v>
      </c>
      <c r="G20" s="15">
        <f t="shared" si="1"/>
        <v>0.85</v>
      </c>
      <c r="H20" s="16">
        <v>28</v>
      </c>
      <c r="I20" s="16">
        <f t="shared" si="2"/>
        <v>224</v>
      </c>
      <c r="J20" s="12"/>
    </row>
    <row r="21" s="4" customFormat="1" ht="16" customHeight="1" spans="1:10">
      <c r="A21" s="12">
        <v>16</v>
      </c>
      <c r="B21" s="14" t="s">
        <v>128</v>
      </c>
      <c r="C21" s="14"/>
      <c r="D21" s="14" t="s">
        <v>15</v>
      </c>
      <c r="E21" s="13">
        <v>5</v>
      </c>
      <c r="F21" s="14">
        <f t="shared" si="0"/>
        <v>32.9411764705882</v>
      </c>
      <c r="G21" s="15">
        <f t="shared" si="1"/>
        <v>0.85</v>
      </c>
      <c r="H21" s="16">
        <v>28</v>
      </c>
      <c r="I21" s="16">
        <f t="shared" si="2"/>
        <v>140</v>
      </c>
      <c r="J21" s="12"/>
    </row>
    <row r="22" s="4" customFormat="1" customHeight="1" spans="1:10">
      <c r="A22" s="12">
        <v>17</v>
      </c>
      <c r="B22" s="14" t="s">
        <v>169</v>
      </c>
      <c r="C22" s="14"/>
      <c r="D22" s="14" t="s">
        <v>170</v>
      </c>
      <c r="E22" s="13">
        <v>13</v>
      </c>
      <c r="F22" s="14">
        <f t="shared" si="0"/>
        <v>41.1764705882353</v>
      </c>
      <c r="G22" s="15">
        <f t="shared" si="1"/>
        <v>0.85</v>
      </c>
      <c r="H22" s="16">
        <v>35</v>
      </c>
      <c r="I22" s="16">
        <f t="shared" si="2"/>
        <v>455</v>
      </c>
      <c r="J22" s="14"/>
    </row>
    <row r="23" s="4" customFormat="1" customHeight="1" spans="1:10">
      <c r="A23" s="12">
        <v>18</v>
      </c>
      <c r="B23" s="14" t="s">
        <v>171</v>
      </c>
      <c r="C23" s="14" t="s">
        <v>172</v>
      </c>
      <c r="D23" s="14" t="s">
        <v>53</v>
      </c>
      <c r="E23" s="13">
        <v>2</v>
      </c>
      <c r="F23" s="14">
        <f t="shared" si="0"/>
        <v>23.5294117647059</v>
      </c>
      <c r="G23" s="15">
        <f t="shared" si="1"/>
        <v>0.85</v>
      </c>
      <c r="H23" s="16">
        <v>20</v>
      </c>
      <c r="I23" s="16">
        <f t="shared" si="2"/>
        <v>40</v>
      </c>
      <c r="J23" s="14"/>
    </row>
    <row r="24" s="4" customFormat="1" customHeight="1" spans="1:10">
      <c r="A24" s="12">
        <v>19</v>
      </c>
      <c r="B24" s="14" t="s">
        <v>173</v>
      </c>
      <c r="C24" s="14" t="s">
        <v>59</v>
      </c>
      <c r="D24" s="14" t="s">
        <v>15</v>
      </c>
      <c r="E24" s="13">
        <v>10</v>
      </c>
      <c r="F24" s="14">
        <f t="shared" si="0"/>
        <v>14.1176470588235</v>
      </c>
      <c r="G24" s="15">
        <f t="shared" si="1"/>
        <v>0.85</v>
      </c>
      <c r="H24" s="16">
        <v>12</v>
      </c>
      <c r="I24" s="16">
        <f t="shared" si="2"/>
        <v>120</v>
      </c>
      <c r="J24" s="14"/>
    </row>
    <row r="25" s="4" customFormat="1" customHeight="1" spans="1:10">
      <c r="A25" s="12">
        <v>20</v>
      </c>
      <c r="B25" s="14" t="s">
        <v>33</v>
      </c>
      <c r="C25" s="14" t="s">
        <v>34</v>
      </c>
      <c r="D25" s="14" t="s">
        <v>15</v>
      </c>
      <c r="E25" s="13">
        <v>4</v>
      </c>
      <c r="F25" s="14">
        <f t="shared" si="0"/>
        <v>5.76470588235294</v>
      </c>
      <c r="G25" s="15">
        <f t="shared" si="1"/>
        <v>0.85</v>
      </c>
      <c r="H25" s="16">
        <v>4.9</v>
      </c>
      <c r="I25" s="16">
        <f t="shared" si="2"/>
        <v>19.6</v>
      </c>
      <c r="J25" s="14"/>
    </row>
    <row r="26" s="4" customFormat="1" customHeight="1" spans="1:10">
      <c r="A26" s="12">
        <v>21</v>
      </c>
      <c r="B26" s="14" t="s">
        <v>35</v>
      </c>
      <c r="C26" s="14"/>
      <c r="D26" s="14" t="s">
        <v>36</v>
      </c>
      <c r="E26" s="13">
        <v>58</v>
      </c>
      <c r="F26" s="14">
        <f t="shared" si="0"/>
        <v>4.11764705882353</v>
      </c>
      <c r="G26" s="15">
        <f t="shared" si="1"/>
        <v>0.85</v>
      </c>
      <c r="H26" s="16">
        <v>3.5</v>
      </c>
      <c r="I26" s="16">
        <f t="shared" si="2"/>
        <v>203</v>
      </c>
      <c r="J26" s="14"/>
    </row>
    <row r="27" s="4" customFormat="1" customHeight="1" spans="1:10">
      <c r="A27" s="12">
        <v>22</v>
      </c>
      <c r="B27" s="14" t="s">
        <v>80</v>
      </c>
      <c r="C27" s="14"/>
      <c r="D27" s="14" t="s">
        <v>15</v>
      </c>
      <c r="E27" s="13">
        <v>3</v>
      </c>
      <c r="F27" s="14">
        <f t="shared" si="0"/>
        <v>103.529411764706</v>
      </c>
      <c r="G27" s="15">
        <f t="shared" si="1"/>
        <v>0.85</v>
      </c>
      <c r="H27" s="16">
        <v>88</v>
      </c>
      <c r="I27" s="16">
        <f t="shared" si="2"/>
        <v>264</v>
      </c>
      <c r="J27" s="14"/>
    </row>
    <row r="28" s="4" customFormat="1" customHeight="1" spans="1:10">
      <c r="A28" s="12">
        <v>23</v>
      </c>
      <c r="B28" s="12"/>
      <c r="C28" s="12"/>
      <c r="D28" s="17"/>
      <c r="E28" s="13"/>
      <c r="F28" s="14"/>
      <c r="G28" s="15"/>
      <c r="H28" s="16"/>
      <c r="I28" s="16"/>
      <c r="J28" s="14"/>
    </row>
    <row r="29" s="4" customFormat="1" customHeight="1" spans="1:10">
      <c r="A29" s="12">
        <v>24</v>
      </c>
      <c r="B29" s="12"/>
      <c r="C29" s="12"/>
      <c r="D29" s="17"/>
      <c r="E29" s="13"/>
      <c r="F29" s="14"/>
      <c r="G29" s="15"/>
      <c r="H29" s="16"/>
      <c r="I29" s="16"/>
      <c r="J29" s="14"/>
    </row>
    <row r="30" s="4" customFormat="1" customHeight="1" spans="1:10">
      <c r="A30" s="12">
        <v>25</v>
      </c>
      <c r="B30" s="12"/>
      <c r="C30" s="12"/>
      <c r="D30" s="17"/>
      <c r="E30" s="13"/>
      <c r="F30" s="14"/>
      <c r="G30" s="15"/>
      <c r="H30" s="16"/>
      <c r="I30" s="16"/>
      <c r="J30" s="14"/>
    </row>
    <row r="31" s="4" customFormat="1" customHeight="1" spans="1:10">
      <c r="A31" s="12">
        <v>26</v>
      </c>
      <c r="B31" s="12"/>
      <c r="C31" s="12"/>
      <c r="D31" s="17"/>
      <c r="E31" s="13"/>
      <c r="F31" s="14"/>
      <c r="G31" s="15"/>
      <c r="H31" s="16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 t="s">
        <v>37</v>
      </c>
      <c r="B33" s="20">
        <f>SUM(I6:I32)</f>
        <v>2063.6</v>
      </c>
      <c r="C33" s="21"/>
      <c r="D33" s="21"/>
      <c r="E33" s="22"/>
      <c r="F33" s="21"/>
      <c r="G33" s="21"/>
      <c r="H33" s="21"/>
      <c r="I33" s="21"/>
      <c r="J33" s="25"/>
    </row>
    <row r="34" s="4" customFormat="1" customHeight="1" spans="1:10">
      <c r="A34" s="12" t="s">
        <v>38</v>
      </c>
      <c r="B34" s="23">
        <f>B33</f>
        <v>2063.6</v>
      </c>
      <c r="C34" s="24"/>
      <c r="D34" s="24"/>
      <c r="E34" s="22"/>
      <c r="F34" s="24"/>
      <c r="G34" s="24"/>
      <c r="H34" s="24"/>
      <c r="I34" s="24"/>
      <c r="J34" s="26"/>
    </row>
    <row r="35" s="4" customFormat="1" customHeight="1" spans="1:5">
      <c r="A35" s="4" t="s">
        <v>39</v>
      </c>
      <c r="E35" s="5"/>
    </row>
  </sheetData>
  <sortState ref="A18:I29">
    <sortCondition ref="A18"/>
  </sortState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5" workbookViewId="0">
      <selection activeCell="I15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14" width="11.6666666666667" style="4" customWidth="1"/>
    <col min="16315" max="16315" width="11.6666666666667" style="4"/>
    <col min="16316" max="16321" width="11" style="4"/>
    <col min="16322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45253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30</v>
      </c>
      <c r="C6" s="12" t="s">
        <v>31</v>
      </c>
      <c r="D6" s="13" t="s">
        <v>32</v>
      </c>
      <c r="E6" s="13">
        <v>2</v>
      </c>
      <c r="F6" s="14">
        <f>H6/0.85</f>
        <v>411.764705882353</v>
      </c>
      <c r="G6" s="15">
        <f>H6/F6</f>
        <v>0.85</v>
      </c>
      <c r="H6" s="16">
        <v>350</v>
      </c>
      <c r="I6" s="16">
        <f>E6*H6</f>
        <v>700</v>
      </c>
      <c r="J6" s="12"/>
    </row>
    <row r="7" s="4" customFormat="1" ht="16" customHeight="1" spans="1:10">
      <c r="A7" s="12">
        <v>2</v>
      </c>
      <c r="B7" s="12" t="s">
        <v>14</v>
      </c>
      <c r="C7" s="12"/>
      <c r="D7" s="13" t="s">
        <v>15</v>
      </c>
      <c r="E7" s="13">
        <v>5</v>
      </c>
      <c r="F7" s="14">
        <f>H7/0.85</f>
        <v>3.52941176470588</v>
      </c>
      <c r="G7" s="15">
        <f>H7/F7</f>
        <v>0.85</v>
      </c>
      <c r="H7" s="16">
        <v>3</v>
      </c>
      <c r="I7" s="16">
        <f>E7*H7</f>
        <v>15</v>
      </c>
      <c r="J7" s="12"/>
    </row>
    <row r="8" s="4" customFormat="1" ht="16" customHeight="1" spans="1:10">
      <c r="A8" s="12">
        <v>3</v>
      </c>
      <c r="B8" s="12" t="s">
        <v>17</v>
      </c>
      <c r="C8" s="12"/>
      <c r="D8" s="13" t="s">
        <v>15</v>
      </c>
      <c r="E8" s="13">
        <v>3</v>
      </c>
      <c r="F8" s="14">
        <f>H8/0.85</f>
        <v>4.11764705882353</v>
      </c>
      <c r="G8" s="15">
        <f>H8/F8</f>
        <v>0.85</v>
      </c>
      <c r="H8" s="16">
        <v>3.5</v>
      </c>
      <c r="I8" s="16">
        <f>E8*H8</f>
        <v>10.5</v>
      </c>
      <c r="J8" s="12"/>
    </row>
    <row r="9" s="4" customFormat="1" ht="16" customHeight="1" spans="1:10">
      <c r="A9" s="12">
        <v>4</v>
      </c>
      <c r="B9" s="17" t="s">
        <v>102</v>
      </c>
      <c r="C9" s="17"/>
      <c r="D9" s="13" t="s">
        <v>15</v>
      </c>
      <c r="E9" s="13">
        <v>5</v>
      </c>
      <c r="F9" s="14">
        <f>H9/0.85</f>
        <v>4.47058823529412</v>
      </c>
      <c r="G9" s="15">
        <f>H9/F9</f>
        <v>0.85</v>
      </c>
      <c r="H9" s="16">
        <v>3.8</v>
      </c>
      <c r="I9" s="16">
        <f>E9*H9</f>
        <v>19</v>
      </c>
      <c r="J9" s="12"/>
    </row>
    <row r="10" s="4" customFormat="1" ht="16" customHeight="1" spans="1:10">
      <c r="A10" s="12">
        <v>5</v>
      </c>
      <c r="B10" s="12" t="s">
        <v>63</v>
      </c>
      <c r="C10" s="12"/>
      <c r="D10" s="13" t="s">
        <v>15</v>
      </c>
      <c r="E10" s="13">
        <v>3</v>
      </c>
      <c r="F10" s="14">
        <f>H10/0.85</f>
        <v>8.82352941176471</v>
      </c>
      <c r="G10" s="15">
        <f>H10/F10</f>
        <v>0.85</v>
      </c>
      <c r="H10" s="16">
        <v>7.5</v>
      </c>
      <c r="I10" s="16">
        <f>E10*H10</f>
        <v>22.5</v>
      </c>
      <c r="J10" s="12"/>
    </row>
    <row r="11" s="4" customFormat="1" ht="16" customHeight="1" spans="1:10">
      <c r="A11" s="12">
        <v>6</v>
      </c>
      <c r="B11" s="17" t="s">
        <v>90</v>
      </c>
      <c r="C11" s="17"/>
      <c r="D11" s="18" t="s">
        <v>15</v>
      </c>
      <c r="E11" s="18">
        <v>10</v>
      </c>
      <c r="F11" s="14">
        <f t="shared" ref="F11:F24" si="0">H11/0.85</f>
        <v>10.3529411764706</v>
      </c>
      <c r="G11" s="15">
        <f t="shared" ref="G11:G24" si="1">H11/F11</f>
        <v>0.85</v>
      </c>
      <c r="H11" s="19">
        <v>8.8</v>
      </c>
      <c r="I11" s="16">
        <f t="shared" ref="I11:I24" si="2">E11*H11</f>
        <v>88</v>
      </c>
      <c r="J11" s="17"/>
    </row>
    <row r="12" s="4" customFormat="1" ht="16" customHeight="1" spans="1:10">
      <c r="A12" s="12">
        <v>7</v>
      </c>
      <c r="B12" s="17" t="s">
        <v>64</v>
      </c>
      <c r="C12" s="17"/>
      <c r="D12" s="18" t="s">
        <v>15</v>
      </c>
      <c r="E12" s="18">
        <v>3</v>
      </c>
      <c r="F12" s="14">
        <f t="shared" si="0"/>
        <v>4.70588235294118</v>
      </c>
      <c r="G12" s="15">
        <f t="shared" si="1"/>
        <v>0.85</v>
      </c>
      <c r="H12" s="19">
        <v>4</v>
      </c>
      <c r="I12" s="16">
        <f t="shared" si="2"/>
        <v>12</v>
      </c>
      <c r="J12" s="17"/>
    </row>
    <row r="13" s="4" customFormat="1" ht="16" customHeight="1" spans="1:10">
      <c r="A13" s="12">
        <v>8</v>
      </c>
      <c r="B13" s="17" t="s">
        <v>74</v>
      </c>
      <c r="C13" s="17"/>
      <c r="D13" s="18" t="s">
        <v>15</v>
      </c>
      <c r="E13" s="18">
        <v>4</v>
      </c>
      <c r="F13" s="14">
        <f t="shared" si="0"/>
        <v>4.47058823529412</v>
      </c>
      <c r="G13" s="15">
        <f t="shared" si="1"/>
        <v>0.85</v>
      </c>
      <c r="H13" s="19">
        <v>3.8</v>
      </c>
      <c r="I13" s="16">
        <f t="shared" si="2"/>
        <v>15.2</v>
      </c>
      <c r="J13" s="17"/>
    </row>
    <row r="14" s="4" customFormat="1" ht="16" customHeight="1" spans="1:10">
      <c r="A14" s="12">
        <v>9</v>
      </c>
      <c r="B14" s="17" t="s">
        <v>25</v>
      </c>
      <c r="C14" s="17"/>
      <c r="D14" s="18" t="s">
        <v>15</v>
      </c>
      <c r="E14" s="18">
        <v>1</v>
      </c>
      <c r="F14" s="14">
        <f t="shared" si="0"/>
        <v>9.17647058823529</v>
      </c>
      <c r="G14" s="15">
        <f t="shared" si="1"/>
        <v>0.85</v>
      </c>
      <c r="H14" s="19">
        <v>7.8</v>
      </c>
      <c r="I14" s="16">
        <f t="shared" si="2"/>
        <v>7.8</v>
      </c>
      <c r="J14" s="17"/>
    </row>
    <row r="15" s="4" customFormat="1" ht="16" customHeight="1" spans="1:10">
      <c r="A15" s="12">
        <v>10</v>
      </c>
      <c r="B15" s="12" t="s">
        <v>91</v>
      </c>
      <c r="C15" s="12"/>
      <c r="D15" s="17" t="s">
        <v>15</v>
      </c>
      <c r="E15" s="13">
        <v>20.3</v>
      </c>
      <c r="F15" s="14">
        <f t="shared" si="0"/>
        <v>2.94117647058824</v>
      </c>
      <c r="G15" s="15">
        <f t="shared" si="1"/>
        <v>0.85</v>
      </c>
      <c r="H15" s="19">
        <v>2.5</v>
      </c>
      <c r="I15" s="16">
        <f t="shared" si="2"/>
        <v>50.75</v>
      </c>
      <c r="J15" s="12"/>
    </row>
    <row r="16" s="4" customFormat="1" ht="16" customHeight="1" spans="1:10">
      <c r="A16" s="12">
        <v>11</v>
      </c>
      <c r="B16" s="12" t="s">
        <v>116</v>
      </c>
      <c r="C16" s="12"/>
      <c r="D16" s="12" t="s">
        <v>15</v>
      </c>
      <c r="E16" s="13">
        <v>6</v>
      </c>
      <c r="F16" s="14">
        <f t="shared" si="0"/>
        <v>5.64705882352941</v>
      </c>
      <c r="G16" s="15">
        <f t="shared" si="1"/>
        <v>0.85</v>
      </c>
      <c r="H16" s="19">
        <v>4.8</v>
      </c>
      <c r="I16" s="16">
        <f t="shared" si="2"/>
        <v>28.8</v>
      </c>
      <c r="J16" s="12"/>
    </row>
    <row r="17" s="4" customFormat="1" ht="16" customHeight="1" spans="1:10">
      <c r="A17" s="12">
        <v>12</v>
      </c>
      <c r="B17" s="12" t="s">
        <v>174</v>
      </c>
      <c r="C17" s="12"/>
      <c r="D17" s="12" t="s">
        <v>15</v>
      </c>
      <c r="E17" s="13">
        <v>19.2</v>
      </c>
      <c r="F17" s="14">
        <f t="shared" si="0"/>
        <v>8</v>
      </c>
      <c r="G17" s="15">
        <f t="shared" si="1"/>
        <v>0.85</v>
      </c>
      <c r="H17" s="19">
        <v>6.8</v>
      </c>
      <c r="I17" s="16">
        <f t="shared" si="2"/>
        <v>130.56</v>
      </c>
      <c r="J17" s="12"/>
    </row>
    <row r="18" s="4" customFormat="1" customHeight="1" spans="1:10">
      <c r="A18" s="12">
        <v>13</v>
      </c>
      <c r="B18" s="14" t="s">
        <v>26</v>
      </c>
      <c r="C18" s="14"/>
      <c r="D18" s="14" t="s">
        <v>15</v>
      </c>
      <c r="E18" s="13">
        <v>1</v>
      </c>
      <c r="F18" s="14">
        <f t="shared" si="0"/>
        <v>16.2352941176471</v>
      </c>
      <c r="G18" s="15">
        <f t="shared" si="1"/>
        <v>0.85</v>
      </c>
      <c r="H18" s="19">
        <v>13.8</v>
      </c>
      <c r="I18" s="16">
        <f t="shared" si="2"/>
        <v>13.8</v>
      </c>
      <c r="J18" s="14"/>
    </row>
    <row r="19" s="4" customFormat="1" customHeight="1" spans="1:10">
      <c r="A19" s="12">
        <v>14</v>
      </c>
      <c r="B19" s="14" t="s">
        <v>28</v>
      </c>
      <c r="C19" s="14"/>
      <c r="D19" s="14" t="s">
        <v>15</v>
      </c>
      <c r="E19" s="13">
        <v>2</v>
      </c>
      <c r="F19" s="14">
        <f t="shared" si="0"/>
        <v>16.2352941176471</v>
      </c>
      <c r="G19" s="15">
        <f t="shared" si="1"/>
        <v>0.85</v>
      </c>
      <c r="H19" s="19">
        <v>13.8</v>
      </c>
      <c r="I19" s="16">
        <f t="shared" si="2"/>
        <v>27.6</v>
      </c>
      <c r="J19" s="14"/>
    </row>
    <row r="20" s="4" customFormat="1" customHeight="1" spans="1:10">
      <c r="A20" s="12">
        <v>15</v>
      </c>
      <c r="B20" s="14" t="s">
        <v>175</v>
      </c>
      <c r="C20" s="14" t="s">
        <v>176</v>
      </c>
      <c r="D20" s="14" t="s">
        <v>141</v>
      </c>
      <c r="E20" s="13">
        <v>3</v>
      </c>
      <c r="F20" s="14">
        <f t="shared" si="0"/>
        <v>16.2352941176471</v>
      </c>
      <c r="G20" s="15">
        <f t="shared" si="1"/>
        <v>0.85</v>
      </c>
      <c r="H20" s="19">
        <v>13.8</v>
      </c>
      <c r="I20" s="16">
        <f t="shared" si="2"/>
        <v>41.4</v>
      </c>
      <c r="J20" s="14"/>
    </row>
    <row r="21" s="4" customFormat="1" customHeight="1" spans="1:10">
      <c r="A21" s="12">
        <v>16</v>
      </c>
      <c r="B21" s="14" t="s">
        <v>177</v>
      </c>
      <c r="C21" s="14" t="s">
        <v>178</v>
      </c>
      <c r="D21" s="14" t="s">
        <v>51</v>
      </c>
      <c r="E21" s="13">
        <v>2</v>
      </c>
      <c r="F21" s="14">
        <f t="shared" si="0"/>
        <v>19.4117647058824</v>
      </c>
      <c r="G21" s="15">
        <f t="shared" si="1"/>
        <v>0.85</v>
      </c>
      <c r="H21" s="19">
        <v>16.5</v>
      </c>
      <c r="I21" s="16">
        <f t="shared" si="2"/>
        <v>33</v>
      </c>
      <c r="J21" s="14"/>
    </row>
    <row r="22" s="4" customFormat="1" customHeight="1" spans="1:10">
      <c r="A22" s="12">
        <v>17</v>
      </c>
      <c r="B22" s="14" t="s">
        <v>113</v>
      </c>
      <c r="C22" s="14"/>
      <c r="D22" s="14" t="s">
        <v>15</v>
      </c>
      <c r="E22" s="13">
        <v>8</v>
      </c>
      <c r="F22" s="14">
        <f t="shared" si="0"/>
        <v>103.529411764706</v>
      </c>
      <c r="G22" s="15">
        <f t="shared" si="1"/>
        <v>0.85</v>
      </c>
      <c r="H22" s="19">
        <v>88</v>
      </c>
      <c r="I22" s="16">
        <f t="shared" si="2"/>
        <v>704</v>
      </c>
      <c r="J22" s="14"/>
    </row>
    <row r="23" s="4" customFormat="1" customHeight="1" spans="1:10">
      <c r="A23" s="12">
        <v>18</v>
      </c>
      <c r="B23" s="14" t="s">
        <v>179</v>
      </c>
      <c r="C23" s="14"/>
      <c r="D23" s="14" t="s">
        <v>15</v>
      </c>
      <c r="E23" s="13">
        <v>7</v>
      </c>
      <c r="F23" s="14">
        <f t="shared" si="0"/>
        <v>64.7058823529412</v>
      </c>
      <c r="G23" s="15">
        <f t="shared" si="1"/>
        <v>0.85</v>
      </c>
      <c r="H23" s="19">
        <v>55</v>
      </c>
      <c r="I23" s="16">
        <f t="shared" si="2"/>
        <v>385</v>
      </c>
      <c r="J23" s="14"/>
    </row>
    <row r="24" s="4" customFormat="1" customHeight="1" spans="1:10">
      <c r="A24" s="12">
        <v>19</v>
      </c>
      <c r="B24" s="14"/>
      <c r="C24" s="14"/>
      <c r="D24" s="14"/>
      <c r="E24" s="13"/>
      <c r="F24" s="14"/>
      <c r="G24" s="15"/>
      <c r="H24" s="19"/>
      <c r="I24" s="16"/>
      <c r="J24" s="14"/>
    </row>
    <row r="25" s="4" customFormat="1" customHeight="1" spans="1:10">
      <c r="A25" s="12">
        <v>20</v>
      </c>
      <c r="B25" s="14"/>
      <c r="C25" s="14"/>
      <c r="D25" s="14"/>
      <c r="E25" s="13"/>
      <c r="F25" s="14"/>
      <c r="G25" s="15"/>
      <c r="H25" s="19"/>
      <c r="I25" s="16"/>
      <c r="J25" s="14"/>
    </row>
    <row r="26" s="4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 t="s">
        <v>37</v>
      </c>
      <c r="B33" s="20">
        <f>SUM(I6:I32)</f>
        <v>2304.91</v>
      </c>
      <c r="C33" s="21"/>
      <c r="D33" s="21"/>
      <c r="E33" s="22"/>
      <c r="F33" s="21"/>
      <c r="G33" s="21"/>
      <c r="H33" s="21"/>
      <c r="I33" s="21"/>
      <c r="J33" s="25"/>
    </row>
    <row r="34" s="4" customFormat="1" customHeight="1" spans="1:10">
      <c r="A34" s="12" t="s">
        <v>38</v>
      </c>
      <c r="B34" s="23">
        <f>B33</f>
        <v>2304.91</v>
      </c>
      <c r="C34" s="24"/>
      <c r="D34" s="24"/>
      <c r="E34" s="22"/>
      <c r="F34" s="24"/>
      <c r="G34" s="24"/>
      <c r="H34" s="24"/>
      <c r="I34" s="24"/>
      <c r="J34" s="26"/>
    </row>
    <row r="35" s="4" customFormat="1" customHeight="1" spans="1:5">
      <c r="A35" s="4" t="s">
        <v>39</v>
      </c>
      <c r="E35" s="5"/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4"/>
  </conditionalFormatting>
  <conditionalFormatting sqref="B1:B32 B35:B1048576">
    <cfRule type="duplicateValues" dxfId="0" priority="3"/>
  </conditionalFormatting>
  <conditionalFormatting sqref="B6:C14">
    <cfRule type="duplicateValues" dxfId="0" priority="5"/>
  </conditionalFormatting>
  <pageMargins left="0.751388888888889" right="0.751388888888889" top="0.409027777777778" bottom="0.2125" header="0.5" footer="0.5"/>
  <pageSetup paperSize="9" scale="96" orientation="portrait" horizontalDpi="6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7" workbookViewId="0">
      <selection activeCell="I17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1.375" style="4" customWidth="1"/>
    <col min="4" max="4" width="5.94166666666667" style="4" customWidth="1"/>
    <col min="5" max="5" width="6.1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1" width="11.6666666666667" style="4" customWidth="1"/>
    <col min="16322" max="16322" width="11.6666666666667" style="4"/>
    <col min="16323" max="16328" width="11" style="4"/>
    <col min="1632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45254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5</v>
      </c>
      <c r="F6" s="14">
        <f t="shared" ref="F6:F31" si="0">H6/0.85</f>
        <v>3.52941176470588</v>
      </c>
      <c r="G6" s="15">
        <f t="shared" ref="G6:G31" si="1">H6/F6</f>
        <v>0.85</v>
      </c>
      <c r="H6" s="16">
        <v>3</v>
      </c>
      <c r="I6" s="16">
        <f t="shared" ref="I6:I31" si="2">E6*H6</f>
        <v>15</v>
      </c>
      <c r="J6" s="12"/>
    </row>
    <row r="7" s="4" customFormat="1" ht="16" customHeight="1" spans="1:10">
      <c r="A7" s="12">
        <v>2</v>
      </c>
      <c r="B7" s="12" t="s">
        <v>58</v>
      </c>
      <c r="C7" s="12" t="s">
        <v>59</v>
      </c>
      <c r="D7" s="13" t="s">
        <v>15</v>
      </c>
      <c r="E7" s="13">
        <v>6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21</v>
      </c>
      <c r="J7" s="12"/>
    </row>
    <row r="8" s="4" customFormat="1" ht="16" customHeight="1" spans="1:10">
      <c r="A8" s="12">
        <v>3</v>
      </c>
      <c r="B8" s="12" t="s">
        <v>60</v>
      </c>
      <c r="C8" s="12"/>
      <c r="D8" s="13" t="s">
        <v>15</v>
      </c>
      <c r="E8" s="13">
        <v>1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3.5</v>
      </c>
      <c r="J8" s="12"/>
    </row>
    <row r="9" s="4" customFormat="1" ht="16" customHeight="1" spans="1:10">
      <c r="A9" s="12">
        <v>4</v>
      </c>
      <c r="B9" s="17" t="s">
        <v>17</v>
      </c>
      <c r="C9" s="17"/>
      <c r="D9" s="13" t="s">
        <v>15</v>
      </c>
      <c r="E9" s="13">
        <v>3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10.5</v>
      </c>
      <c r="J9" s="12"/>
    </row>
    <row r="10" s="4" customFormat="1" ht="16" customHeight="1" spans="1:10">
      <c r="A10" s="12">
        <v>5</v>
      </c>
      <c r="B10" s="12" t="s">
        <v>63</v>
      </c>
      <c r="C10" s="12"/>
      <c r="D10" s="13" t="s">
        <v>15</v>
      </c>
      <c r="E10" s="13">
        <v>4</v>
      </c>
      <c r="F10" s="14">
        <f t="shared" si="0"/>
        <v>8.82352941176471</v>
      </c>
      <c r="G10" s="15">
        <f t="shared" si="1"/>
        <v>0.85</v>
      </c>
      <c r="H10" s="16">
        <v>7.5</v>
      </c>
      <c r="I10" s="16">
        <f t="shared" si="2"/>
        <v>30</v>
      </c>
      <c r="J10" s="12"/>
    </row>
    <row r="11" s="4" customFormat="1" ht="16" customHeight="1" spans="1:10">
      <c r="A11" s="12">
        <v>6</v>
      </c>
      <c r="B11" s="12" t="s">
        <v>180</v>
      </c>
      <c r="C11" s="12"/>
      <c r="D11" s="13" t="s">
        <v>15</v>
      </c>
      <c r="E11" s="13">
        <v>2</v>
      </c>
      <c r="F11" s="14">
        <f t="shared" si="0"/>
        <v>4.11764705882353</v>
      </c>
      <c r="G11" s="15">
        <f t="shared" si="1"/>
        <v>0.85</v>
      </c>
      <c r="H11" s="16">
        <v>3.5</v>
      </c>
      <c r="I11" s="16">
        <f t="shared" si="2"/>
        <v>7</v>
      </c>
      <c r="J11" s="12"/>
    </row>
    <row r="12" s="4" customFormat="1" ht="16" customHeight="1" spans="1:10">
      <c r="A12" s="12">
        <v>7</v>
      </c>
      <c r="B12" s="17" t="s">
        <v>22</v>
      </c>
      <c r="C12" s="17"/>
      <c r="D12" s="18" t="s">
        <v>23</v>
      </c>
      <c r="E12" s="18">
        <v>8</v>
      </c>
      <c r="F12" s="14">
        <f t="shared" si="0"/>
        <v>3.52941176470588</v>
      </c>
      <c r="G12" s="15">
        <f t="shared" si="1"/>
        <v>0.85</v>
      </c>
      <c r="H12" s="19">
        <v>3</v>
      </c>
      <c r="I12" s="16">
        <f t="shared" si="2"/>
        <v>24</v>
      </c>
      <c r="J12" s="17"/>
    </row>
    <row r="13" s="4" customFormat="1" ht="16" customHeight="1" spans="1:10">
      <c r="A13" s="12">
        <v>8</v>
      </c>
      <c r="B13" s="17" t="s">
        <v>74</v>
      </c>
      <c r="C13" s="17"/>
      <c r="D13" s="18" t="s">
        <v>15</v>
      </c>
      <c r="E13" s="18">
        <v>5</v>
      </c>
      <c r="F13" s="14">
        <f t="shared" si="0"/>
        <v>4.47058823529412</v>
      </c>
      <c r="G13" s="15">
        <f t="shared" si="1"/>
        <v>0.85</v>
      </c>
      <c r="H13" s="19">
        <v>3.8</v>
      </c>
      <c r="I13" s="16">
        <f t="shared" si="2"/>
        <v>19</v>
      </c>
      <c r="J13" s="17"/>
    </row>
    <row r="14" s="4" customFormat="1" ht="16" customHeight="1" spans="1:10">
      <c r="A14" s="12">
        <v>9</v>
      </c>
      <c r="B14" s="17" t="s">
        <v>103</v>
      </c>
      <c r="C14" s="17"/>
      <c r="D14" s="18" t="s">
        <v>15</v>
      </c>
      <c r="E14" s="18">
        <v>5</v>
      </c>
      <c r="F14" s="14">
        <f t="shared" si="0"/>
        <v>4.47058823529412</v>
      </c>
      <c r="G14" s="15">
        <f t="shared" si="1"/>
        <v>0.85</v>
      </c>
      <c r="H14" s="19">
        <v>3.8</v>
      </c>
      <c r="I14" s="16">
        <f t="shared" si="2"/>
        <v>19</v>
      </c>
      <c r="J14" s="17"/>
    </row>
    <row r="15" s="4" customFormat="1" ht="16" customHeight="1" spans="1:10">
      <c r="A15" s="12">
        <v>10</v>
      </c>
      <c r="B15" s="17" t="s">
        <v>104</v>
      </c>
      <c r="C15" s="17"/>
      <c r="D15" s="18" t="s">
        <v>15</v>
      </c>
      <c r="E15" s="18">
        <v>16</v>
      </c>
      <c r="F15" s="14">
        <f t="shared" si="0"/>
        <v>2.94117647058824</v>
      </c>
      <c r="G15" s="15">
        <f t="shared" si="1"/>
        <v>0.85</v>
      </c>
      <c r="H15" s="19">
        <v>2.5</v>
      </c>
      <c r="I15" s="16">
        <f t="shared" si="2"/>
        <v>40</v>
      </c>
      <c r="J15" s="17"/>
    </row>
    <row r="16" s="4" customFormat="1" ht="16" customHeight="1" spans="1:10">
      <c r="A16" s="12">
        <v>11</v>
      </c>
      <c r="B16" s="17" t="s">
        <v>181</v>
      </c>
      <c r="C16" s="17"/>
      <c r="D16" s="18" t="s">
        <v>15</v>
      </c>
      <c r="E16" s="18">
        <v>12</v>
      </c>
      <c r="F16" s="14">
        <f t="shared" si="0"/>
        <v>4.11764705882353</v>
      </c>
      <c r="G16" s="15">
        <f t="shared" si="1"/>
        <v>0.85</v>
      </c>
      <c r="H16" s="19">
        <v>3.5</v>
      </c>
      <c r="I16" s="16">
        <f t="shared" si="2"/>
        <v>42</v>
      </c>
      <c r="J16" s="17"/>
    </row>
    <row r="17" s="4" customFormat="1" ht="16" customHeight="1" spans="1:10">
      <c r="A17" s="12">
        <v>12</v>
      </c>
      <c r="B17" s="12" t="s">
        <v>28</v>
      </c>
      <c r="C17" s="12"/>
      <c r="D17" s="12" t="s">
        <v>15</v>
      </c>
      <c r="E17" s="13">
        <v>3</v>
      </c>
      <c r="F17" s="14">
        <f t="shared" si="0"/>
        <v>16.2352941176471</v>
      </c>
      <c r="G17" s="15">
        <f t="shared" si="1"/>
        <v>0.85</v>
      </c>
      <c r="H17" s="19">
        <v>13.8</v>
      </c>
      <c r="I17" s="16">
        <f t="shared" si="2"/>
        <v>41.4</v>
      </c>
      <c r="J17" s="17"/>
    </row>
    <row r="18" s="4" customFormat="1" ht="16" customHeight="1" spans="1:10">
      <c r="A18" s="12">
        <v>13</v>
      </c>
      <c r="B18" s="12" t="s">
        <v>69</v>
      </c>
      <c r="C18" s="12"/>
      <c r="D18" s="12" t="s">
        <v>15</v>
      </c>
      <c r="E18" s="13">
        <v>5</v>
      </c>
      <c r="F18" s="14">
        <f t="shared" si="0"/>
        <v>23.5294117647059</v>
      </c>
      <c r="G18" s="15">
        <f t="shared" si="1"/>
        <v>0.85</v>
      </c>
      <c r="H18" s="19">
        <v>20</v>
      </c>
      <c r="I18" s="16">
        <f t="shared" si="2"/>
        <v>100</v>
      </c>
      <c r="J18" s="12"/>
    </row>
    <row r="19" s="4" customFormat="1" ht="16" customHeight="1" spans="1:10">
      <c r="A19" s="12">
        <v>14</v>
      </c>
      <c r="B19" s="14" t="s">
        <v>107</v>
      </c>
      <c r="C19" s="14"/>
      <c r="D19" s="14" t="s">
        <v>15</v>
      </c>
      <c r="E19" s="13">
        <v>5</v>
      </c>
      <c r="F19" s="14">
        <f t="shared" si="0"/>
        <v>23.5294117647059</v>
      </c>
      <c r="G19" s="15">
        <f t="shared" si="1"/>
        <v>0.85</v>
      </c>
      <c r="H19" s="19">
        <v>20</v>
      </c>
      <c r="I19" s="16">
        <f t="shared" si="2"/>
        <v>100</v>
      </c>
      <c r="J19" s="12"/>
    </row>
    <row r="20" s="4" customFormat="1" customHeight="1" spans="1:10">
      <c r="A20" s="12">
        <v>15</v>
      </c>
      <c r="B20" s="14" t="s">
        <v>182</v>
      </c>
      <c r="C20" s="14"/>
      <c r="D20" s="14" t="s">
        <v>15</v>
      </c>
      <c r="E20" s="13">
        <v>12</v>
      </c>
      <c r="F20" s="14">
        <f t="shared" si="0"/>
        <v>44.7058823529412</v>
      </c>
      <c r="G20" s="15">
        <f t="shared" si="1"/>
        <v>0.85</v>
      </c>
      <c r="H20" s="19">
        <v>38</v>
      </c>
      <c r="I20" s="16">
        <f t="shared" si="2"/>
        <v>456</v>
      </c>
      <c r="J20" s="14"/>
    </row>
    <row r="21" s="4" customFormat="1" customHeight="1" spans="1:10">
      <c r="A21" s="12">
        <v>16</v>
      </c>
      <c r="B21" s="14" t="s">
        <v>183</v>
      </c>
      <c r="C21" s="14" t="s">
        <v>184</v>
      </c>
      <c r="D21" s="14" t="s">
        <v>149</v>
      </c>
      <c r="E21" s="13">
        <v>1</v>
      </c>
      <c r="F21" s="14">
        <f t="shared" si="0"/>
        <v>12.9411764705882</v>
      </c>
      <c r="G21" s="15">
        <f t="shared" si="1"/>
        <v>0.85</v>
      </c>
      <c r="H21" s="19">
        <v>11</v>
      </c>
      <c r="I21" s="16">
        <f t="shared" si="2"/>
        <v>11</v>
      </c>
      <c r="J21" s="14"/>
    </row>
    <row r="22" s="4" customFormat="1" customHeight="1" spans="1:10">
      <c r="A22" s="12">
        <v>17</v>
      </c>
      <c r="B22" s="14" t="s">
        <v>35</v>
      </c>
      <c r="C22" s="14"/>
      <c r="D22" s="14" t="s">
        <v>36</v>
      </c>
      <c r="E22" s="13">
        <v>40</v>
      </c>
      <c r="F22" s="14">
        <f t="shared" si="0"/>
        <v>4.11764705882353</v>
      </c>
      <c r="G22" s="15">
        <f t="shared" si="1"/>
        <v>0.85</v>
      </c>
      <c r="H22" s="19">
        <v>3.5</v>
      </c>
      <c r="I22" s="16">
        <f t="shared" si="2"/>
        <v>140</v>
      </c>
      <c r="J22" s="14"/>
    </row>
    <row r="23" s="4" customFormat="1" customHeight="1" spans="1:10">
      <c r="A23" s="12">
        <v>18</v>
      </c>
      <c r="B23" s="14" t="s">
        <v>80</v>
      </c>
      <c r="C23" s="14"/>
      <c r="D23" s="14" t="s">
        <v>15</v>
      </c>
      <c r="E23" s="13">
        <v>5</v>
      </c>
      <c r="F23" s="14">
        <f t="shared" si="0"/>
        <v>103.529411764706</v>
      </c>
      <c r="G23" s="15">
        <f t="shared" si="1"/>
        <v>0.85</v>
      </c>
      <c r="H23" s="19">
        <v>88</v>
      </c>
      <c r="I23" s="16">
        <f t="shared" si="2"/>
        <v>440</v>
      </c>
      <c r="J23" s="14"/>
    </row>
    <row r="24" s="4" customFormat="1" customHeight="1" spans="1:10">
      <c r="A24" s="12">
        <v>19</v>
      </c>
      <c r="B24" s="14"/>
      <c r="C24" s="14"/>
      <c r="D24" s="14"/>
      <c r="E24" s="13"/>
      <c r="F24" s="14"/>
      <c r="G24" s="15"/>
      <c r="H24" s="19"/>
      <c r="I24" s="16"/>
      <c r="J24" s="14"/>
    </row>
    <row r="25" s="4" customFormat="1" customHeight="1" spans="1:10">
      <c r="A25" s="12">
        <v>20</v>
      </c>
      <c r="B25" s="14"/>
      <c r="C25" s="14"/>
      <c r="D25" s="14"/>
      <c r="E25" s="13"/>
      <c r="F25" s="14"/>
      <c r="G25" s="15"/>
      <c r="H25" s="19"/>
      <c r="I25" s="16"/>
      <c r="J25" s="14"/>
    </row>
    <row r="26" s="4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9"/>
      <c r="I33" s="16"/>
      <c r="J33" s="14"/>
    </row>
    <row r="34" s="4" customFormat="1" customHeight="1" spans="1:10">
      <c r="A34" s="12" t="s">
        <v>37</v>
      </c>
      <c r="B34" s="20">
        <f>SUM(I6:I33)</f>
        <v>1519.4</v>
      </c>
      <c r="C34" s="21"/>
      <c r="D34" s="21"/>
      <c r="E34" s="22"/>
      <c r="F34" s="21"/>
      <c r="G34" s="21"/>
      <c r="H34" s="21"/>
      <c r="I34" s="21"/>
      <c r="J34" s="25"/>
    </row>
    <row r="35" s="4" customFormat="1" customHeight="1" spans="1:10">
      <c r="A35" s="12" t="s">
        <v>38</v>
      </c>
      <c r="B35" s="23">
        <f>B34</f>
        <v>1519.4</v>
      </c>
      <c r="C35" s="24"/>
      <c r="D35" s="24"/>
      <c r="E35" s="22"/>
      <c r="F35" s="24"/>
      <c r="G35" s="24"/>
      <c r="H35" s="24"/>
      <c r="I35" s="24"/>
      <c r="J35" s="26"/>
    </row>
    <row r="36" s="4" customFormat="1" customHeight="1" spans="1:5">
      <c r="A36" s="4" t="s">
        <v>39</v>
      </c>
      <c r="E36" s="5"/>
    </row>
  </sheetData>
  <sortState ref="A22:I33">
    <sortCondition ref="A22"/>
  </sortState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7">
    <cfRule type="duplicateValues" dxfId="0" priority="3"/>
  </conditionalFormatting>
  <pageMargins left="0.751388888888889" right="0.751388888888889" top="0.409027777777778" bottom="0.2125" header="0.5" footer="0.5"/>
  <pageSetup paperSize="9" scale="95" orientation="portrait" horizontalDpi="6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opLeftCell="A18" workbookViewId="0">
      <selection activeCell="I18" sqref="I$1:I$1048576"/>
    </sheetView>
  </sheetViews>
  <sheetFormatPr defaultColWidth="11" defaultRowHeight="18" customHeight="1"/>
  <cols>
    <col min="1" max="1" width="9.125" style="4" customWidth="1"/>
    <col min="2" max="2" width="19.25" style="4" customWidth="1"/>
    <col min="3" max="3" width="12.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1" width="11.6666666666667" style="4" customWidth="1"/>
    <col min="16322" max="16322" width="11.6666666666667" style="4"/>
    <col min="16323" max="16328" width="11" style="4"/>
    <col min="1632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45257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7</v>
      </c>
      <c r="F6" s="14">
        <f>H6/0.85</f>
        <v>3.52941176470588</v>
      </c>
      <c r="G6" s="15">
        <f>H6/F6</f>
        <v>0.85</v>
      </c>
      <c r="H6" s="16">
        <v>3</v>
      </c>
      <c r="I6" s="16">
        <f>E6*H6</f>
        <v>21</v>
      </c>
      <c r="J6" s="12"/>
    </row>
    <row r="7" s="4" customFormat="1" ht="16" customHeight="1" spans="1:10">
      <c r="A7" s="12">
        <v>2</v>
      </c>
      <c r="B7" s="12" t="s">
        <v>60</v>
      </c>
      <c r="C7" s="12"/>
      <c r="D7" s="13" t="s">
        <v>15</v>
      </c>
      <c r="E7" s="13">
        <v>2</v>
      </c>
      <c r="F7" s="14">
        <f t="shared" ref="F7:F26" si="0">H7/0.85</f>
        <v>4.11764705882353</v>
      </c>
      <c r="G7" s="15">
        <f t="shared" ref="G7:G26" si="1">H7/F7</f>
        <v>0.85</v>
      </c>
      <c r="H7" s="16">
        <v>3.5</v>
      </c>
      <c r="I7" s="16">
        <f t="shared" ref="I7:I26" si="2">E7*H7</f>
        <v>7</v>
      </c>
      <c r="J7" s="12"/>
    </row>
    <row r="8" s="4" customFormat="1" ht="16" customHeight="1" spans="1:10">
      <c r="A8" s="12">
        <v>3</v>
      </c>
      <c r="B8" s="12" t="s">
        <v>16</v>
      </c>
      <c r="C8" s="12"/>
      <c r="D8" s="13" t="s">
        <v>15</v>
      </c>
      <c r="E8" s="13">
        <v>6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21</v>
      </c>
      <c r="J8" s="12"/>
    </row>
    <row r="9" s="4" customFormat="1" ht="16" customHeight="1" spans="1:10">
      <c r="A9" s="12">
        <v>4</v>
      </c>
      <c r="B9" s="17" t="s">
        <v>17</v>
      </c>
      <c r="C9" s="17"/>
      <c r="D9" s="13" t="s">
        <v>15</v>
      </c>
      <c r="E9" s="13">
        <v>5</v>
      </c>
      <c r="F9" s="14">
        <f t="shared" si="0"/>
        <v>4.11764705882353</v>
      </c>
      <c r="G9" s="15">
        <f t="shared" si="1"/>
        <v>0.85</v>
      </c>
      <c r="H9" s="16">
        <v>3.5</v>
      </c>
      <c r="I9" s="16">
        <f t="shared" si="2"/>
        <v>17.5</v>
      </c>
      <c r="J9" s="12"/>
    </row>
    <row r="10" s="4" customFormat="1" ht="16" customHeight="1" spans="1:10">
      <c r="A10" s="12">
        <v>5</v>
      </c>
      <c r="B10" s="12" t="s">
        <v>19</v>
      </c>
      <c r="C10" s="12"/>
      <c r="D10" s="13" t="s">
        <v>15</v>
      </c>
      <c r="E10" s="13">
        <v>8</v>
      </c>
      <c r="F10" s="14">
        <f t="shared" si="0"/>
        <v>2.94117647058824</v>
      </c>
      <c r="G10" s="15">
        <f t="shared" si="1"/>
        <v>0.85</v>
      </c>
      <c r="H10" s="16">
        <v>2.5</v>
      </c>
      <c r="I10" s="16">
        <f t="shared" si="2"/>
        <v>20</v>
      </c>
      <c r="J10" s="12"/>
    </row>
    <row r="11" s="4" customFormat="1" ht="16" customHeight="1" spans="1:10">
      <c r="A11" s="12">
        <v>6</v>
      </c>
      <c r="B11" s="12" t="s">
        <v>81</v>
      </c>
      <c r="C11" s="12"/>
      <c r="D11" s="13" t="s">
        <v>15</v>
      </c>
      <c r="E11" s="13">
        <v>5</v>
      </c>
      <c r="F11" s="14">
        <f t="shared" si="0"/>
        <v>4.11764705882353</v>
      </c>
      <c r="G11" s="15">
        <f t="shared" si="1"/>
        <v>0.85</v>
      </c>
      <c r="H11" s="16">
        <v>3.5</v>
      </c>
      <c r="I11" s="16">
        <f t="shared" si="2"/>
        <v>17.5</v>
      </c>
      <c r="J11" s="12"/>
    </row>
    <row r="12" s="4" customFormat="1" ht="16" customHeight="1" spans="1:10">
      <c r="A12" s="12">
        <v>7</v>
      </c>
      <c r="B12" s="17" t="s">
        <v>63</v>
      </c>
      <c r="C12" s="17"/>
      <c r="D12" s="18" t="s">
        <v>15</v>
      </c>
      <c r="E12" s="18">
        <v>2</v>
      </c>
      <c r="F12" s="14">
        <f t="shared" si="0"/>
        <v>8.82352941176471</v>
      </c>
      <c r="G12" s="15">
        <f t="shared" si="1"/>
        <v>0.85</v>
      </c>
      <c r="H12" s="16">
        <v>7.5</v>
      </c>
      <c r="I12" s="16">
        <f t="shared" si="2"/>
        <v>15</v>
      </c>
      <c r="J12" s="17"/>
    </row>
    <row r="13" s="4" customFormat="1" ht="16" customHeight="1" spans="1:10">
      <c r="A13" s="12">
        <v>8</v>
      </c>
      <c r="B13" s="17" t="s">
        <v>22</v>
      </c>
      <c r="C13" s="17"/>
      <c r="D13" s="18" t="s">
        <v>23</v>
      </c>
      <c r="E13" s="18">
        <v>8</v>
      </c>
      <c r="F13" s="14">
        <f t="shared" si="0"/>
        <v>3.52941176470588</v>
      </c>
      <c r="G13" s="15">
        <f t="shared" si="1"/>
        <v>0.85</v>
      </c>
      <c r="H13" s="16">
        <v>3</v>
      </c>
      <c r="I13" s="16">
        <f t="shared" si="2"/>
        <v>24</v>
      </c>
      <c r="J13" s="17"/>
    </row>
    <row r="14" s="4" customFormat="1" ht="16" customHeight="1" spans="1:10">
      <c r="A14" s="12">
        <v>9</v>
      </c>
      <c r="B14" s="17" t="s">
        <v>64</v>
      </c>
      <c r="C14" s="17"/>
      <c r="D14" s="18" t="s">
        <v>15</v>
      </c>
      <c r="E14" s="18">
        <v>2</v>
      </c>
      <c r="F14" s="14">
        <f t="shared" si="0"/>
        <v>4.70588235294118</v>
      </c>
      <c r="G14" s="15">
        <f t="shared" si="1"/>
        <v>0.85</v>
      </c>
      <c r="H14" s="16">
        <v>4</v>
      </c>
      <c r="I14" s="16">
        <f t="shared" si="2"/>
        <v>8</v>
      </c>
      <c r="J14" s="17"/>
    </row>
    <row r="15" s="4" customFormat="1" ht="16" customHeight="1" spans="1:10">
      <c r="A15" s="12">
        <v>10</v>
      </c>
      <c r="B15" s="17" t="s">
        <v>185</v>
      </c>
      <c r="C15" s="17"/>
      <c r="D15" s="18" t="s">
        <v>15</v>
      </c>
      <c r="E15" s="18">
        <v>5</v>
      </c>
      <c r="F15" s="14">
        <f t="shared" si="0"/>
        <v>6.82352941176471</v>
      </c>
      <c r="G15" s="15">
        <f t="shared" si="1"/>
        <v>0.85</v>
      </c>
      <c r="H15" s="16">
        <v>5.8</v>
      </c>
      <c r="I15" s="16">
        <f t="shared" si="2"/>
        <v>29</v>
      </c>
      <c r="J15" s="17"/>
    </row>
    <row r="16" s="4" customFormat="1" ht="16" customHeight="1" spans="1:10">
      <c r="A16" s="12">
        <v>11</v>
      </c>
      <c r="B16" s="17" t="s">
        <v>85</v>
      </c>
      <c r="C16" s="17"/>
      <c r="D16" s="18" t="s">
        <v>15</v>
      </c>
      <c r="E16" s="18">
        <v>2</v>
      </c>
      <c r="F16" s="14">
        <f t="shared" si="0"/>
        <v>11.5294117647059</v>
      </c>
      <c r="G16" s="15">
        <f t="shared" si="1"/>
        <v>0.85</v>
      </c>
      <c r="H16" s="16">
        <v>9.8</v>
      </c>
      <c r="I16" s="16">
        <f t="shared" si="2"/>
        <v>19.6</v>
      </c>
      <c r="J16" s="17"/>
    </row>
    <row r="17" s="4" customFormat="1" ht="16" customHeight="1" spans="1:10">
      <c r="A17" s="12">
        <v>12</v>
      </c>
      <c r="B17" s="12" t="s">
        <v>86</v>
      </c>
      <c r="C17" s="12"/>
      <c r="D17" s="17" t="s">
        <v>15</v>
      </c>
      <c r="E17" s="13">
        <v>7</v>
      </c>
      <c r="F17" s="14">
        <f t="shared" si="0"/>
        <v>5.64705882352941</v>
      </c>
      <c r="G17" s="15">
        <f t="shared" si="1"/>
        <v>0.85</v>
      </c>
      <c r="H17" s="16">
        <v>4.8</v>
      </c>
      <c r="I17" s="16">
        <f t="shared" si="2"/>
        <v>33.6</v>
      </c>
      <c r="J17" s="12"/>
    </row>
    <row r="18" s="4" customFormat="1" customHeight="1" spans="1:10">
      <c r="A18" s="12">
        <v>13</v>
      </c>
      <c r="B18" s="14" t="s">
        <v>45</v>
      </c>
      <c r="C18" s="14"/>
      <c r="D18" s="14" t="s">
        <v>15</v>
      </c>
      <c r="E18" s="13">
        <v>13</v>
      </c>
      <c r="F18" s="14">
        <f t="shared" si="0"/>
        <v>5.29411764705882</v>
      </c>
      <c r="G18" s="15">
        <f t="shared" si="1"/>
        <v>0.85</v>
      </c>
      <c r="H18" s="16">
        <v>4.5</v>
      </c>
      <c r="I18" s="16">
        <f t="shared" si="2"/>
        <v>58.5</v>
      </c>
      <c r="J18" s="14"/>
    </row>
    <row r="19" s="4" customFormat="1" customHeight="1" spans="1:10">
      <c r="A19" s="12">
        <v>14</v>
      </c>
      <c r="B19" s="14" t="s">
        <v>28</v>
      </c>
      <c r="C19" s="14"/>
      <c r="D19" s="14" t="s">
        <v>15</v>
      </c>
      <c r="E19" s="13">
        <v>4</v>
      </c>
      <c r="F19" s="14">
        <f t="shared" si="0"/>
        <v>16.2352941176471</v>
      </c>
      <c r="G19" s="15">
        <f t="shared" si="1"/>
        <v>0.85</v>
      </c>
      <c r="H19" s="16">
        <v>13.8</v>
      </c>
      <c r="I19" s="16">
        <f t="shared" si="2"/>
        <v>55.2</v>
      </c>
      <c r="J19" s="14"/>
    </row>
    <row r="20" s="4" customFormat="1" customHeight="1" spans="1:10">
      <c r="A20" s="12">
        <v>15</v>
      </c>
      <c r="B20" s="14" t="s">
        <v>186</v>
      </c>
      <c r="C20" s="14"/>
      <c r="D20" s="14" t="s">
        <v>15</v>
      </c>
      <c r="E20" s="13">
        <v>9.7</v>
      </c>
      <c r="F20" s="14">
        <f t="shared" si="0"/>
        <v>28.2352941176471</v>
      </c>
      <c r="G20" s="15">
        <f t="shared" si="1"/>
        <v>0.85</v>
      </c>
      <c r="H20" s="16">
        <v>24</v>
      </c>
      <c r="I20" s="16">
        <f t="shared" si="2"/>
        <v>232.8</v>
      </c>
      <c r="J20" s="14"/>
    </row>
    <row r="21" s="4" customFormat="1" customHeight="1" spans="1:10">
      <c r="A21" s="12">
        <v>16</v>
      </c>
      <c r="B21" s="14" t="s">
        <v>175</v>
      </c>
      <c r="C21" s="14" t="s">
        <v>176</v>
      </c>
      <c r="D21" s="14" t="s">
        <v>141</v>
      </c>
      <c r="E21" s="13">
        <v>2</v>
      </c>
      <c r="F21" s="14">
        <f t="shared" si="0"/>
        <v>16.2352941176471</v>
      </c>
      <c r="G21" s="15">
        <f t="shared" si="1"/>
        <v>0.85</v>
      </c>
      <c r="H21" s="16">
        <v>13.8</v>
      </c>
      <c r="I21" s="16">
        <f t="shared" si="2"/>
        <v>27.6</v>
      </c>
      <c r="J21" s="14"/>
    </row>
    <row r="22" s="4" customFormat="1" customHeight="1" spans="1:10">
      <c r="A22" s="12">
        <v>17</v>
      </c>
      <c r="B22" s="14" t="s">
        <v>131</v>
      </c>
      <c r="C22" s="14" t="s">
        <v>132</v>
      </c>
      <c r="D22" s="14" t="s">
        <v>53</v>
      </c>
      <c r="E22" s="13">
        <v>10</v>
      </c>
      <c r="F22" s="14">
        <f t="shared" si="0"/>
        <v>2.35294117647059</v>
      </c>
      <c r="G22" s="15">
        <f t="shared" si="1"/>
        <v>0.85</v>
      </c>
      <c r="H22" s="16">
        <v>2</v>
      </c>
      <c r="I22" s="16">
        <f t="shared" si="2"/>
        <v>20</v>
      </c>
      <c r="J22" s="14"/>
    </row>
    <row r="23" s="4" customFormat="1" customHeight="1" spans="1:10">
      <c r="A23" s="12">
        <v>18</v>
      </c>
      <c r="B23" s="14" t="s">
        <v>187</v>
      </c>
      <c r="C23" s="14" t="s">
        <v>188</v>
      </c>
      <c r="D23" s="14" t="s">
        <v>53</v>
      </c>
      <c r="E23" s="13">
        <v>1</v>
      </c>
      <c r="F23" s="14">
        <f t="shared" si="0"/>
        <v>129.411764705882</v>
      </c>
      <c r="G23" s="15">
        <f t="shared" si="1"/>
        <v>0.85</v>
      </c>
      <c r="H23" s="16">
        <v>110</v>
      </c>
      <c r="I23" s="16">
        <f t="shared" si="2"/>
        <v>110</v>
      </c>
      <c r="J23" s="14"/>
    </row>
    <row r="24" s="4" customFormat="1" customHeight="1" spans="1:10">
      <c r="A24" s="12">
        <v>19</v>
      </c>
      <c r="B24" s="14" t="s">
        <v>189</v>
      </c>
      <c r="C24" s="14" t="s">
        <v>59</v>
      </c>
      <c r="D24" s="14" t="s">
        <v>15</v>
      </c>
      <c r="E24" s="13">
        <v>3</v>
      </c>
      <c r="F24" s="14">
        <f t="shared" si="0"/>
        <v>5.29411764705882</v>
      </c>
      <c r="G24" s="15">
        <f t="shared" si="1"/>
        <v>0.85</v>
      </c>
      <c r="H24" s="16">
        <v>4.5</v>
      </c>
      <c r="I24" s="16">
        <f t="shared" si="2"/>
        <v>13.5</v>
      </c>
      <c r="J24" s="14"/>
    </row>
    <row r="25" s="4" customFormat="1" customHeight="1" spans="1:10">
      <c r="A25" s="12">
        <v>20</v>
      </c>
      <c r="B25" s="14" t="s">
        <v>35</v>
      </c>
      <c r="C25" s="14"/>
      <c r="D25" s="14" t="s">
        <v>36</v>
      </c>
      <c r="E25" s="13">
        <v>50</v>
      </c>
      <c r="F25" s="14">
        <f t="shared" si="0"/>
        <v>4.11764705882353</v>
      </c>
      <c r="G25" s="15">
        <f t="shared" si="1"/>
        <v>0.85</v>
      </c>
      <c r="H25" s="16">
        <v>3.5</v>
      </c>
      <c r="I25" s="16">
        <f t="shared" si="2"/>
        <v>175</v>
      </c>
      <c r="J25" s="14"/>
    </row>
    <row r="26" s="4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6"/>
      <c r="I26" s="16"/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6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6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6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6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6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6"/>
      <c r="I32" s="16"/>
      <c r="J32" s="14"/>
    </row>
    <row r="33" s="4" customFormat="1" customHeight="1" spans="1:10">
      <c r="A33" s="12">
        <v>28</v>
      </c>
      <c r="B33" s="14"/>
      <c r="C33" s="14"/>
      <c r="D33" s="14"/>
      <c r="E33" s="13"/>
      <c r="F33" s="14"/>
      <c r="G33" s="15"/>
      <c r="H33" s="16"/>
      <c r="I33" s="16"/>
      <c r="J33" s="14"/>
    </row>
    <row r="34" s="4" customFormat="1" customHeight="1" spans="1:10">
      <c r="A34" s="12" t="s">
        <v>37</v>
      </c>
      <c r="B34" s="20">
        <f>SUM(I6:I33)</f>
        <v>925.8</v>
      </c>
      <c r="C34" s="21"/>
      <c r="D34" s="21"/>
      <c r="E34" s="22"/>
      <c r="F34" s="21"/>
      <c r="G34" s="21"/>
      <c r="H34" s="21"/>
      <c r="I34" s="21"/>
      <c r="J34" s="25"/>
    </row>
    <row r="35" s="4" customFormat="1" customHeight="1" spans="1:10">
      <c r="A35" s="12" t="s">
        <v>38</v>
      </c>
      <c r="B35" s="23">
        <f>B34</f>
        <v>925.8</v>
      </c>
      <c r="C35" s="24"/>
      <c r="D35" s="24"/>
      <c r="E35" s="22"/>
      <c r="F35" s="24"/>
      <c r="G35" s="24"/>
      <c r="H35" s="24"/>
      <c r="I35" s="24"/>
      <c r="J35" s="26"/>
    </row>
    <row r="36" s="4" customFormat="1" customHeight="1" spans="1:5">
      <c r="A36" s="4" t="s">
        <v>39</v>
      </c>
      <c r="E36" s="5"/>
    </row>
  </sheetData>
  <mergeCells count="4">
    <mergeCell ref="A1:J1"/>
    <mergeCell ref="B34:J34"/>
    <mergeCell ref="B35:J35"/>
    <mergeCell ref="A36:J36"/>
  </mergeCells>
  <conditionalFormatting sqref="B6:B33">
    <cfRule type="duplicateValues" dxfId="0" priority="2"/>
  </conditionalFormatting>
  <conditionalFormatting sqref="B1:B33 B36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5" orientation="portrait" horizontalDpi="6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8" workbookViewId="0">
      <selection activeCell="I18" sqref="I$1:I$1048576"/>
    </sheetView>
  </sheetViews>
  <sheetFormatPr defaultColWidth="11" defaultRowHeight="18" customHeight="1"/>
  <cols>
    <col min="1" max="1" width="9.25" style="4" customWidth="1"/>
    <col min="2" max="2" width="22.75" style="4" customWidth="1"/>
    <col min="3" max="3" width="11.12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1" width="11.6666666666667" style="4" customWidth="1"/>
    <col min="16322" max="16322" width="11.6666666666667" style="4"/>
    <col min="16323" max="16328" width="11" style="4"/>
    <col min="1632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45258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5</v>
      </c>
      <c r="F6" s="14">
        <f t="shared" ref="F6:F26" si="0">H6/0.85</f>
        <v>3.52941176470588</v>
      </c>
      <c r="G6" s="15">
        <f t="shared" ref="G6:G26" si="1">H6/F6</f>
        <v>0.85</v>
      </c>
      <c r="H6" s="16">
        <v>3</v>
      </c>
      <c r="I6" s="16">
        <f t="shared" ref="I6:I26" si="2">E6*H6</f>
        <v>15</v>
      </c>
      <c r="J6" s="12"/>
    </row>
    <row r="7" s="4" customFormat="1" ht="16" customHeight="1" spans="1:10">
      <c r="A7" s="12">
        <v>2</v>
      </c>
      <c r="B7" s="12" t="s">
        <v>16</v>
      </c>
      <c r="C7" s="12"/>
      <c r="D7" s="13" t="s">
        <v>15</v>
      </c>
      <c r="E7" s="13">
        <v>4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14</v>
      </c>
      <c r="J7" s="12"/>
    </row>
    <row r="8" s="4" customFormat="1" ht="16" customHeight="1" spans="1:10">
      <c r="A8" s="12">
        <v>3</v>
      </c>
      <c r="B8" s="12" t="s">
        <v>17</v>
      </c>
      <c r="C8" s="12"/>
      <c r="D8" s="13" t="s">
        <v>15</v>
      </c>
      <c r="E8" s="13">
        <v>4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14</v>
      </c>
      <c r="J8" s="12"/>
    </row>
    <row r="9" s="4" customFormat="1" ht="16" customHeight="1" spans="1:10">
      <c r="A9" s="12">
        <v>4</v>
      </c>
      <c r="B9" s="17" t="s">
        <v>40</v>
      </c>
      <c r="C9" s="17"/>
      <c r="D9" s="13" t="s">
        <v>15</v>
      </c>
      <c r="E9" s="13">
        <v>5</v>
      </c>
      <c r="F9" s="14">
        <f t="shared" si="0"/>
        <v>15.0588235294118</v>
      </c>
      <c r="G9" s="15">
        <f t="shared" si="1"/>
        <v>0.85</v>
      </c>
      <c r="H9" s="16">
        <v>12.8</v>
      </c>
      <c r="I9" s="16">
        <f t="shared" si="2"/>
        <v>64</v>
      </c>
      <c r="J9" s="12"/>
    </row>
    <row r="10" s="4" customFormat="1" ht="16" customHeight="1" spans="1:10">
      <c r="A10" s="12">
        <v>5</v>
      </c>
      <c r="B10" s="12" t="s">
        <v>72</v>
      </c>
      <c r="C10" s="12"/>
      <c r="D10" s="13" t="s">
        <v>15</v>
      </c>
      <c r="E10" s="13">
        <v>4</v>
      </c>
      <c r="F10" s="14">
        <f t="shared" si="0"/>
        <v>9.17647058823529</v>
      </c>
      <c r="G10" s="15">
        <f t="shared" si="1"/>
        <v>0.85</v>
      </c>
      <c r="H10" s="16">
        <v>7.8</v>
      </c>
      <c r="I10" s="16">
        <f t="shared" si="2"/>
        <v>31.2</v>
      </c>
      <c r="J10" s="12"/>
    </row>
    <row r="11" s="4" customFormat="1" ht="16" customHeight="1" spans="1:10">
      <c r="A11" s="12">
        <v>6</v>
      </c>
      <c r="B11" s="12" t="s">
        <v>41</v>
      </c>
      <c r="C11" s="12"/>
      <c r="D11" s="13" t="s">
        <v>15</v>
      </c>
      <c r="E11" s="13">
        <v>1</v>
      </c>
      <c r="F11" s="14">
        <f t="shared" si="0"/>
        <v>8</v>
      </c>
      <c r="G11" s="15">
        <f t="shared" si="1"/>
        <v>0.85</v>
      </c>
      <c r="H11" s="16">
        <v>6.8</v>
      </c>
      <c r="I11" s="16">
        <f t="shared" si="2"/>
        <v>6.8</v>
      </c>
      <c r="J11" s="12"/>
    </row>
    <row r="12" s="4" customFormat="1" ht="16" customHeight="1" spans="1:10">
      <c r="A12" s="12">
        <v>7</v>
      </c>
      <c r="B12" s="17" t="s">
        <v>20</v>
      </c>
      <c r="C12" s="17"/>
      <c r="D12" s="18" t="s">
        <v>15</v>
      </c>
      <c r="E12" s="18">
        <v>18</v>
      </c>
      <c r="F12" s="14">
        <f t="shared" si="0"/>
        <v>4.11764705882353</v>
      </c>
      <c r="G12" s="15">
        <f t="shared" si="1"/>
        <v>0.85</v>
      </c>
      <c r="H12" s="19">
        <v>3.5</v>
      </c>
      <c r="I12" s="16">
        <f t="shared" si="2"/>
        <v>63</v>
      </c>
      <c r="J12" s="17"/>
    </row>
    <row r="13" s="4" customFormat="1" ht="16" customHeight="1" spans="1:10">
      <c r="A13" s="12">
        <v>8</v>
      </c>
      <c r="B13" s="17" t="s">
        <v>63</v>
      </c>
      <c r="C13" s="17"/>
      <c r="D13" s="18" t="s">
        <v>15</v>
      </c>
      <c r="E13" s="18">
        <v>2</v>
      </c>
      <c r="F13" s="14">
        <f t="shared" si="0"/>
        <v>8.82352941176471</v>
      </c>
      <c r="G13" s="15">
        <f t="shared" si="1"/>
        <v>0.85</v>
      </c>
      <c r="H13" s="19">
        <v>7.5</v>
      </c>
      <c r="I13" s="16">
        <f t="shared" si="2"/>
        <v>15</v>
      </c>
      <c r="J13" s="17"/>
    </row>
    <row r="14" s="4" customFormat="1" ht="16" customHeight="1" spans="1:10">
      <c r="A14" s="12">
        <v>9</v>
      </c>
      <c r="B14" s="17" t="s">
        <v>90</v>
      </c>
      <c r="C14" s="17"/>
      <c r="D14" s="18" t="s">
        <v>15</v>
      </c>
      <c r="E14" s="18">
        <v>4</v>
      </c>
      <c r="F14" s="14">
        <f t="shared" si="0"/>
        <v>10.3529411764706</v>
      </c>
      <c r="G14" s="15">
        <f t="shared" si="1"/>
        <v>0.85</v>
      </c>
      <c r="H14" s="19">
        <v>8.8</v>
      </c>
      <c r="I14" s="16">
        <f t="shared" si="2"/>
        <v>35.2</v>
      </c>
      <c r="J14" s="17"/>
    </row>
    <row r="15" s="4" customFormat="1" ht="16" customHeight="1" spans="1:10">
      <c r="A15" s="12">
        <v>10</v>
      </c>
      <c r="B15" s="17" t="s">
        <v>64</v>
      </c>
      <c r="C15" s="17"/>
      <c r="D15" s="18" t="s">
        <v>15</v>
      </c>
      <c r="E15" s="18">
        <v>2</v>
      </c>
      <c r="F15" s="14">
        <f t="shared" si="0"/>
        <v>4.70588235294118</v>
      </c>
      <c r="G15" s="15">
        <f t="shared" si="1"/>
        <v>0.85</v>
      </c>
      <c r="H15" s="19">
        <v>4</v>
      </c>
      <c r="I15" s="16">
        <f t="shared" si="2"/>
        <v>8</v>
      </c>
      <c r="J15" s="17"/>
    </row>
    <row r="16" s="4" customFormat="1" ht="16" customHeight="1" spans="1:10">
      <c r="A16" s="12">
        <v>11</v>
      </c>
      <c r="B16" s="12" t="s">
        <v>65</v>
      </c>
      <c r="C16" s="12"/>
      <c r="D16" s="17" t="s">
        <v>15</v>
      </c>
      <c r="E16" s="13">
        <v>15.6</v>
      </c>
      <c r="F16" s="14">
        <f t="shared" si="0"/>
        <v>2.94117647058824</v>
      </c>
      <c r="G16" s="15">
        <f t="shared" si="1"/>
        <v>0.85</v>
      </c>
      <c r="H16" s="19">
        <v>2.5</v>
      </c>
      <c r="I16" s="16">
        <f t="shared" si="2"/>
        <v>39</v>
      </c>
      <c r="J16" s="17"/>
    </row>
    <row r="17" s="4" customFormat="1" ht="16" customHeight="1" spans="1:10">
      <c r="A17" s="12">
        <v>12</v>
      </c>
      <c r="B17" s="12" t="s">
        <v>105</v>
      </c>
      <c r="C17" s="12"/>
      <c r="D17" s="12" t="s">
        <v>15</v>
      </c>
      <c r="E17" s="13">
        <v>14</v>
      </c>
      <c r="F17" s="14">
        <f t="shared" si="0"/>
        <v>5.64705882352941</v>
      </c>
      <c r="G17" s="15">
        <f t="shared" si="1"/>
        <v>0.85</v>
      </c>
      <c r="H17" s="19">
        <v>4.8</v>
      </c>
      <c r="I17" s="16">
        <f t="shared" si="2"/>
        <v>67.2</v>
      </c>
      <c r="J17" s="12"/>
    </row>
    <row r="18" s="4" customFormat="1" ht="16" customHeight="1" spans="1:10">
      <c r="A18" s="12">
        <v>13</v>
      </c>
      <c r="B18" s="14" t="s">
        <v>161</v>
      </c>
      <c r="C18" s="14"/>
      <c r="D18" s="14" t="s">
        <v>15</v>
      </c>
      <c r="E18" s="13">
        <v>22.1</v>
      </c>
      <c r="F18" s="14">
        <f t="shared" si="0"/>
        <v>5.29411764705882</v>
      </c>
      <c r="G18" s="15">
        <f t="shared" si="1"/>
        <v>0.85</v>
      </c>
      <c r="H18" s="19">
        <v>4.5</v>
      </c>
      <c r="I18" s="16">
        <f t="shared" si="2"/>
        <v>99.45</v>
      </c>
      <c r="J18" s="12"/>
    </row>
    <row r="19" s="4" customFormat="1" customHeight="1" spans="1:10">
      <c r="A19" s="12">
        <v>14</v>
      </c>
      <c r="B19" s="14" t="s">
        <v>46</v>
      </c>
      <c r="C19" s="14"/>
      <c r="D19" s="14" t="s">
        <v>15</v>
      </c>
      <c r="E19" s="13">
        <v>15</v>
      </c>
      <c r="F19" s="14">
        <f t="shared" si="0"/>
        <v>4.11764705882353</v>
      </c>
      <c r="G19" s="15">
        <f t="shared" si="1"/>
        <v>0.85</v>
      </c>
      <c r="H19" s="19">
        <v>3.5</v>
      </c>
      <c r="I19" s="16">
        <f t="shared" si="2"/>
        <v>52.5</v>
      </c>
      <c r="J19" s="14"/>
    </row>
    <row r="20" s="4" customFormat="1" customHeight="1" spans="1:10">
      <c r="A20" s="12">
        <v>15</v>
      </c>
      <c r="B20" s="14" t="s">
        <v>67</v>
      </c>
      <c r="C20" s="14" t="s">
        <v>68</v>
      </c>
      <c r="D20" s="14" t="s">
        <v>32</v>
      </c>
      <c r="E20" s="13">
        <v>1</v>
      </c>
      <c r="F20" s="14">
        <f t="shared" si="0"/>
        <v>352.941176470588</v>
      </c>
      <c r="G20" s="15">
        <f t="shared" si="1"/>
        <v>0.85</v>
      </c>
      <c r="H20" s="19">
        <v>300</v>
      </c>
      <c r="I20" s="16">
        <f t="shared" si="2"/>
        <v>300</v>
      </c>
      <c r="J20" s="14"/>
    </row>
    <row r="21" s="4" customFormat="1" customHeight="1" spans="1:10">
      <c r="A21" s="12">
        <v>16</v>
      </c>
      <c r="B21" s="14" t="s">
        <v>87</v>
      </c>
      <c r="C21" s="14"/>
      <c r="D21" s="14" t="s">
        <v>15</v>
      </c>
      <c r="E21" s="13">
        <v>12.7</v>
      </c>
      <c r="F21" s="14">
        <f t="shared" si="0"/>
        <v>25.8823529411765</v>
      </c>
      <c r="G21" s="15">
        <f t="shared" si="1"/>
        <v>0.85</v>
      </c>
      <c r="H21" s="19">
        <v>22</v>
      </c>
      <c r="I21" s="16">
        <f t="shared" si="2"/>
        <v>279.4</v>
      </c>
      <c r="J21" s="14"/>
    </row>
    <row r="22" s="4" customFormat="1" customHeight="1" spans="1:10">
      <c r="A22" s="12">
        <v>17</v>
      </c>
      <c r="B22" s="14" t="s">
        <v>107</v>
      </c>
      <c r="C22" s="14"/>
      <c r="D22" s="14" t="s">
        <v>15</v>
      </c>
      <c r="E22" s="13">
        <v>5</v>
      </c>
      <c r="F22" s="14">
        <f t="shared" si="0"/>
        <v>23.5294117647059</v>
      </c>
      <c r="G22" s="15">
        <f t="shared" si="1"/>
        <v>0.85</v>
      </c>
      <c r="H22" s="19">
        <v>20</v>
      </c>
      <c r="I22" s="16">
        <f t="shared" si="2"/>
        <v>100</v>
      </c>
      <c r="J22" s="14"/>
    </row>
    <row r="23" s="4" customFormat="1" customHeight="1" spans="1:10">
      <c r="A23" s="12">
        <v>18</v>
      </c>
      <c r="B23" s="14" t="s">
        <v>29</v>
      </c>
      <c r="C23" s="14"/>
      <c r="D23" s="14" t="s">
        <v>15</v>
      </c>
      <c r="E23" s="13">
        <v>8</v>
      </c>
      <c r="F23" s="14">
        <f t="shared" si="0"/>
        <v>32.9411764705882</v>
      </c>
      <c r="G23" s="15">
        <f t="shared" si="1"/>
        <v>0.85</v>
      </c>
      <c r="H23" s="19">
        <v>28</v>
      </c>
      <c r="I23" s="16">
        <f t="shared" si="2"/>
        <v>224</v>
      </c>
      <c r="J23" s="14"/>
    </row>
    <row r="24" s="4" customFormat="1" customHeight="1" spans="1:10">
      <c r="A24" s="12">
        <v>19</v>
      </c>
      <c r="B24" s="14" t="s">
        <v>190</v>
      </c>
      <c r="C24" s="14" t="s">
        <v>191</v>
      </c>
      <c r="D24" s="14" t="s">
        <v>53</v>
      </c>
      <c r="E24" s="13">
        <v>6</v>
      </c>
      <c r="F24" s="14">
        <f t="shared" si="0"/>
        <v>64.7058823529412</v>
      </c>
      <c r="G24" s="15">
        <f t="shared" si="1"/>
        <v>0.85</v>
      </c>
      <c r="H24" s="19">
        <v>55</v>
      </c>
      <c r="I24" s="16">
        <f t="shared" si="2"/>
        <v>330</v>
      </c>
      <c r="J24" s="14"/>
    </row>
    <row r="25" s="4" customFormat="1" customHeight="1" spans="1:10">
      <c r="A25" s="12">
        <v>20</v>
      </c>
      <c r="B25" s="17" t="s">
        <v>175</v>
      </c>
      <c r="C25" s="17" t="s">
        <v>176</v>
      </c>
      <c r="D25" s="18" t="s">
        <v>141</v>
      </c>
      <c r="E25" s="18">
        <v>3</v>
      </c>
      <c r="F25" s="14">
        <f t="shared" si="0"/>
        <v>16.2352941176471</v>
      </c>
      <c r="G25" s="15">
        <f t="shared" si="1"/>
        <v>0.85</v>
      </c>
      <c r="H25" s="19">
        <v>13.8</v>
      </c>
      <c r="I25" s="16">
        <f t="shared" si="2"/>
        <v>41.4</v>
      </c>
      <c r="J25" s="14"/>
    </row>
    <row r="26" s="4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 t="s">
        <v>37</v>
      </c>
      <c r="B33" s="20">
        <f>SUM(I6:I32)</f>
        <v>1799.15</v>
      </c>
      <c r="C33" s="21"/>
      <c r="D33" s="21"/>
      <c r="E33" s="22"/>
      <c r="F33" s="21"/>
      <c r="G33" s="21"/>
      <c r="H33" s="21"/>
      <c r="I33" s="21"/>
      <c r="J33" s="25"/>
    </row>
    <row r="34" s="4" customFormat="1" customHeight="1" spans="1:10">
      <c r="A34" s="12" t="s">
        <v>38</v>
      </c>
      <c r="B34" s="23">
        <f>B33</f>
        <v>1799.15</v>
      </c>
      <c r="C34" s="24"/>
      <c r="D34" s="24"/>
      <c r="E34" s="22"/>
      <c r="F34" s="24"/>
      <c r="G34" s="24"/>
      <c r="H34" s="24"/>
      <c r="I34" s="24"/>
      <c r="J34" s="26"/>
    </row>
    <row r="35" s="4" customFormat="1" customHeight="1" spans="1:5">
      <c r="A35" s="4" t="s">
        <v>39</v>
      </c>
      <c r="E35" s="5"/>
    </row>
  </sheetData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3" orientation="portrait" horizontalDpi="6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3"/>
  <sheetViews>
    <sheetView topLeftCell="A16" workbookViewId="0">
      <selection activeCell="I16" sqref="I$1:I$1048576"/>
    </sheetView>
  </sheetViews>
  <sheetFormatPr defaultColWidth="11" defaultRowHeight="18" customHeight="1"/>
  <cols>
    <col min="1" max="1" width="9.25" style="4" customWidth="1"/>
    <col min="2" max="2" width="22.75" style="4" customWidth="1"/>
    <col min="3" max="3" width="11.12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1" width="11.6666666666667" style="4" customWidth="1"/>
    <col min="16322" max="16322" width="11.6666666666667" style="4"/>
    <col min="16323" max="16328" width="11" style="4"/>
    <col min="1632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45259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14</v>
      </c>
      <c r="C6" s="12"/>
      <c r="D6" s="13" t="s">
        <v>15</v>
      </c>
      <c r="E6" s="13">
        <v>3</v>
      </c>
      <c r="F6" s="14">
        <f t="shared" ref="F6:F24" si="0">H6/0.85</f>
        <v>3.52941176470588</v>
      </c>
      <c r="G6" s="15">
        <f t="shared" ref="G6:G24" si="1">H6/F6</f>
        <v>0.85</v>
      </c>
      <c r="H6" s="16">
        <v>3</v>
      </c>
      <c r="I6" s="16">
        <f t="shared" ref="I6:I24" si="2">E6*H6</f>
        <v>9</v>
      </c>
      <c r="J6" s="12"/>
    </row>
    <row r="7" s="4" customFormat="1" ht="16" customHeight="1" spans="1:10">
      <c r="A7" s="12">
        <v>2</v>
      </c>
      <c r="B7" s="12" t="s">
        <v>60</v>
      </c>
      <c r="C7" s="12"/>
      <c r="D7" s="13" t="s">
        <v>15</v>
      </c>
      <c r="E7" s="13">
        <v>2</v>
      </c>
      <c r="F7" s="14">
        <f t="shared" si="0"/>
        <v>4.11764705882353</v>
      </c>
      <c r="G7" s="15">
        <f t="shared" si="1"/>
        <v>0.85</v>
      </c>
      <c r="H7" s="16">
        <v>3.5</v>
      </c>
      <c r="I7" s="16">
        <f t="shared" si="2"/>
        <v>7</v>
      </c>
      <c r="J7" s="12"/>
    </row>
    <row r="8" s="4" customFormat="1" ht="16" customHeight="1" spans="1:10">
      <c r="A8" s="12">
        <v>3</v>
      </c>
      <c r="B8" s="12" t="s">
        <v>17</v>
      </c>
      <c r="C8" s="12"/>
      <c r="D8" s="13" t="s">
        <v>15</v>
      </c>
      <c r="E8" s="13">
        <v>2</v>
      </c>
      <c r="F8" s="14">
        <f t="shared" si="0"/>
        <v>4.11764705882353</v>
      </c>
      <c r="G8" s="15">
        <f t="shared" si="1"/>
        <v>0.85</v>
      </c>
      <c r="H8" s="16">
        <v>3.5</v>
      </c>
      <c r="I8" s="16">
        <f t="shared" si="2"/>
        <v>7</v>
      </c>
      <c r="J8" s="12"/>
    </row>
    <row r="9" s="4" customFormat="1" ht="16" customHeight="1" spans="1:10">
      <c r="A9" s="12">
        <v>4</v>
      </c>
      <c r="B9" s="17" t="s">
        <v>18</v>
      </c>
      <c r="C9" s="17"/>
      <c r="D9" s="13" t="s">
        <v>15</v>
      </c>
      <c r="E9" s="13">
        <v>4</v>
      </c>
      <c r="F9" s="14">
        <f t="shared" si="0"/>
        <v>7.05882352941176</v>
      </c>
      <c r="G9" s="15">
        <f t="shared" si="1"/>
        <v>0.85</v>
      </c>
      <c r="H9" s="16">
        <v>6</v>
      </c>
      <c r="I9" s="16">
        <f t="shared" si="2"/>
        <v>24</v>
      </c>
      <c r="J9" s="12"/>
    </row>
    <row r="10" s="4" customFormat="1" ht="16" customHeight="1" spans="1:10">
      <c r="A10" s="12">
        <v>5</v>
      </c>
      <c r="B10" s="12" t="s">
        <v>102</v>
      </c>
      <c r="C10" s="12"/>
      <c r="D10" s="13" t="s">
        <v>15</v>
      </c>
      <c r="E10" s="13">
        <v>5</v>
      </c>
      <c r="F10" s="14">
        <f t="shared" si="0"/>
        <v>4.47058823529412</v>
      </c>
      <c r="G10" s="15">
        <f t="shared" si="1"/>
        <v>0.85</v>
      </c>
      <c r="H10" s="16">
        <v>3.8</v>
      </c>
      <c r="I10" s="16">
        <f t="shared" si="2"/>
        <v>19</v>
      </c>
      <c r="J10" s="12"/>
    </row>
    <row r="11" s="4" customFormat="1" ht="16" customHeight="1" spans="1:10">
      <c r="A11" s="12">
        <v>6</v>
      </c>
      <c r="B11" s="12" t="s">
        <v>22</v>
      </c>
      <c r="C11" s="12"/>
      <c r="D11" s="13" t="s">
        <v>23</v>
      </c>
      <c r="E11" s="13">
        <v>9</v>
      </c>
      <c r="F11" s="14">
        <f t="shared" si="0"/>
        <v>3.52941176470588</v>
      </c>
      <c r="G11" s="15">
        <f t="shared" si="1"/>
        <v>0.85</v>
      </c>
      <c r="H11" s="16">
        <v>3</v>
      </c>
      <c r="I11" s="16">
        <f t="shared" si="2"/>
        <v>27</v>
      </c>
      <c r="J11" s="12"/>
    </row>
    <row r="12" s="4" customFormat="1" ht="16" customHeight="1" spans="1:10">
      <c r="A12" s="12">
        <v>7</v>
      </c>
      <c r="B12" s="17" t="s">
        <v>114</v>
      </c>
      <c r="C12" s="17"/>
      <c r="D12" s="18" t="s">
        <v>15</v>
      </c>
      <c r="E12" s="18">
        <v>9</v>
      </c>
      <c r="F12" s="14">
        <f t="shared" si="0"/>
        <v>6.82352941176471</v>
      </c>
      <c r="G12" s="15">
        <f t="shared" si="1"/>
        <v>0.85</v>
      </c>
      <c r="H12" s="19">
        <v>5.8</v>
      </c>
      <c r="I12" s="16">
        <f t="shared" si="2"/>
        <v>52.2</v>
      </c>
      <c r="J12" s="17"/>
    </row>
    <row r="13" s="4" customFormat="1" ht="16" customHeight="1" spans="1:10">
      <c r="A13" s="12">
        <v>8</v>
      </c>
      <c r="B13" s="17" t="s">
        <v>115</v>
      </c>
      <c r="C13" s="17"/>
      <c r="D13" s="18" t="s">
        <v>15</v>
      </c>
      <c r="E13" s="18">
        <v>6</v>
      </c>
      <c r="F13" s="14">
        <f t="shared" si="0"/>
        <v>13.8823529411765</v>
      </c>
      <c r="G13" s="15">
        <f t="shared" si="1"/>
        <v>0.85</v>
      </c>
      <c r="H13" s="19">
        <v>11.8</v>
      </c>
      <c r="I13" s="16">
        <f t="shared" si="2"/>
        <v>70.8</v>
      </c>
      <c r="J13" s="17"/>
    </row>
    <row r="14" s="4" customFormat="1" ht="16" customHeight="1" spans="1:10">
      <c r="A14" s="12">
        <v>9</v>
      </c>
      <c r="B14" s="17" t="s">
        <v>85</v>
      </c>
      <c r="C14" s="17"/>
      <c r="D14" s="18" t="s">
        <v>15</v>
      </c>
      <c r="E14" s="18">
        <v>1</v>
      </c>
      <c r="F14" s="14">
        <f t="shared" si="0"/>
        <v>11.5294117647059</v>
      </c>
      <c r="G14" s="15">
        <f t="shared" si="1"/>
        <v>0.85</v>
      </c>
      <c r="H14" s="19">
        <v>9.8</v>
      </c>
      <c r="I14" s="16">
        <f t="shared" si="2"/>
        <v>9.8</v>
      </c>
      <c r="J14" s="17"/>
    </row>
    <row r="15" s="4" customFormat="1" ht="16" customHeight="1" spans="1:10">
      <c r="A15" s="12">
        <v>10</v>
      </c>
      <c r="B15" s="17" t="s">
        <v>159</v>
      </c>
      <c r="C15" s="17"/>
      <c r="D15" s="18" t="s">
        <v>15</v>
      </c>
      <c r="E15" s="18">
        <v>13</v>
      </c>
      <c r="F15" s="14">
        <f t="shared" si="0"/>
        <v>5.64705882352941</v>
      </c>
      <c r="G15" s="15">
        <f t="shared" si="1"/>
        <v>0.85</v>
      </c>
      <c r="H15" s="19">
        <v>4.8</v>
      </c>
      <c r="I15" s="16">
        <f t="shared" si="2"/>
        <v>62.4</v>
      </c>
      <c r="J15" s="17"/>
    </row>
    <row r="16" s="4" customFormat="1" ht="16" customHeight="1" spans="1:10">
      <c r="A16" s="12">
        <v>11</v>
      </c>
      <c r="B16" s="12" t="s">
        <v>142</v>
      </c>
      <c r="C16" s="12"/>
      <c r="D16" s="17" t="s">
        <v>15</v>
      </c>
      <c r="E16" s="13">
        <v>8</v>
      </c>
      <c r="F16" s="14">
        <f t="shared" si="0"/>
        <v>8</v>
      </c>
      <c r="G16" s="15">
        <f t="shared" si="1"/>
        <v>0.85</v>
      </c>
      <c r="H16" s="19">
        <v>6.8</v>
      </c>
      <c r="I16" s="16">
        <f t="shared" si="2"/>
        <v>54.4</v>
      </c>
      <c r="J16" s="17"/>
    </row>
    <row r="17" s="4" customFormat="1" ht="16" customHeight="1" spans="1:10">
      <c r="A17" s="12">
        <v>12</v>
      </c>
      <c r="B17" s="12" t="s">
        <v>28</v>
      </c>
      <c r="C17" s="12"/>
      <c r="D17" s="12" t="s">
        <v>15</v>
      </c>
      <c r="E17" s="13">
        <v>2</v>
      </c>
      <c r="F17" s="14">
        <f t="shared" si="0"/>
        <v>16.2352941176471</v>
      </c>
      <c r="G17" s="15">
        <f t="shared" si="1"/>
        <v>0.85</v>
      </c>
      <c r="H17" s="19">
        <v>13.8</v>
      </c>
      <c r="I17" s="16">
        <f t="shared" si="2"/>
        <v>27.6</v>
      </c>
      <c r="J17" s="12"/>
    </row>
    <row r="18" s="4" customFormat="1" ht="16" customHeight="1" spans="1:10">
      <c r="A18" s="12">
        <v>13</v>
      </c>
      <c r="B18" s="14" t="s">
        <v>93</v>
      </c>
      <c r="C18" s="14"/>
      <c r="D18" s="14" t="s">
        <v>15</v>
      </c>
      <c r="E18" s="13">
        <v>3</v>
      </c>
      <c r="F18" s="14">
        <f t="shared" si="0"/>
        <v>18.5882352941176</v>
      </c>
      <c r="G18" s="15">
        <f t="shared" si="1"/>
        <v>0.85</v>
      </c>
      <c r="H18" s="19">
        <v>15.8</v>
      </c>
      <c r="I18" s="16">
        <f t="shared" si="2"/>
        <v>47.4</v>
      </c>
      <c r="J18" s="12"/>
    </row>
    <row r="19" s="4" customFormat="1" customHeight="1" spans="1:10">
      <c r="A19" s="12">
        <v>14</v>
      </c>
      <c r="B19" s="14" t="s">
        <v>29</v>
      </c>
      <c r="C19" s="14"/>
      <c r="D19" s="14" t="s">
        <v>15</v>
      </c>
      <c r="E19" s="13">
        <v>8</v>
      </c>
      <c r="F19" s="14">
        <f t="shared" si="0"/>
        <v>32.9411764705882</v>
      </c>
      <c r="G19" s="15">
        <f t="shared" si="1"/>
        <v>0.85</v>
      </c>
      <c r="H19" s="19">
        <v>28</v>
      </c>
      <c r="I19" s="16">
        <f t="shared" si="2"/>
        <v>224</v>
      </c>
      <c r="J19" s="14"/>
    </row>
    <row r="20" s="4" customFormat="1" customHeight="1" spans="1:10">
      <c r="A20" s="12">
        <v>15</v>
      </c>
      <c r="B20" s="14" t="s">
        <v>128</v>
      </c>
      <c r="C20" s="14"/>
      <c r="D20" s="14" t="s">
        <v>15</v>
      </c>
      <c r="E20" s="13">
        <v>13</v>
      </c>
      <c r="F20" s="14">
        <f t="shared" si="0"/>
        <v>32.9411764705882</v>
      </c>
      <c r="G20" s="15">
        <f t="shared" si="1"/>
        <v>0.85</v>
      </c>
      <c r="H20" s="19">
        <v>28</v>
      </c>
      <c r="I20" s="16">
        <f t="shared" si="2"/>
        <v>364</v>
      </c>
      <c r="J20" s="14"/>
    </row>
    <row r="21" s="4" customFormat="1" customHeight="1" spans="1:10">
      <c r="A21" s="12">
        <v>16</v>
      </c>
      <c r="B21" s="14" t="s">
        <v>192</v>
      </c>
      <c r="C21" s="14" t="s">
        <v>193</v>
      </c>
      <c r="D21" s="14" t="s">
        <v>32</v>
      </c>
      <c r="E21" s="13">
        <v>1</v>
      </c>
      <c r="F21" s="14">
        <f t="shared" si="0"/>
        <v>176.470588235294</v>
      </c>
      <c r="G21" s="15">
        <f t="shared" si="1"/>
        <v>0.85</v>
      </c>
      <c r="H21" s="19">
        <v>150</v>
      </c>
      <c r="I21" s="16">
        <f t="shared" si="2"/>
        <v>150</v>
      </c>
      <c r="J21" s="14"/>
    </row>
    <row r="22" s="4" customFormat="1" customHeight="1" spans="1:10">
      <c r="A22" s="12">
        <v>17</v>
      </c>
      <c r="B22" s="14" t="s">
        <v>194</v>
      </c>
      <c r="C22" s="14" t="s">
        <v>59</v>
      </c>
      <c r="D22" s="14" t="s">
        <v>15</v>
      </c>
      <c r="E22" s="13">
        <v>1</v>
      </c>
      <c r="F22" s="14">
        <f t="shared" ref="F22:F27" si="3">H22/0.85</f>
        <v>41.1764705882353</v>
      </c>
      <c r="G22" s="15">
        <f t="shared" ref="G22:G27" si="4">H22/F22</f>
        <v>0.85</v>
      </c>
      <c r="H22" s="19">
        <v>35</v>
      </c>
      <c r="I22" s="16">
        <f t="shared" ref="I22:I27" si="5">E22*H22</f>
        <v>35</v>
      </c>
      <c r="J22" s="14"/>
    </row>
    <row r="23" s="4" customFormat="1" customHeight="1" spans="1:10">
      <c r="A23" s="12">
        <v>18</v>
      </c>
      <c r="B23" s="14" t="s">
        <v>33</v>
      </c>
      <c r="C23" s="14" t="s">
        <v>34</v>
      </c>
      <c r="D23" s="14" t="s">
        <v>15</v>
      </c>
      <c r="E23" s="13">
        <v>4</v>
      </c>
      <c r="F23" s="14">
        <f t="shared" si="3"/>
        <v>5.76470588235294</v>
      </c>
      <c r="G23" s="15">
        <f t="shared" si="4"/>
        <v>0.85</v>
      </c>
      <c r="H23" s="19">
        <v>4.9</v>
      </c>
      <c r="I23" s="16">
        <f t="shared" si="5"/>
        <v>19.6</v>
      </c>
      <c r="J23" s="14"/>
    </row>
    <row r="24" s="4" customFormat="1" customHeight="1" spans="1:10">
      <c r="A24" s="12">
        <v>19</v>
      </c>
      <c r="B24" s="14" t="s">
        <v>35</v>
      </c>
      <c r="C24" s="14"/>
      <c r="D24" s="14" t="s">
        <v>36</v>
      </c>
      <c r="E24" s="13">
        <v>45</v>
      </c>
      <c r="F24" s="14">
        <f t="shared" si="3"/>
        <v>4.11764705882353</v>
      </c>
      <c r="G24" s="15">
        <f t="shared" si="4"/>
        <v>0.85</v>
      </c>
      <c r="H24" s="19">
        <v>3.5</v>
      </c>
      <c r="I24" s="16">
        <f t="shared" si="5"/>
        <v>157.5</v>
      </c>
      <c r="J24" s="14"/>
    </row>
    <row r="25" s="4" customFormat="1" customHeight="1" spans="1:10">
      <c r="A25" s="12">
        <v>20</v>
      </c>
      <c r="B25" s="14" t="s">
        <v>80</v>
      </c>
      <c r="C25" s="14"/>
      <c r="D25" s="14" t="s">
        <v>15</v>
      </c>
      <c r="E25" s="13">
        <v>5</v>
      </c>
      <c r="F25" s="14">
        <f t="shared" si="3"/>
        <v>103.529411764706</v>
      </c>
      <c r="G25" s="15">
        <f t="shared" si="4"/>
        <v>0.85</v>
      </c>
      <c r="H25" s="19">
        <v>88</v>
      </c>
      <c r="I25" s="16">
        <f t="shared" si="5"/>
        <v>440</v>
      </c>
      <c r="J25" s="14"/>
    </row>
    <row r="26" s="4" customFormat="1" customHeight="1" spans="1:10">
      <c r="A26" s="12">
        <v>21</v>
      </c>
      <c r="B26" s="14" t="s">
        <v>195</v>
      </c>
      <c r="C26" s="14"/>
      <c r="D26" s="14" t="s">
        <v>15</v>
      </c>
      <c r="E26" s="13">
        <v>1</v>
      </c>
      <c r="F26" s="14">
        <f t="shared" si="3"/>
        <v>11.5294117647059</v>
      </c>
      <c r="G26" s="15">
        <f t="shared" si="4"/>
        <v>0.85</v>
      </c>
      <c r="H26" s="19">
        <v>9.8</v>
      </c>
      <c r="I26" s="16">
        <f t="shared" si="5"/>
        <v>9.8</v>
      </c>
      <c r="J26" s="14"/>
    </row>
    <row r="27" s="4" customFormat="1" customHeight="1" spans="1:10">
      <c r="A27" s="12">
        <v>22</v>
      </c>
      <c r="B27" s="17" t="s">
        <v>77</v>
      </c>
      <c r="C27" s="17"/>
      <c r="D27" s="18" t="s">
        <v>15</v>
      </c>
      <c r="E27" s="18">
        <v>4</v>
      </c>
      <c r="F27" s="14">
        <f t="shared" si="3"/>
        <v>82.3529411764706</v>
      </c>
      <c r="G27" s="15">
        <f t="shared" si="4"/>
        <v>0.85</v>
      </c>
      <c r="H27" s="16">
        <v>70</v>
      </c>
      <c r="I27" s="16">
        <f t="shared" si="5"/>
        <v>280</v>
      </c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 t="s">
        <v>37</v>
      </c>
      <c r="B31" s="20">
        <f>SUM(I6:I30)</f>
        <v>2097.5</v>
      </c>
      <c r="C31" s="21"/>
      <c r="D31" s="21"/>
      <c r="E31" s="22"/>
      <c r="F31" s="21"/>
      <c r="G31" s="21"/>
      <c r="H31" s="21"/>
      <c r="I31" s="21"/>
      <c r="J31" s="25"/>
    </row>
    <row r="32" s="4" customFormat="1" customHeight="1" spans="1:10">
      <c r="A32" s="12" t="s">
        <v>38</v>
      </c>
      <c r="B32" s="23">
        <f>B31</f>
        <v>2097.5</v>
      </c>
      <c r="C32" s="24"/>
      <c r="D32" s="24"/>
      <c r="E32" s="22"/>
      <c r="F32" s="24"/>
      <c r="G32" s="24"/>
      <c r="H32" s="24"/>
      <c r="I32" s="24"/>
      <c r="J32" s="26"/>
    </row>
    <row r="33" s="4" customFormat="1" customHeight="1" spans="1:5">
      <c r="A33" s="4" t="s">
        <v>39</v>
      </c>
      <c r="E33" s="5"/>
    </row>
  </sheetData>
  <mergeCells count="4">
    <mergeCell ref="A1:J1"/>
    <mergeCell ref="B31:J31"/>
    <mergeCell ref="B32:J32"/>
    <mergeCell ref="A33:J33"/>
  </mergeCells>
  <conditionalFormatting sqref="B27:C27">
    <cfRule type="duplicateValues" dxfId="0" priority="2"/>
  </conditionalFormatting>
  <conditionalFormatting sqref="B27">
    <cfRule type="duplicateValues" dxfId="0" priority="1"/>
  </conditionalFormatting>
  <conditionalFormatting sqref="B1:B26 B28:B30 B33:B1048576">
    <cfRule type="duplicateValues" dxfId="0" priority="3"/>
  </conditionalFormatting>
  <conditionalFormatting sqref="B6:C16">
    <cfRule type="duplicateValues" dxfId="0" priority="5"/>
  </conditionalFormatting>
  <conditionalFormatting sqref="B6:B26 B28:B30">
    <cfRule type="duplicateValues" dxfId="0" priority="4"/>
  </conditionalFormatting>
  <pageMargins left="0.751388888888889" right="0.751388888888889" top="0.409027777777778" bottom="0.2125" header="0.5" footer="0.5"/>
  <pageSetup paperSize="9" scale="93" orientation="portrait" horizontalDpi="6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topLeftCell="A16" workbookViewId="0">
      <selection activeCell="I16" sqref="I$1:I$1048576"/>
    </sheetView>
  </sheetViews>
  <sheetFormatPr defaultColWidth="11" defaultRowHeight="18" customHeight="1"/>
  <cols>
    <col min="1" max="1" width="9.25" style="4" customWidth="1"/>
    <col min="2" max="2" width="22.75" style="4" customWidth="1"/>
    <col min="3" max="3" width="11.125" style="4" customWidth="1"/>
    <col min="4" max="4" width="5.94166666666667" style="4" customWidth="1"/>
    <col min="5" max="5" width="5.25" style="5" customWidth="1"/>
    <col min="6" max="6" width="8" style="4" customWidth="1"/>
    <col min="7" max="7" width="6.625" style="4" customWidth="1"/>
    <col min="8" max="8" width="7.875" style="4" customWidth="1"/>
    <col min="9" max="9" width="8.625" style="4" customWidth="1"/>
    <col min="10" max="10" width="7.375" style="4" customWidth="1"/>
    <col min="11" max="16321" width="11.6666666666667" style="4" customWidth="1"/>
    <col min="16322" max="16322" width="11.6666666666667" style="4"/>
    <col min="16323" max="16328" width="11" style="4"/>
    <col min="16329" max="16384" width="11" style="6"/>
  </cols>
  <sheetData>
    <row r="1" s="4" customFormat="1" ht="24" customHeight="1" spans="1:10">
      <c r="A1" s="7" t="s">
        <v>0</v>
      </c>
      <c r="B1" s="7"/>
      <c r="C1" s="7"/>
      <c r="D1" s="7"/>
      <c r="E1" s="8"/>
      <c r="F1" s="7"/>
      <c r="G1" s="7"/>
      <c r="H1" s="7"/>
      <c r="I1" s="7"/>
      <c r="J1" s="7"/>
    </row>
    <row r="2" s="4" customFormat="1" ht="8" customHeight="1" spans="1:10">
      <c r="A2" s="7"/>
      <c r="B2" s="7"/>
      <c r="C2" s="7"/>
      <c r="D2" s="7"/>
      <c r="E2" s="8"/>
      <c r="F2" s="7"/>
      <c r="G2" s="7"/>
      <c r="H2" s="7"/>
      <c r="I2" s="7"/>
      <c r="J2" s="7"/>
    </row>
    <row r="3" s="4" customFormat="1" customHeight="1" spans="1:5">
      <c r="A3" s="4" t="s">
        <v>1</v>
      </c>
      <c r="B3" s="4" t="s">
        <v>2</v>
      </c>
      <c r="E3" s="5"/>
    </row>
    <row r="4" s="4" customFormat="1" customHeight="1" spans="1:10">
      <c r="A4" s="4" t="s">
        <v>3</v>
      </c>
      <c r="B4" s="9">
        <v>45260</v>
      </c>
      <c r="C4" s="9"/>
      <c r="D4" s="10"/>
      <c r="E4" s="11"/>
      <c r="F4" s="10"/>
      <c r="G4" s="10"/>
      <c r="H4" s="9"/>
      <c r="I4" s="9"/>
      <c r="J4" s="9"/>
    </row>
    <row r="5" s="4" customFormat="1" customHeight="1" spans="1:10">
      <c r="A5" s="12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</row>
    <row r="6" s="4" customFormat="1" ht="16" customHeight="1" spans="1:10">
      <c r="A6" s="12">
        <v>1</v>
      </c>
      <c r="B6" s="12" t="s">
        <v>17</v>
      </c>
      <c r="C6" s="12"/>
      <c r="D6" s="13" t="s">
        <v>15</v>
      </c>
      <c r="E6" s="13">
        <v>6</v>
      </c>
      <c r="F6" s="14">
        <f t="shared" ref="F6:F24" si="0">H6/0.85</f>
        <v>4.11764705882353</v>
      </c>
      <c r="G6" s="15">
        <f t="shared" ref="G6:G24" si="1">H6/F6</f>
        <v>0.85</v>
      </c>
      <c r="H6" s="16">
        <v>3.5</v>
      </c>
      <c r="I6" s="16">
        <f t="shared" ref="I6:I24" si="2">E6*H6</f>
        <v>21</v>
      </c>
      <c r="J6" s="12"/>
    </row>
    <row r="7" s="4" customFormat="1" ht="16" customHeight="1" spans="1:10">
      <c r="A7" s="12">
        <v>2</v>
      </c>
      <c r="B7" s="12" t="s">
        <v>63</v>
      </c>
      <c r="C7" s="12"/>
      <c r="D7" s="13" t="s">
        <v>15</v>
      </c>
      <c r="E7" s="13">
        <v>3</v>
      </c>
      <c r="F7" s="14">
        <f t="shared" si="0"/>
        <v>8.82352941176471</v>
      </c>
      <c r="G7" s="15">
        <f t="shared" si="1"/>
        <v>0.85</v>
      </c>
      <c r="H7" s="16">
        <v>7.5</v>
      </c>
      <c r="I7" s="16">
        <f t="shared" si="2"/>
        <v>22.5</v>
      </c>
      <c r="J7" s="12"/>
    </row>
    <row r="8" s="4" customFormat="1" ht="16" customHeight="1" spans="1:10">
      <c r="A8" s="12">
        <v>3</v>
      </c>
      <c r="B8" s="12" t="s">
        <v>64</v>
      </c>
      <c r="C8" s="12"/>
      <c r="D8" s="13" t="s">
        <v>15</v>
      </c>
      <c r="E8" s="13">
        <v>3</v>
      </c>
      <c r="F8" s="14">
        <f t="shared" si="0"/>
        <v>4.70588235294118</v>
      </c>
      <c r="G8" s="15">
        <f t="shared" si="1"/>
        <v>0.85</v>
      </c>
      <c r="H8" s="16">
        <v>4</v>
      </c>
      <c r="I8" s="16">
        <f t="shared" si="2"/>
        <v>12</v>
      </c>
      <c r="J8" s="12"/>
    </row>
    <row r="9" s="4" customFormat="1" ht="16" customHeight="1" spans="1:10">
      <c r="A9" s="12">
        <v>4</v>
      </c>
      <c r="B9" s="17" t="s">
        <v>74</v>
      </c>
      <c r="C9" s="17"/>
      <c r="D9" s="13" t="s">
        <v>15</v>
      </c>
      <c r="E9" s="13">
        <v>13</v>
      </c>
      <c r="F9" s="14">
        <f t="shared" si="0"/>
        <v>4.47058823529412</v>
      </c>
      <c r="G9" s="15">
        <f t="shared" si="1"/>
        <v>0.85</v>
      </c>
      <c r="H9" s="16">
        <v>3.8</v>
      </c>
      <c r="I9" s="16">
        <f t="shared" si="2"/>
        <v>49.4</v>
      </c>
      <c r="J9" s="12"/>
    </row>
    <row r="10" s="4" customFormat="1" ht="16" customHeight="1" spans="1:10">
      <c r="A10" s="12">
        <v>5</v>
      </c>
      <c r="B10" s="12" t="s">
        <v>104</v>
      </c>
      <c r="C10" s="12"/>
      <c r="D10" s="13" t="s">
        <v>15</v>
      </c>
      <c r="E10" s="13">
        <v>20</v>
      </c>
      <c r="F10" s="14">
        <f t="shared" si="0"/>
        <v>2.94117647058824</v>
      </c>
      <c r="G10" s="15">
        <f t="shared" si="1"/>
        <v>0.85</v>
      </c>
      <c r="H10" s="16">
        <v>2.5</v>
      </c>
      <c r="I10" s="16">
        <f t="shared" si="2"/>
        <v>50</v>
      </c>
      <c r="J10" s="12"/>
    </row>
    <row r="11" s="4" customFormat="1" ht="16" customHeight="1" spans="1:10">
      <c r="A11" s="12">
        <v>6</v>
      </c>
      <c r="B11" s="12" t="s">
        <v>25</v>
      </c>
      <c r="C11" s="12"/>
      <c r="D11" s="13" t="s">
        <v>15</v>
      </c>
      <c r="E11" s="13">
        <v>1</v>
      </c>
      <c r="F11" s="14">
        <f t="shared" si="0"/>
        <v>9.17647058823529</v>
      </c>
      <c r="G11" s="15">
        <f t="shared" si="1"/>
        <v>0.85</v>
      </c>
      <c r="H11" s="16">
        <v>7.8</v>
      </c>
      <c r="I11" s="16">
        <f t="shared" si="2"/>
        <v>7.8</v>
      </c>
      <c r="J11" s="12"/>
    </row>
    <row r="12" s="4" customFormat="1" ht="16" customHeight="1" spans="1:10">
      <c r="A12" s="12">
        <v>7</v>
      </c>
      <c r="B12" s="17" t="s">
        <v>66</v>
      </c>
      <c r="C12" s="17"/>
      <c r="D12" s="18" t="s">
        <v>15</v>
      </c>
      <c r="E12" s="18">
        <v>12</v>
      </c>
      <c r="F12" s="14">
        <f t="shared" si="0"/>
        <v>2.35294117647059</v>
      </c>
      <c r="G12" s="15">
        <f t="shared" si="1"/>
        <v>0.85</v>
      </c>
      <c r="H12" s="19">
        <v>2</v>
      </c>
      <c r="I12" s="16">
        <f t="shared" si="2"/>
        <v>24</v>
      </c>
      <c r="J12" s="17"/>
    </row>
    <row r="13" s="4" customFormat="1" ht="16" customHeight="1" spans="1:10">
      <c r="A13" s="12">
        <v>8</v>
      </c>
      <c r="B13" s="17" t="s">
        <v>116</v>
      </c>
      <c r="C13" s="17"/>
      <c r="D13" s="18" t="s">
        <v>15</v>
      </c>
      <c r="E13" s="18">
        <v>4</v>
      </c>
      <c r="F13" s="14">
        <f t="shared" si="0"/>
        <v>5.64705882352941</v>
      </c>
      <c r="G13" s="15">
        <f t="shared" si="1"/>
        <v>0.85</v>
      </c>
      <c r="H13" s="19">
        <v>4.8</v>
      </c>
      <c r="I13" s="16">
        <f t="shared" si="2"/>
        <v>19.2</v>
      </c>
      <c r="J13" s="17"/>
    </row>
    <row r="14" s="4" customFormat="1" ht="16" customHeight="1" spans="1:10">
      <c r="A14" s="12">
        <v>9</v>
      </c>
      <c r="B14" s="17" t="s">
        <v>196</v>
      </c>
      <c r="C14" s="17"/>
      <c r="D14" s="18" t="s">
        <v>15</v>
      </c>
      <c r="E14" s="18">
        <v>30.3</v>
      </c>
      <c r="F14" s="14">
        <f t="shared" si="0"/>
        <v>8</v>
      </c>
      <c r="G14" s="15">
        <f t="shared" si="1"/>
        <v>0.85</v>
      </c>
      <c r="H14" s="19">
        <v>6.8</v>
      </c>
      <c r="I14" s="16">
        <f t="shared" si="2"/>
        <v>206.04</v>
      </c>
      <c r="J14" s="17"/>
    </row>
    <row r="15" s="4" customFormat="1" ht="16" customHeight="1" spans="1:10">
      <c r="A15" s="12">
        <v>10</v>
      </c>
      <c r="B15" s="12" t="s">
        <v>26</v>
      </c>
      <c r="C15" s="12"/>
      <c r="D15" s="17" t="s">
        <v>15</v>
      </c>
      <c r="E15" s="13">
        <v>2</v>
      </c>
      <c r="F15" s="14">
        <f t="shared" si="0"/>
        <v>16.2352941176471</v>
      </c>
      <c r="G15" s="15">
        <f t="shared" si="1"/>
        <v>0.85</v>
      </c>
      <c r="H15" s="19">
        <v>13.8</v>
      </c>
      <c r="I15" s="16">
        <f t="shared" si="2"/>
        <v>27.6</v>
      </c>
      <c r="J15" s="17"/>
    </row>
    <row r="16" s="4" customFormat="1" ht="16" customHeight="1" spans="1:10">
      <c r="A16" s="12">
        <v>11</v>
      </c>
      <c r="B16" s="12" t="s">
        <v>197</v>
      </c>
      <c r="C16" s="12"/>
      <c r="D16" s="12" t="s">
        <v>15</v>
      </c>
      <c r="E16" s="13">
        <v>8</v>
      </c>
      <c r="F16" s="14">
        <f t="shared" si="0"/>
        <v>16.2352941176471</v>
      </c>
      <c r="G16" s="15">
        <f t="shared" si="1"/>
        <v>0.85</v>
      </c>
      <c r="H16" s="19">
        <v>13.8</v>
      </c>
      <c r="I16" s="16">
        <f t="shared" si="2"/>
        <v>110.4</v>
      </c>
      <c r="J16" s="17"/>
    </row>
    <row r="17" s="4" customFormat="1" ht="16" customHeight="1" spans="1:10">
      <c r="A17" s="12">
        <v>12</v>
      </c>
      <c r="B17" s="14" t="s">
        <v>107</v>
      </c>
      <c r="C17" s="14"/>
      <c r="D17" s="14" t="s">
        <v>15</v>
      </c>
      <c r="E17" s="13">
        <v>5</v>
      </c>
      <c r="F17" s="14">
        <f t="shared" si="0"/>
        <v>23.5294117647059</v>
      </c>
      <c r="G17" s="15">
        <f t="shared" si="1"/>
        <v>0.85</v>
      </c>
      <c r="H17" s="19">
        <v>20</v>
      </c>
      <c r="I17" s="16">
        <f t="shared" si="2"/>
        <v>100</v>
      </c>
      <c r="J17" s="12"/>
    </row>
    <row r="18" s="4" customFormat="1" ht="16" customHeight="1" spans="1:10">
      <c r="A18" s="12">
        <v>13</v>
      </c>
      <c r="B18" s="14" t="s">
        <v>198</v>
      </c>
      <c r="C18" s="14"/>
      <c r="D18" s="14" t="s">
        <v>32</v>
      </c>
      <c r="E18" s="13">
        <v>1</v>
      </c>
      <c r="F18" s="14">
        <f t="shared" si="0"/>
        <v>211.764705882353</v>
      </c>
      <c r="G18" s="15">
        <f t="shared" si="1"/>
        <v>0.85</v>
      </c>
      <c r="H18" s="19">
        <v>180</v>
      </c>
      <c r="I18" s="16">
        <f t="shared" si="2"/>
        <v>180</v>
      </c>
      <c r="J18" s="12"/>
    </row>
    <row r="19" s="4" customFormat="1" customHeight="1" spans="1:10">
      <c r="A19" s="12">
        <v>14</v>
      </c>
      <c r="B19" s="14" t="s">
        <v>199</v>
      </c>
      <c r="C19" s="14" t="s">
        <v>59</v>
      </c>
      <c r="D19" s="14" t="s">
        <v>15</v>
      </c>
      <c r="E19" s="13">
        <v>1</v>
      </c>
      <c r="F19" s="14">
        <f t="shared" si="0"/>
        <v>17.6470588235294</v>
      </c>
      <c r="G19" s="15">
        <f t="shared" si="1"/>
        <v>0.85</v>
      </c>
      <c r="H19" s="19">
        <v>15</v>
      </c>
      <c r="I19" s="16">
        <f t="shared" si="2"/>
        <v>15</v>
      </c>
      <c r="J19" s="14"/>
    </row>
    <row r="20" s="4" customFormat="1" customHeight="1" spans="1:10">
      <c r="A20" s="12">
        <v>15</v>
      </c>
      <c r="B20" s="14" t="s">
        <v>139</v>
      </c>
      <c r="C20" s="14" t="s">
        <v>140</v>
      </c>
      <c r="D20" s="14" t="s">
        <v>141</v>
      </c>
      <c r="E20" s="13">
        <v>10</v>
      </c>
      <c r="F20" s="14">
        <f t="shared" si="0"/>
        <v>8</v>
      </c>
      <c r="G20" s="15">
        <f t="shared" si="1"/>
        <v>0.85</v>
      </c>
      <c r="H20" s="19">
        <v>6.8</v>
      </c>
      <c r="I20" s="16">
        <f t="shared" si="2"/>
        <v>68</v>
      </c>
      <c r="J20" s="14"/>
    </row>
    <row r="21" s="4" customFormat="1" customHeight="1" spans="1:10">
      <c r="A21" s="12">
        <v>16</v>
      </c>
      <c r="B21" s="14" t="s">
        <v>200</v>
      </c>
      <c r="C21" s="14" t="s">
        <v>201</v>
      </c>
      <c r="D21" s="14" t="s">
        <v>15</v>
      </c>
      <c r="E21" s="13">
        <v>6</v>
      </c>
      <c r="F21" s="14">
        <f t="shared" si="0"/>
        <v>8</v>
      </c>
      <c r="G21" s="15">
        <f t="shared" si="1"/>
        <v>0.85</v>
      </c>
      <c r="H21" s="19">
        <v>6.8</v>
      </c>
      <c r="I21" s="16">
        <f t="shared" si="2"/>
        <v>40.8</v>
      </c>
      <c r="J21" s="14"/>
    </row>
    <row r="22" s="4" customFormat="1" customHeight="1" spans="1:10">
      <c r="A22" s="12">
        <v>17</v>
      </c>
      <c r="B22" s="14" t="s">
        <v>202</v>
      </c>
      <c r="C22" s="14" t="s">
        <v>59</v>
      </c>
      <c r="D22" s="14" t="s">
        <v>15</v>
      </c>
      <c r="E22" s="13">
        <v>2</v>
      </c>
      <c r="F22" s="14">
        <f t="shared" si="0"/>
        <v>8</v>
      </c>
      <c r="G22" s="15">
        <f t="shared" si="1"/>
        <v>0.85</v>
      </c>
      <c r="H22" s="19">
        <v>6.8</v>
      </c>
      <c r="I22" s="16">
        <f t="shared" si="2"/>
        <v>13.6</v>
      </c>
      <c r="J22" s="14"/>
    </row>
    <row r="23" s="4" customFormat="1" customHeight="1" spans="1:10">
      <c r="A23" s="12">
        <v>18</v>
      </c>
      <c r="B23" s="17" t="s">
        <v>113</v>
      </c>
      <c r="C23" s="17"/>
      <c r="D23" s="18" t="s">
        <v>15</v>
      </c>
      <c r="E23" s="18">
        <v>8</v>
      </c>
      <c r="F23" s="14">
        <f t="shared" si="0"/>
        <v>103.529411764706</v>
      </c>
      <c r="G23" s="15">
        <f t="shared" si="1"/>
        <v>0.85</v>
      </c>
      <c r="H23" s="19">
        <v>88</v>
      </c>
      <c r="I23" s="16">
        <f t="shared" si="2"/>
        <v>704</v>
      </c>
      <c r="J23" s="14"/>
    </row>
    <row r="24" s="4" customFormat="1" customHeight="1" spans="1:10">
      <c r="A24" s="12">
        <v>19</v>
      </c>
      <c r="B24" s="14"/>
      <c r="C24" s="14"/>
      <c r="D24" s="14"/>
      <c r="E24" s="13"/>
      <c r="F24" s="14"/>
      <c r="G24" s="15"/>
      <c r="H24" s="19"/>
      <c r="I24" s="16"/>
      <c r="J24" s="14"/>
    </row>
    <row r="25" s="4" customFormat="1" customHeight="1" spans="1:10">
      <c r="A25" s="12">
        <v>20</v>
      </c>
      <c r="B25" s="17"/>
      <c r="C25" s="17"/>
      <c r="D25" s="18"/>
      <c r="E25" s="18"/>
      <c r="F25" s="14"/>
      <c r="G25" s="15"/>
      <c r="H25" s="19"/>
      <c r="I25" s="16"/>
      <c r="J25" s="14"/>
    </row>
    <row r="26" s="4" customFormat="1" customHeight="1" spans="1:10">
      <c r="A26" s="12">
        <v>21</v>
      </c>
      <c r="B26" s="14"/>
      <c r="C26" s="14"/>
      <c r="D26" s="14"/>
      <c r="E26" s="13"/>
      <c r="F26" s="14"/>
      <c r="G26" s="15"/>
      <c r="H26" s="19"/>
      <c r="I26" s="16"/>
      <c r="J26" s="14"/>
    </row>
    <row r="27" s="4" customFormat="1" customHeight="1" spans="1:10">
      <c r="A27" s="12">
        <v>22</v>
      </c>
      <c r="B27" s="14"/>
      <c r="C27" s="14"/>
      <c r="D27" s="14"/>
      <c r="E27" s="13"/>
      <c r="F27" s="14"/>
      <c r="G27" s="15"/>
      <c r="H27" s="19"/>
      <c r="I27" s="16"/>
      <c r="J27" s="14"/>
    </row>
    <row r="28" s="4" customFormat="1" customHeight="1" spans="1:10">
      <c r="A28" s="12">
        <v>23</v>
      </c>
      <c r="B28" s="14"/>
      <c r="C28" s="14"/>
      <c r="D28" s="14"/>
      <c r="E28" s="13"/>
      <c r="F28" s="14"/>
      <c r="G28" s="15"/>
      <c r="H28" s="19"/>
      <c r="I28" s="16"/>
      <c r="J28" s="14"/>
    </row>
    <row r="29" s="4" customFormat="1" customHeight="1" spans="1:10">
      <c r="A29" s="12">
        <v>24</v>
      </c>
      <c r="B29" s="14"/>
      <c r="C29" s="14"/>
      <c r="D29" s="14"/>
      <c r="E29" s="13"/>
      <c r="F29" s="14"/>
      <c r="G29" s="15"/>
      <c r="H29" s="19"/>
      <c r="I29" s="16"/>
      <c r="J29" s="14"/>
    </row>
    <row r="30" s="4" customFormat="1" customHeight="1" spans="1:10">
      <c r="A30" s="12">
        <v>25</v>
      </c>
      <c r="B30" s="14"/>
      <c r="C30" s="14"/>
      <c r="D30" s="14"/>
      <c r="E30" s="13"/>
      <c r="F30" s="14"/>
      <c r="G30" s="15"/>
      <c r="H30" s="19"/>
      <c r="I30" s="16"/>
      <c r="J30" s="14"/>
    </row>
    <row r="31" s="4" customFormat="1" customHeight="1" spans="1:10">
      <c r="A31" s="12">
        <v>26</v>
      </c>
      <c r="B31" s="14"/>
      <c r="C31" s="14"/>
      <c r="D31" s="14"/>
      <c r="E31" s="13"/>
      <c r="F31" s="14"/>
      <c r="G31" s="15"/>
      <c r="H31" s="19"/>
      <c r="I31" s="16"/>
      <c r="J31" s="14"/>
    </row>
    <row r="32" s="4" customFormat="1" customHeight="1" spans="1:10">
      <c r="A32" s="12">
        <v>27</v>
      </c>
      <c r="B32" s="14"/>
      <c r="C32" s="14"/>
      <c r="D32" s="14"/>
      <c r="E32" s="13"/>
      <c r="F32" s="14"/>
      <c r="G32" s="15"/>
      <c r="H32" s="19"/>
      <c r="I32" s="16"/>
      <c r="J32" s="14"/>
    </row>
    <row r="33" s="4" customFormat="1" customHeight="1" spans="1:10">
      <c r="A33" s="12" t="s">
        <v>37</v>
      </c>
      <c r="B33" s="20">
        <f>SUM(I6:I32)</f>
        <v>1671.34</v>
      </c>
      <c r="C33" s="21"/>
      <c r="D33" s="21"/>
      <c r="E33" s="22"/>
      <c r="F33" s="21"/>
      <c r="G33" s="21"/>
      <c r="H33" s="21"/>
      <c r="I33" s="21"/>
      <c r="J33" s="25"/>
    </row>
    <row r="34" s="4" customFormat="1" customHeight="1" spans="1:10">
      <c r="A34" s="12" t="s">
        <v>38</v>
      </c>
      <c r="B34" s="23">
        <f>B33</f>
        <v>1671.34</v>
      </c>
      <c r="C34" s="24"/>
      <c r="D34" s="24"/>
      <c r="E34" s="22"/>
      <c r="F34" s="24"/>
      <c r="G34" s="24"/>
      <c r="H34" s="24"/>
      <c r="I34" s="24"/>
      <c r="J34" s="26"/>
    </row>
    <row r="35" s="4" customFormat="1" customHeight="1" spans="1:5">
      <c r="A35" s="4" t="s">
        <v>39</v>
      </c>
      <c r="E35" s="5"/>
    </row>
  </sheetData>
  <sortState ref="A15:I26">
    <sortCondition ref="A15"/>
  </sortState>
  <mergeCells count="4">
    <mergeCell ref="A1:J1"/>
    <mergeCell ref="B33:J33"/>
    <mergeCell ref="B34:J34"/>
    <mergeCell ref="A35:J35"/>
  </mergeCells>
  <conditionalFormatting sqref="B6:B32">
    <cfRule type="duplicateValues" dxfId="0" priority="2"/>
  </conditionalFormatting>
  <conditionalFormatting sqref="B1:B32 B35:B1048576">
    <cfRule type="duplicateValues" dxfId="0" priority="1"/>
  </conditionalFormatting>
  <conditionalFormatting sqref="B6:C16">
    <cfRule type="duplicateValues" dxfId="0" priority="3"/>
  </conditionalFormatting>
  <pageMargins left="0.751388888888889" right="0.751388888888889" top="0.409027777777778" bottom="0.2125" header="0.5" footer="0.5"/>
  <pageSetup paperSize="9" scale="93" orientation="portrait" horizontalDpi="6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topLeftCell="A16" workbookViewId="0">
      <selection activeCell="D18" sqref="D17:D18"/>
    </sheetView>
  </sheetViews>
  <sheetFormatPr defaultColWidth="9" defaultRowHeight="13.5" outlineLevelCol="6"/>
  <cols>
    <col min="1" max="1" width="11.5"/>
    <col min="2" max="2" width="10.375"/>
  </cols>
  <sheetData>
    <row r="1" spans="1:1">
      <c r="A1" t="s">
        <v>203</v>
      </c>
    </row>
    <row r="2" spans="1:2">
      <c r="A2" s="1" t="s">
        <v>204</v>
      </c>
      <c r="B2" s="1" t="s">
        <v>205</v>
      </c>
    </row>
    <row r="3" spans="1:2">
      <c r="A3" s="2">
        <v>45231</v>
      </c>
      <c r="B3">
        <f>'1'!B32</f>
        <v>1889.8</v>
      </c>
    </row>
    <row r="4" spans="1:2">
      <c r="A4" s="2">
        <v>45232</v>
      </c>
      <c r="B4">
        <f>'2'!B32</f>
        <v>1755.74</v>
      </c>
    </row>
    <row r="5" spans="1:2">
      <c r="A5" s="2">
        <v>45233</v>
      </c>
      <c r="B5">
        <f>'3'!B34</f>
        <v>1155.15</v>
      </c>
    </row>
    <row r="6" spans="1:2">
      <c r="A6" s="2">
        <v>45234</v>
      </c>
      <c r="B6">
        <v>0</v>
      </c>
    </row>
    <row r="7" spans="1:2">
      <c r="A7" s="2">
        <v>45235</v>
      </c>
      <c r="B7">
        <v>0</v>
      </c>
    </row>
    <row r="8" spans="1:2">
      <c r="A8" s="2">
        <v>45236</v>
      </c>
      <c r="B8">
        <f>'6'!B32</f>
        <v>2047.4</v>
      </c>
    </row>
    <row r="9" spans="1:2">
      <c r="A9" s="2">
        <v>45237</v>
      </c>
      <c r="B9">
        <f>'7'!B34</f>
        <v>1140.8</v>
      </c>
    </row>
    <row r="10" spans="1:2">
      <c r="A10" s="2">
        <v>45238</v>
      </c>
      <c r="B10">
        <f>'8'!B34</f>
        <v>1054.1</v>
      </c>
    </row>
    <row r="11" spans="1:2">
      <c r="A11" s="2">
        <v>45239</v>
      </c>
      <c r="B11">
        <f>'9'!B33</f>
        <v>1277.7</v>
      </c>
    </row>
    <row r="12" spans="1:2">
      <c r="A12" s="2">
        <v>45240</v>
      </c>
      <c r="B12">
        <f>'10'!B33</f>
        <v>1452.34</v>
      </c>
    </row>
    <row r="13" spans="1:2">
      <c r="A13" s="2">
        <v>45241</v>
      </c>
      <c r="B13">
        <v>0</v>
      </c>
    </row>
    <row r="14" spans="1:2">
      <c r="A14" s="2">
        <v>45242</v>
      </c>
      <c r="B14">
        <v>0</v>
      </c>
    </row>
    <row r="15" spans="1:2">
      <c r="A15" s="2">
        <v>45243</v>
      </c>
      <c r="B15">
        <f>'13'!B34</f>
        <v>1721.14</v>
      </c>
    </row>
    <row r="16" spans="1:2">
      <c r="A16" s="2">
        <v>45244</v>
      </c>
      <c r="B16">
        <f>'14'!B33</f>
        <v>1417.65</v>
      </c>
    </row>
    <row r="17" spans="1:2">
      <c r="A17" s="2">
        <v>45245</v>
      </c>
      <c r="B17">
        <f>'15'!B34</f>
        <v>1957.26</v>
      </c>
    </row>
    <row r="18" spans="1:2">
      <c r="A18" s="2">
        <v>45246</v>
      </c>
      <c r="B18">
        <f>'16'!B33</f>
        <v>1940.4</v>
      </c>
    </row>
    <row r="19" spans="1:2">
      <c r="A19" s="2">
        <v>45247</v>
      </c>
      <c r="B19">
        <f>'17'!B34</f>
        <v>669.1</v>
      </c>
    </row>
    <row r="20" spans="1:2">
      <c r="A20" s="2">
        <v>45248</v>
      </c>
      <c r="B20">
        <v>0</v>
      </c>
    </row>
    <row r="21" spans="1:2">
      <c r="A21" s="2">
        <v>45249</v>
      </c>
      <c r="B21">
        <v>0</v>
      </c>
    </row>
    <row r="22" spans="1:2">
      <c r="A22" s="2">
        <v>45250</v>
      </c>
      <c r="B22">
        <f>'20.'!B34</f>
        <v>2035.5</v>
      </c>
    </row>
    <row r="23" spans="1:2">
      <c r="A23" s="2">
        <v>45251</v>
      </c>
      <c r="B23">
        <f>'21.'!B34</f>
        <v>2069.2</v>
      </c>
    </row>
    <row r="24" spans="1:2">
      <c r="A24" s="2">
        <v>45252</v>
      </c>
      <c r="B24">
        <f>'22'!B33</f>
        <v>2063.6</v>
      </c>
    </row>
    <row r="25" spans="1:2">
      <c r="A25" s="2">
        <v>45253</v>
      </c>
      <c r="B25">
        <f>'23'!B33</f>
        <v>2304.91</v>
      </c>
    </row>
    <row r="26" spans="1:2">
      <c r="A26" s="2">
        <v>45254</v>
      </c>
      <c r="B26">
        <f>'24'!B34</f>
        <v>1519.4</v>
      </c>
    </row>
    <row r="27" spans="1:2">
      <c r="A27" s="2">
        <v>45255</v>
      </c>
      <c r="B27">
        <v>0</v>
      </c>
    </row>
    <row r="28" spans="1:2">
      <c r="A28" s="2">
        <v>45256</v>
      </c>
      <c r="B28">
        <v>0</v>
      </c>
    </row>
    <row r="29" spans="1:2">
      <c r="A29" s="2">
        <v>45257</v>
      </c>
      <c r="B29">
        <f>'27'!B34</f>
        <v>925.8</v>
      </c>
    </row>
    <row r="30" spans="1:2">
      <c r="A30" s="2">
        <v>45258</v>
      </c>
      <c r="B30">
        <f>'28'!B33</f>
        <v>1799.15</v>
      </c>
    </row>
    <row r="31" spans="1:2">
      <c r="A31" s="2">
        <v>45259</v>
      </c>
      <c r="B31">
        <f>'29'!B31</f>
        <v>2097.5</v>
      </c>
    </row>
    <row r="32" spans="1:2">
      <c r="A32" s="2">
        <v>45260</v>
      </c>
      <c r="B32">
        <f>'30'!B33</f>
        <v>1671.34</v>
      </c>
    </row>
    <row r="33" spans="1:2">
      <c r="A33" t="s">
        <v>206</v>
      </c>
      <c r="B33">
        <f>SUM(B3:B32)</f>
        <v>35964.98</v>
      </c>
    </row>
    <row r="40" spans="7:7">
      <c r="G40" s="3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</vt:lpstr>
      <vt:lpstr>2</vt:lpstr>
      <vt:lpstr>3</vt:lpstr>
      <vt:lpstr>6</vt:lpstr>
      <vt:lpstr>7</vt:lpstr>
      <vt:lpstr>8</vt:lpstr>
      <vt:lpstr>9</vt:lpstr>
      <vt:lpstr>10</vt:lpstr>
      <vt:lpstr>13</vt:lpstr>
      <vt:lpstr>14</vt:lpstr>
      <vt:lpstr>15</vt:lpstr>
      <vt:lpstr>16</vt:lpstr>
      <vt:lpstr>17</vt:lpstr>
      <vt:lpstr>20.</vt:lpstr>
      <vt:lpstr>21.</vt:lpstr>
      <vt:lpstr>22</vt:lpstr>
      <vt:lpstr>23</vt:lpstr>
      <vt:lpstr>24</vt:lpstr>
      <vt:lpstr>27</vt:lpstr>
      <vt:lpstr>28</vt:lpstr>
      <vt:lpstr>29</vt:lpstr>
      <vt:lpstr>30</vt:lpstr>
      <vt:lpstr>11月合计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罗小丽</cp:lastModifiedBy>
  <dcterms:created xsi:type="dcterms:W3CDTF">2023-07-03T11:11:00Z</dcterms:created>
  <dcterms:modified xsi:type="dcterms:W3CDTF">2025-02-15T02:59:54Z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0E1C7AE3AB9D456B9C34B9011364F17E_11</vt:lpwstr>
  </property>
  <property fmtid="{D5CDD505-2E9C-101B-9397-08002B2CF9AE}" pid="3" name="KSOProductBuildVer">
    <vt:lpwstr>2052-12.1.0.19770</vt:lpwstr>
  </property>
</Properties>
</file>