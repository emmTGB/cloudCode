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tabRatio="913" firstSheet="12" activeTab="6"/>
  </bookViews>
  <sheets>
    <sheet name="1" sheetId="61" r:id="rId1"/>
    <sheet name="4" sheetId="6" r:id="rId2"/>
    <sheet name="5" sheetId="41" r:id="rId3"/>
    <sheet name="6" sheetId="63" r:id="rId4"/>
    <sheet name="7" sheetId="67" r:id="rId5"/>
    <sheet name="8" sheetId="68" r:id="rId6"/>
    <sheet name="3月合计" sheetId="7" r:id="rId7"/>
    <sheet name="11" sheetId="69" r:id="rId8"/>
    <sheet name="12" sheetId="70" r:id="rId9"/>
    <sheet name="13" sheetId="71" r:id="rId10"/>
    <sheet name="14" sheetId="72" r:id="rId11"/>
    <sheet name="15" sheetId="73" r:id="rId12"/>
    <sheet name="18" sheetId="74" r:id="rId13"/>
    <sheet name="19" sheetId="75" r:id="rId14"/>
    <sheet name="20" sheetId="76" r:id="rId15"/>
    <sheet name="21" sheetId="77" r:id="rId16"/>
    <sheet name="22" sheetId="78" r:id="rId17"/>
    <sheet name="25" sheetId="79" r:id="rId18"/>
    <sheet name="26" sheetId="80" r:id="rId19"/>
    <sheet name="27" sheetId="81" r:id="rId20"/>
    <sheet name="28" sheetId="82" r:id="rId21"/>
    <sheet name="29" sheetId="83" r:id="rId22"/>
    <sheet name="合计" sheetId="84" r:id="rId23"/>
  </sheets>
  <definedNames>
    <definedName name="_xlnm.Print_Area" localSheetId="1">'4'!$A$1:$J$36</definedName>
    <definedName name="_xlnm.Print_Area" localSheetId="2">'5'!$A$1:$J$36</definedName>
    <definedName name="_xlnm.Print_Area" localSheetId="0">'1'!$A$1:$J$37</definedName>
    <definedName name="_xlnm.Print_Area" localSheetId="3">'6'!$A$1:$J$36</definedName>
    <definedName name="_xlnm.Print_Area" localSheetId="4">'7'!$A$1:$J$36</definedName>
    <definedName name="_xlnm.Print_Area" localSheetId="5">'8'!$A$1:$J$36</definedName>
    <definedName name="_xlnm._FilterDatabase" localSheetId="4" hidden="1">'7'!$A$6:$J$6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<sst xmlns="http://schemas.openxmlformats.org/spreadsheetml/2006/main" count="1212" uniqueCount="277">
  <si>
    <t>武汉康恩农贸发展有限公司送货单</t>
  </si>
  <si>
    <t>收货单位：</t>
  </si>
  <si>
    <t>汉南数智化检测分公司</t>
  </si>
  <si>
    <t>配送日期：</t>
  </si>
  <si>
    <t>序号</t>
  </si>
  <si>
    <t>名称</t>
  </si>
  <si>
    <t>规格</t>
  </si>
  <si>
    <t>单位</t>
  </si>
  <si>
    <t>数量</t>
  </si>
  <si>
    <t>超市价格</t>
  </si>
  <si>
    <t>折扣率</t>
  </si>
  <si>
    <t>折后价</t>
  </si>
  <si>
    <t>折后金额</t>
  </si>
  <si>
    <t>备注</t>
  </si>
  <si>
    <t>（新鲜）河粉</t>
  </si>
  <si>
    <t>斤</t>
  </si>
  <si>
    <t>饺子皮</t>
  </si>
  <si>
    <t>热干面（熟）</t>
  </si>
  <si>
    <t>大葱</t>
  </si>
  <si>
    <t>白萝卜</t>
  </si>
  <si>
    <t>红椒</t>
  </si>
  <si>
    <t>甜玉米棒</t>
  </si>
  <si>
    <t>个</t>
  </si>
  <si>
    <t>笋瓜</t>
  </si>
  <si>
    <t>净泥蒿（去叶）</t>
  </si>
  <si>
    <t>菠菜</t>
  </si>
  <si>
    <t>橙子</t>
  </si>
  <si>
    <t>【鲜】五花肉沫</t>
  </si>
  <si>
    <t>【鲜】猪瘦肉片</t>
  </si>
  <si>
    <t>【鲜】猪通排骨</t>
  </si>
  <si>
    <t>后腿腊肉</t>
  </si>
  <si>
    <t>顺发鸡翅中</t>
  </si>
  <si>
    <t>1kg*10袋/件</t>
  </si>
  <si>
    <t>袋</t>
  </si>
  <si>
    <t>鑫怡久久海带头</t>
  </si>
  <si>
    <t>9KG/件</t>
  </si>
  <si>
    <t>光明新鲜牧场鲜奶</t>
  </si>
  <si>
    <t>200ml</t>
  </si>
  <si>
    <t>杯</t>
  </si>
  <si>
    <t>统一可口可乐2L</t>
  </si>
  <si>
    <t>2L*6瓶/箱</t>
  </si>
  <si>
    <t>瓶</t>
  </si>
  <si>
    <t>供货合计:</t>
  </si>
  <si>
    <t>金额大写：</t>
  </si>
  <si>
    <t>制表人 ：樊君丽                 收货人：                送货人：</t>
  </si>
  <si>
    <t>馄饨皮</t>
  </si>
  <si>
    <t>小葱</t>
  </si>
  <si>
    <t>黄豆芽</t>
  </si>
  <si>
    <t>大藕</t>
  </si>
  <si>
    <t>蒜苗</t>
  </si>
  <si>
    <t>芜湖青椒</t>
  </si>
  <si>
    <t>海鲜菇</t>
  </si>
  <si>
    <t>白菜苔</t>
  </si>
  <si>
    <t>细土芹</t>
  </si>
  <si>
    <t>金龙鱼玉米油</t>
  </si>
  <si>
    <t>5L*4壶/件</t>
  </si>
  <si>
    <t>件</t>
  </si>
  <si>
    <t>正和珍珠糯米</t>
  </si>
  <si>
    <t>50斤/袋</t>
  </si>
  <si>
    <t>光明健能酸奶180g</t>
  </si>
  <si>
    <t>180g</t>
  </si>
  <si>
    <t>卤牛肉</t>
  </si>
  <si>
    <t>手撕鸡</t>
  </si>
  <si>
    <t>只</t>
  </si>
  <si>
    <t>高筋面粉</t>
  </si>
  <si>
    <t>50斤/1包</t>
  </si>
  <si>
    <t>青豆角</t>
  </si>
  <si>
    <t>大红薯</t>
  </si>
  <si>
    <t>铁棍山药</t>
  </si>
  <si>
    <t>西红柿</t>
  </si>
  <si>
    <t>西芹</t>
  </si>
  <si>
    <t>紫长茄子（细长）</t>
  </si>
  <si>
    <t>紫薯</t>
  </si>
  <si>
    <t>鲜香菇</t>
  </si>
  <si>
    <t>小白菜</t>
  </si>
  <si>
    <t>油麦菜</t>
  </si>
  <si>
    <t>香梨</t>
  </si>
  <si>
    <t>红壳鸡蛋</t>
  </si>
  <si>
    <t>12板/件</t>
  </si>
  <si>
    <t>【鲜】精品五花</t>
  </si>
  <si>
    <t>【鲜】猪脊骨</t>
  </si>
  <si>
    <t>【鲜】净大草鱼</t>
  </si>
  <si>
    <t>稻香园干黑豆豉</t>
  </si>
  <si>
    <t>100g</t>
  </si>
  <si>
    <t>干黄豆</t>
  </si>
  <si>
    <t>50斤/件</t>
  </si>
  <si>
    <t>干细粉</t>
  </si>
  <si>
    <t>散称</t>
  </si>
  <si>
    <t>生面窝浆</t>
  </si>
  <si>
    <t>青大蒜</t>
  </si>
  <si>
    <t>胡萝卜</t>
  </si>
  <si>
    <t>冬瓜</t>
  </si>
  <si>
    <t>生菜</t>
  </si>
  <si>
    <t>薄干子</t>
  </si>
  <si>
    <t>【鲜】牛腩</t>
  </si>
  <si>
    <t>【鲜】猪后腿肉</t>
  </si>
  <si>
    <t>黄冰糖</t>
  </si>
  <si>
    <t>泡冬笋</t>
  </si>
  <si>
    <t>永超榨菜</t>
  </si>
  <si>
    <t>8斤</t>
  </si>
  <si>
    <t>蒜米</t>
  </si>
  <si>
    <t>大土豆</t>
  </si>
  <si>
    <t>西兰花</t>
  </si>
  <si>
    <t>平菇</t>
  </si>
  <si>
    <t>大白菜</t>
  </si>
  <si>
    <t>香蕉</t>
  </si>
  <si>
    <t>熟鹌鹑蛋</t>
  </si>
  <si>
    <t>辣椒王(节)</t>
  </si>
  <si>
    <t>辣椒王(面)</t>
  </si>
  <si>
    <t>南德调味料</t>
  </si>
  <si>
    <t>150g*46袋</t>
  </si>
  <si>
    <t>王守义十三香</t>
  </si>
  <si>
    <t>45g*10盒/条</t>
  </si>
  <si>
    <t>条</t>
  </si>
  <si>
    <t>卤牛肚</t>
  </si>
  <si>
    <t>卤牛骨头</t>
  </si>
  <si>
    <t>黄瓜</t>
  </si>
  <si>
    <t>口蘑</t>
  </si>
  <si>
    <t>韭菜</t>
  </si>
  <si>
    <t>平包菜</t>
  </si>
  <si>
    <t>油炸豆腐泡</t>
  </si>
  <si>
    <t>鲜羊蝎子</t>
  </si>
  <si>
    <t>初荷白糖方糕</t>
  </si>
  <si>
    <t>540g*15袋/件</t>
  </si>
  <si>
    <t>39号食堂</t>
  </si>
  <si>
    <t>日期</t>
  </si>
  <si>
    <t>金额</t>
  </si>
  <si>
    <t>合计</t>
  </si>
  <si>
    <t>品名</t>
  </si>
  <si>
    <t>超市价</t>
  </si>
  <si>
    <t>生姜</t>
  </si>
  <si>
    <t>盐</t>
  </si>
  <si>
    <t>500g</t>
  </si>
  <si>
    <t>包</t>
  </si>
  <si>
    <t>藕</t>
  </si>
  <si>
    <t>东北酸菜</t>
  </si>
  <si>
    <t>新鲜排骨</t>
  </si>
  <si>
    <t>青椒</t>
  </si>
  <si>
    <t>【精】猪里脊瘦肉丝</t>
  </si>
  <si>
    <t>净乌鸡块</t>
  </si>
  <si>
    <t>4只</t>
  </si>
  <si>
    <t>红辣椒</t>
  </si>
  <si>
    <t>50根</t>
  </si>
  <si>
    <t>鲜五花肉沫</t>
  </si>
  <si>
    <t>玉米</t>
  </si>
  <si>
    <t>根</t>
  </si>
  <si>
    <t>红薯</t>
  </si>
  <si>
    <t>河粉</t>
  </si>
  <si>
    <t>香脆炸粉</t>
  </si>
  <si>
    <t>焙烤调理奶</t>
  </si>
  <si>
    <t>特仑苏纯牛奶</t>
  </si>
  <si>
    <t>每日鲜语鲜奶</t>
  </si>
  <si>
    <t>牛腩</t>
  </si>
  <si>
    <t>酸豆角</t>
  </si>
  <si>
    <t>茄子</t>
  </si>
  <si>
    <t>简醇酸牛奶</t>
  </si>
  <si>
    <t>250g</t>
  </si>
  <si>
    <t>干豆丝</t>
  </si>
  <si>
    <t>香葱</t>
  </si>
  <si>
    <t>去核红枣</t>
  </si>
  <si>
    <t>海天耗油</t>
  </si>
  <si>
    <t>6kg</t>
  </si>
  <si>
    <t>罐</t>
  </si>
  <si>
    <t>鸡翅中</t>
  </si>
  <si>
    <t>嫩豆腐</t>
  </si>
  <si>
    <t>包菜</t>
  </si>
  <si>
    <t>净鱼头</t>
  </si>
  <si>
    <t>东北稻花香大米</t>
  </si>
  <si>
    <t>50斤</t>
  </si>
  <si>
    <t>金龙鱼纯正玉米油</t>
  </si>
  <si>
    <t>5L*4</t>
  </si>
  <si>
    <t>净草鱼</t>
  </si>
  <si>
    <t>净重15斤</t>
  </si>
  <si>
    <t>【净】鲜三黄鸡</t>
  </si>
  <si>
    <t>2只</t>
  </si>
  <si>
    <t>现磨生面窝浆</t>
  </si>
  <si>
    <t>桂林米粉</t>
  </si>
  <si>
    <t>芦笋</t>
  </si>
  <si>
    <t>新鲜百合</t>
  </si>
  <si>
    <t>核桃仁</t>
  </si>
  <si>
    <t>玉女果（小番茄）</t>
  </si>
  <si>
    <t>新鲜净虾仁</t>
  </si>
  <si>
    <t>有芝有老酸奶</t>
  </si>
  <si>
    <t>鳝鱼</t>
  </si>
  <si>
    <t>【里脊】鲜牛肉</t>
  </si>
  <si>
    <t>袋装娃娃菜</t>
  </si>
  <si>
    <t>青杭椒</t>
  </si>
  <si>
    <t>红杭椒</t>
  </si>
  <si>
    <t>细芹菜</t>
  </si>
  <si>
    <t>薄千张</t>
  </si>
  <si>
    <t>绿豆芽</t>
  </si>
  <si>
    <t>【精】猪瘦肉片</t>
  </si>
  <si>
    <t>金针菇</t>
  </si>
  <si>
    <t>鲜鸡脯肉</t>
  </si>
  <si>
    <t>肉炸元子</t>
  </si>
  <si>
    <t>新鲜平菇</t>
  </si>
  <si>
    <t>糯米</t>
  </si>
  <si>
    <t>三象牌糯米粉</t>
  </si>
  <si>
    <t>1kg</t>
  </si>
  <si>
    <t>爆浆糍粑</t>
  </si>
  <si>
    <t>1*12</t>
  </si>
  <si>
    <t>鲜活基围虾</t>
  </si>
  <si>
    <t>鲜茶树菇</t>
  </si>
  <si>
    <t>蒙古牛肉</t>
  </si>
  <si>
    <t>苹果</t>
  </si>
  <si>
    <t>60个</t>
  </si>
  <si>
    <t>特仑苏牛奶</t>
  </si>
  <si>
    <t>250ml</t>
  </si>
  <si>
    <t>三色杂粮</t>
  </si>
  <si>
    <t>玉米片</t>
  </si>
  <si>
    <t>红油郫县豆瓣酱</t>
  </si>
  <si>
    <t>4kg</t>
  </si>
  <si>
    <t>桶</t>
  </si>
  <si>
    <t>清水笋</t>
  </si>
  <si>
    <t>2kg</t>
  </si>
  <si>
    <t>超级生粉</t>
  </si>
  <si>
    <t>1.9kg</t>
  </si>
  <si>
    <t>新土豆</t>
  </si>
  <si>
    <t>45个</t>
  </si>
  <si>
    <t>菠萝（削皮）</t>
  </si>
  <si>
    <t>新鲜海带</t>
  </si>
  <si>
    <t>黄豆</t>
  </si>
  <si>
    <t>麻鸭</t>
  </si>
  <si>
    <t>6只</t>
  </si>
  <si>
    <t>净莴苣</t>
  </si>
  <si>
    <t>净芋头</t>
  </si>
  <si>
    <t>剥皮、小</t>
  </si>
  <si>
    <t>白米粉</t>
  </si>
  <si>
    <t>粗</t>
  </si>
  <si>
    <t>精品五花肉片</t>
  </si>
  <si>
    <t>四季豆</t>
  </si>
  <si>
    <t>广东菜心</t>
  </si>
  <si>
    <t>20根</t>
  </si>
  <si>
    <t>鲫鱼</t>
  </si>
  <si>
    <t>特仑苏纯奶</t>
  </si>
  <si>
    <t>千叶豆腐</t>
  </si>
  <si>
    <t>光明健能酸奶</t>
  </si>
  <si>
    <t>紫菜</t>
  </si>
  <si>
    <t>羊脊骨</t>
  </si>
  <si>
    <t>宽粉</t>
  </si>
  <si>
    <t>海天蒸鱼豉油</t>
  </si>
  <si>
    <t>1.6L*6</t>
  </si>
  <si>
    <t>草菇老抽</t>
  </si>
  <si>
    <t>1.9L*6</t>
  </si>
  <si>
    <t>海天陈醋</t>
  </si>
  <si>
    <t>1.75L*6</t>
  </si>
  <si>
    <t>鲜</t>
  </si>
  <si>
    <t>精品五花肉</t>
  </si>
  <si>
    <t>60根</t>
  </si>
  <si>
    <t>福达坊纯正玉米油</t>
  </si>
  <si>
    <t>天车甜面酱</t>
  </si>
  <si>
    <t>黄灯笼辣椒酱</t>
  </si>
  <si>
    <t>700g</t>
  </si>
  <si>
    <t>新鲜蚕豆米</t>
  </si>
  <si>
    <t>巴沙鱼</t>
  </si>
  <si>
    <t>泡萝卜</t>
  </si>
  <si>
    <t>薄香干</t>
  </si>
  <si>
    <t>友芝友老酸奶</t>
  </si>
  <si>
    <t>鹌鹑蛋（熟）</t>
  </si>
  <si>
    <t>糖纳蜜小红豆</t>
  </si>
  <si>
    <t>40个</t>
  </si>
  <si>
    <t>蒜头</t>
  </si>
  <si>
    <t>洋葱</t>
  </si>
  <si>
    <t>小汤圆</t>
  </si>
  <si>
    <t>手工风干广式香肠</t>
  </si>
  <si>
    <t>干香菇</t>
  </si>
  <si>
    <t>冬笋</t>
  </si>
  <si>
    <t>鲜羊肉(纯肉去骨)</t>
  </si>
  <si>
    <t>丝瓜</t>
  </si>
  <si>
    <t>鱼丸</t>
  </si>
  <si>
    <t>散称米酒</t>
  </si>
  <si>
    <t>燕麦</t>
  </si>
  <si>
    <t>小米</t>
  </si>
  <si>
    <t>焙烤调理奶（蛋挞液）</t>
  </si>
  <si>
    <t>907ml*12瓶/件</t>
  </si>
  <si>
    <t>3.20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</si>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</sst>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[DBNum2][$RMB]General;[Red][DBNum2][$RMB]General"/>
  </numFmts>
  <fonts count="3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仿宋"/>
      <charset val="134"/>
    </font>
    <font>
      <b/>
      <sz val="10"/>
      <color rgb="FFFF0000"/>
      <name val="仿宋"/>
      <charset val="134"/>
    </font>
    <font>
      <sz val="10"/>
      <color theme="1"/>
      <name val="仿宋"/>
      <charset val="134"/>
    </font>
    <font>
      <sz val="10"/>
      <color rgb="FFFF0000"/>
      <name val="仿宋"/>
      <charset val="134"/>
    </font>
    <font>
      <sz val="10"/>
      <name val="仿宋"/>
      <charset val="134"/>
    </font>
    <font>
      <u/>
      <sz val="10"/>
      <color rgb="FFFF0000"/>
      <name val="仿宋"/>
      <charset val="134"/>
    </font>
    <font>
      <b/>
      <sz val="10"/>
      <name val="仿宋"/>
      <charset val="134"/>
    </font>
    <font>
      <sz val="10"/>
      <color rgb="FF000000"/>
      <name val="仿宋"/>
      <charset val="134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9" fontId="3" fillId="0" borderId="0" xfId="0" applyNumberFormat="1" applyFont="1" applyBorder="1" applyAlignment="1">
      <alignment horizontal="center" vertical="center"/>
    </xf>
    <xf numFmtId="43" fontId="3" fillId="0" borderId="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43" fontId="3" fillId="0" borderId="2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vertical="center"/>
    </xf>
    <xf numFmtId="43" fontId="4" fillId="0" borderId="1" xfId="0" applyNumberFormat="1" applyFont="1" applyBorder="1" applyAlignment="1">
      <alignment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43" fontId="4" fillId="0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9" fontId="4" fillId="0" borderId="1" xfId="0" applyNumberFormat="1" applyFont="1" applyFill="1" applyBorder="1" applyAlignment="1">
      <alignment horizontal="center" vertical="center"/>
    </xf>
    <xf numFmtId="43" fontId="4" fillId="0" borderId="1" xfId="0" applyNumberFormat="1" applyFont="1" applyFill="1" applyBorder="1" applyAlignment="1">
      <alignment horizontal="center" vertical="center"/>
    </xf>
    <xf numFmtId="43" fontId="4" fillId="0" borderId="0" xfId="0" applyNumberFormat="1" applyFont="1" applyAlignment="1">
      <alignment vertical="center"/>
    </xf>
    <xf numFmtId="176" fontId="4" fillId="0" borderId="1" xfId="0" applyNumberFormat="1" applyFont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43" fontId="6" fillId="0" borderId="1" xfId="0" applyNumberFormat="1" applyFon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0" fontId="4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9" fontId="9" fillId="0" borderId="1" xfId="0" applyNumberFormat="1" applyFont="1" applyFill="1" applyBorder="1" applyAlignment="1">
      <alignment horizontal="center" vertical="center"/>
    </xf>
    <xf numFmtId="43" fontId="9" fillId="0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9" fontId="4" fillId="0" borderId="0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NumberFormat="1" applyFont="1" applyFill="1" applyAlignment="1">
      <alignment vertical="center"/>
    </xf>
    <xf numFmtId="0" fontId="10" fillId="0" borderId="0" xfId="0" applyFont="1" applyFill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/>
    </xf>
    <xf numFmtId="14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9" fontId="10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7" fontId="10" fillId="0" borderId="2" xfId="0" applyNumberFormat="1" applyFont="1" applyFill="1" applyBorder="1" applyAlignment="1">
      <alignment horizontal="center" vertical="center"/>
    </xf>
    <xf numFmtId="177" fontId="10" fillId="0" borderId="3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178" fontId="10" fillId="0" borderId="2" xfId="0" applyNumberFormat="1" applyFont="1" applyFill="1" applyBorder="1" applyAlignment="1">
      <alignment horizontal="center" vertical="center"/>
    </xf>
    <xf numFmtId="178" fontId="10" fillId="0" borderId="3" xfId="0" applyNumberFormat="1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178" fontId="10" fillId="0" borderId="4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6" workbookViewId="0">
      <selection activeCell="B23" sqref="B23"/>
    </sheetView>
  </sheetViews>
  <sheetFormatPr defaultColWidth="11" defaultRowHeight="18" customHeight="1"/>
  <cols>
    <col min="1" max="1" width="9.25" style="71" customWidth="1"/>
    <col min="2" max="2" width="22.75" style="71" customWidth="1"/>
    <col min="3" max="3" width="11.125" style="71" customWidth="1"/>
    <col min="4" max="4" width="5.94166666666667" style="71" customWidth="1"/>
    <col min="5" max="5" width="5.25" style="72" customWidth="1"/>
    <col min="6" max="6" width="8" style="71" customWidth="1"/>
    <col min="7" max="7" width="6.625" style="71" customWidth="1"/>
    <col min="8" max="8" width="7.875" style="71" customWidth="1"/>
    <col min="9" max="9" width="8.625" style="71" customWidth="1"/>
    <col min="10" max="10" width="7.375" style="71" customWidth="1"/>
    <col min="11" max="16338" width="11.6666666666667" style="71" customWidth="1"/>
    <col min="16339" max="16339" width="11.6666666666667" style="71"/>
    <col min="16340" max="16345" width="11" style="71"/>
    <col min="16346" max="16384" width="11" style="73"/>
  </cols>
  <sheetData>
    <row r="1" s="71" customFormat="1" ht="24" customHeight="1" spans="1:10">
      <c r="A1" s="74" t="s">
        <v>0</v>
      </c>
      <c r="B1" s="74"/>
      <c r="C1" s="74"/>
      <c r="D1" s="74"/>
      <c r="E1" s="75"/>
      <c r="F1" s="74"/>
      <c r="G1" s="74"/>
      <c r="H1" s="74"/>
      <c r="I1" s="74"/>
      <c r="J1" s="74"/>
    </row>
    <row r="2" s="71" customFormat="1" ht="8" customHeight="1" spans="1:10">
      <c r="A2" s="74"/>
      <c r="B2" s="74"/>
      <c r="C2" s="74"/>
      <c r="D2" s="74"/>
      <c r="E2" s="75"/>
      <c r="F2" s="74"/>
      <c r="G2" s="74"/>
      <c r="H2" s="74"/>
      <c r="I2" s="74"/>
      <c r="J2" s="74"/>
    </row>
    <row r="3" s="71" customFormat="1" customHeight="1" spans="1:5">
      <c r="A3" s="71" t="s">
        <v>1</v>
      </c>
      <c r="B3" s="71" t="s">
        <v>2</v>
      </c>
      <c r="E3" s="72"/>
    </row>
    <row r="4" s="71" customFormat="1" customHeight="1" spans="1:10">
      <c r="A4" s="71" t="s">
        <v>3</v>
      </c>
      <c r="B4" s="76">
        <v>45352</v>
      </c>
      <c r="C4" s="76"/>
      <c r="D4" s="77"/>
      <c r="E4" s="78"/>
      <c r="F4" s="77"/>
      <c r="G4" s="77"/>
      <c r="H4" s="76"/>
      <c r="I4" s="76"/>
      <c r="J4" s="76"/>
    </row>
    <row r="5" s="71" customFormat="1" customHeight="1" spans="1:10">
      <c r="A5" s="79" t="s">
        <v>4</v>
      </c>
      <c r="B5" s="79" t="s">
        <v>5</v>
      </c>
      <c r="C5" s="79" t="s">
        <v>6</v>
      </c>
      <c r="D5" s="79" t="s">
        <v>7</v>
      </c>
      <c r="E5" s="80" t="s">
        <v>8</v>
      </c>
      <c r="F5" s="79" t="s">
        <v>9</v>
      </c>
      <c r="G5" s="79" t="s">
        <v>10</v>
      </c>
      <c r="H5" s="79" t="s">
        <v>11</v>
      </c>
      <c r="I5" s="79" t="s">
        <v>12</v>
      </c>
      <c r="J5" s="79" t="s">
        <v>13</v>
      </c>
    </row>
    <row r="6" s="71" customFormat="1" ht="16" customHeight="1" spans="1:10">
      <c r="A6" s="79">
        <v>1</v>
      </c>
      <c r="B6" s="79" t="s">
        <v>14</v>
      </c>
      <c r="C6" s="79"/>
      <c r="D6" s="80" t="s">
        <v>15</v>
      </c>
      <c r="E6" s="80">
        <v>4</v>
      </c>
      <c r="F6" s="81">
        <f t="shared" ref="F6:F24" si="0">H6/0.85</f>
        <v>3.52941176470588</v>
      </c>
      <c r="G6" s="82">
        <f t="shared" ref="G6:G24" si="1">H6/F6</f>
        <v>0.85</v>
      </c>
      <c r="H6" s="83">
        <v>3</v>
      </c>
      <c r="I6" s="83">
        <f t="shared" ref="I6:I24" si="2">E6*H6</f>
        <v>12</v>
      </c>
      <c r="J6" s="79"/>
    </row>
    <row r="7" s="71" customFormat="1" ht="16" customHeight="1" spans="1:10">
      <c r="A7" s="79">
        <v>2</v>
      </c>
      <c r="B7" s="79" t="s">
        <v>16</v>
      </c>
      <c r="C7" s="79"/>
      <c r="D7" s="80" t="s">
        <v>15</v>
      </c>
      <c r="E7" s="80">
        <v>6</v>
      </c>
      <c r="F7" s="81">
        <f t="shared" si="0"/>
        <v>4.11764705882353</v>
      </c>
      <c r="G7" s="82">
        <f t="shared" si="1"/>
        <v>0.85</v>
      </c>
      <c r="H7" s="83">
        <v>3.5</v>
      </c>
      <c r="I7" s="83">
        <f t="shared" si="2"/>
        <v>21</v>
      </c>
      <c r="J7" s="79"/>
    </row>
    <row r="8" s="71" customFormat="1" ht="16" customHeight="1" spans="1:10">
      <c r="A8" s="79">
        <v>3</v>
      </c>
      <c r="B8" s="79" t="s">
        <v>17</v>
      </c>
      <c r="C8" s="79"/>
      <c r="D8" s="80" t="s">
        <v>15</v>
      </c>
      <c r="E8" s="80">
        <v>5</v>
      </c>
      <c r="F8" s="81">
        <f t="shared" si="0"/>
        <v>4.11764705882353</v>
      </c>
      <c r="G8" s="82">
        <f t="shared" si="1"/>
        <v>0.85</v>
      </c>
      <c r="H8" s="83">
        <v>3.5</v>
      </c>
      <c r="I8" s="83">
        <f t="shared" si="2"/>
        <v>17.5</v>
      </c>
      <c r="J8" s="79"/>
    </row>
    <row r="9" s="71" customFormat="1" ht="16" customHeight="1" spans="1:10">
      <c r="A9" s="79">
        <v>4</v>
      </c>
      <c r="B9" s="84" t="s">
        <v>18</v>
      </c>
      <c r="C9" s="84"/>
      <c r="D9" s="80" t="s">
        <v>15</v>
      </c>
      <c r="E9" s="80">
        <v>3</v>
      </c>
      <c r="F9" s="81">
        <f t="shared" si="0"/>
        <v>5.88235294117647</v>
      </c>
      <c r="G9" s="82">
        <f t="shared" si="1"/>
        <v>0.85</v>
      </c>
      <c r="H9" s="83">
        <v>5</v>
      </c>
      <c r="I9" s="83">
        <f t="shared" si="2"/>
        <v>15</v>
      </c>
      <c r="J9" s="79"/>
    </row>
    <row r="10" s="71" customFormat="1" ht="16" customHeight="1" spans="1:10">
      <c r="A10" s="79">
        <v>5</v>
      </c>
      <c r="B10" s="79" t="s">
        <v>19</v>
      </c>
      <c r="C10" s="79"/>
      <c r="D10" s="80" t="s">
        <v>15</v>
      </c>
      <c r="E10" s="80">
        <v>5</v>
      </c>
      <c r="F10" s="81">
        <f t="shared" si="0"/>
        <v>2.35294117647059</v>
      </c>
      <c r="G10" s="82">
        <f t="shared" si="1"/>
        <v>0.85</v>
      </c>
      <c r="H10" s="83">
        <v>2</v>
      </c>
      <c r="I10" s="83">
        <f t="shared" si="2"/>
        <v>10</v>
      </c>
      <c r="J10" s="79"/>
    </row>
    <row r="11" s="71" customFormat="1" ht="16" customHeight="1" spans="1:10">
      <c r="A11" s="79">
        <v>6</v>
      </c>
      <c r="B11" s="79" t="s">
        <v>20</v>
      </c>
      <c r="C11" s="79"/>
      <c r="D11" s="80" t="s">
        <v>15</v>
      </c>
      <c r="E11" s="80">
        <v>2</v>
      </c>
      <c r="F11" s="81">
        <f t="shared" si="0"/>
        <v>8.82352941176471</v>
      </c>
      <c r="G11" s="82">
        <f t="shared" si="1"/>
        <v>0.85</v>
      </c>
      <c r="H11" s="83">
        <v>7.5</v>
      </c>
      <c r="I11" s="83">
        <f t="shared" si="2"/>
        <v>15</v>
      </c>
      <c r="J11" s="79"/>
    </row>
    <row r="12" s="71" customFormat="1" ht="16" customHeight="1" spans="1:10">
      <c r="A12" s="79">
        <v>7</v>
      </c>
      <c r="B12" s="84" t="s">
        <v>21</v>
      </c>
      <c r="C12" s="84"/>
      <c r="D12" s="85" t="s">
        <v>22</v>
      </c>
      <c r="E12" s="85">
        <v>8</v>
      </c>
      <c r="F12" s="81">
        <f t="shared" si="0"/>
        <v>5.29411764705882</v>
      </c>
      <c r="G12" s="82">
        <f t="shared" si="1"/>
        <v>0.85</v>
      </c>
      <c r="H12" s="86">
        <v>4.5</v>
      </c>
      <c r="I12" s="83">
        <f t="shared" si="2"/>
        <v>36</v>
      </c>
      <c r="J12" s="84"/>
    </row>
    <row r="13" s="71" customFormat="1" ht="16" customHeight="1" spans="1:10">
      <c r="A13" s="79">
        <v>8</v>
      </c>
      <c r="B13" s="84" t="s">
        <v>23</v>
      </c>
      <c r="C13" s="84"/>
      <c r="D13" s="85" t="s">
        <v>15</v>
      </c>
      <c r="E13" s="85">
        <v>12</v>
      </c>
      <c r="F13" s="81">
        <f t="shared" si="0"/>
        <v>6.47058823529412</v>
      </c>
      <c r="G13" s="82">
        <f t="shared" si="1"/>
        <v>0.85</v>
      </c>
      <c r="H13" s="86">
        <v>5.5</v>
      </c>
      <c r="I13" s="83">
        <f t="shared" si="2"/>
        <v>66</v>
      </c>
      <c r="J13" s="84"/>
    </row>
    <row r="14" s="71" customFormat="1" ht="16" customHeight="1" spans="1:10">
      <c r="A14" s="79">
        <v>9</v>
      </c>
      <c r="B14" s="84" t="s">
        <v>24</v>
      </c>
      <c r="C14" s="84"/>
      <c r="D14" s="85" t="s">
        <v>15</v>
      </c>
      <c r="E14" s="85">
        <v>9</v>
      </c>
      <c r="F14" s="81">
        <f t="shared" si="0"/>
        <v>24.7058823529412</v>
      </c>
      <c r="G14" s="82">
        <f t="shared" si="1"/>
        <v>0.85</v>
      </c>
      <c r="H14" s="86">
        <v>21</v>
      </c>
      <c r="I14" s="83">
        <f t="shared" si="2"/>
        <v>189</v>
      </c>
      <c r="J14" s="84"/>
    </row>
    <row r="15" s="71" customFormat="1" ht="16" customHeight="1" spans="1:10">
      <c r="A15" s="79">
        <v>10</v>
      </c>
      <c r="B15" s="79" t="s">
        <v>25</v>
      </c>
      <c r="C15" s="79"/>
      <c r="D15" s="84" t="s">
        <v>15</v>
      </c>
      <c r="E15" s="80">
        <v>14</v>
      </c>
      <c r="F15" s="81">
        <f t="shared" si="0"/>
        <v>5.64705882352941</v>
      </c>
      <c r="G15" s="82">
        <f t="shared" si="1"/>
        <v>0.85</v>
      </c>
      <c r="H15" s="86">
        <v>4.8</v>
      </c>
      <c r="I15" s="83">
        <f t="shared" si="2"/>
        <v>67.2</v>
      </c>
      <c r="J15" s="84"/>
    </row>
    <row r="16" s="71" customFormat="1" ht="16" customHeight="1" spans="1:10">
      <c r="A16" s="79">
        <v>11</v>
      </c>
      <c r="B16" s="79" t="s">
        <v>26</v>
      </c>
      <c r="C16" s="79"/>
      <c r="D16" s="79" t="s">
        <v>15</v>
      </c>
      <c r="E16" s="80">
        <v>17.7</v>
      </c>
      <c r="F16" s="81">
        <f t="shared" si="0"/>
        <v>8</v>
      </c>
      <c r="G16" s="82">
        <f t="shared" si="1"/>
        <v>0.85</v>
      </c>
      <c r="H16" s="86">
        <v>6.8</v>
      </c>
      <c r="I16" s="83">
        <f t="shared" si="2"/>
        <v>120.36</v>
      </c>
      <c r="J16" s="84"/>
    </row>
    <row r="17" s="71" customFormat="1" ht="16" customHeight="1" spans="1:10">
      <c r="A17" s="79">
        <v>12</v>
      </c>
      <c r="B17" s="81" t="s">
        <v>27</v>
      </c>
      <c r="C17" s="81"/>
      <c r="D17" s="81" t="s">
        <v>15</v>
      </c>
      <c r="E17" s="80">
        <v>5</v>
      </c>
      <c r="F17" s="81">
        <f t="shared" si="0"/>
        <v>16.2352941176471</v>
      </c>
      <c r="G17" s="82">
        <f t="shared" si="1"/>
        <v>0.85</v>
      </c>
      <c r="H17" s="86">
        <v>13.8</v>
      </c>
      <c r="I17" s="83">
        <f t="shared" si="2"/>
        <v>69</v>
      </c>
      <c r="J17" s="79"/>
    </row>
    <row r="18" s="71" customFormat="1" ht="16" customHeight="1" spans="1:10">
      <c r="A18" s="79">
        <v>13</v>
      </c>
      <c r="B18" s="81" t="s">
        <v>28</v>
      </c>
      <c r="C18" s="81"/>
      <c r="D18" s="81" t="s">
        <v>15</v>
      </c>
      <c r="E18" s="80">
        <v>5</v>
      </c>
      <c r="F18" s="81">
        <f t="shared" si="0"/>
        <v>23.5294117647059</v>
      </c>
      <c r="G18" s="82">
        <f t="shared" si="1"/>
        <v>0.85</v>
      </c>
      <c r="H18" s="86">
        <v>20</v>
      </c>
      <c r="I18" s="83">
        <f t="shared" si="2"/>
        <v>100</v>
      </c>
      <c r="J18" s="79"/>
    </row>
    <row r="19" s="71" customFormat="1" customHeight="1" spans="1:10">
      <c r="A19" s="79">
        <v>14</v>
      </c>
      <c r="B19" s="81" t="s">
        <v>29</v>
      </c>
      <c r="C19" s="81"/>
      <c r="D19" s="81" t="s">
        <v>15</v>
      </c>
      <c r="E19" s="80">
        <v>8</v>
      </c>
      <c r="F19" s="81">
        <f t="shared" si="0"/>
        <v>30.5882352941176</v>
      </c>
      <c r="G19" s="82">
        <f t="shared" si="1"/>
        <v>0.85</v>
      </c>
      <c r="H19" s="86">
        <v>26</v>
      </c>
      <c r="I19" s="83">
        <f t="shared" si="2"/>
        <v>208</v>
      </c>
      <c r="J19" s="81"/>
    </row>
    <row r="20" s="71" customFormat="1" customHeight="1" spans="1:10">
      <c r="A20" s="79">
        <v>15</v>
      </c>
      <c r="B20" s="81" t="s">
        <v>30</v>
      </c>
      <c r="C20" s="81"/>
      <c r="D20" s="81" t="s">
        <v>15</v>
      </c>
      <c r="E20" s="80">
        <v>3</v>
      </c>
      <c r="F20" s="81">
        <f t="shared" si="0"/>
        <v>32.9411764705882</v>
      </c>
      <c r="G20" s="82">
        <f t="shared" si="1"/>
        <v>0.85</v>
      </c>
      <c r="H20" s="86">
        <v>28</v>
      </c>
      <c r="I20" s="83">
        <f t="shared" si="2"/>
        <v>84</v>
      </c>
      <c r="J20" s="81"/>
    </row>
    <row r="21" s="71" customFormat="1" customHeight="1" spans="1:10">
      <c r="A21" s="79">
        <v>16</v>
      </c>
      <c r="B21" s="81" t="s">
        <v>31</v>
      </c>
      <c r="C21" s="81" t="s">
        <v>32</v>
      </c>
      <c r="D21" s="81" t="s">
        <v>33</v>
      </c>
      <c r="E21" s="80">
        <v>6</v>
      </c>
      <c r="F21" s="81">
        <f t="shared" si="0"/>
        <v>64.7058823529412</v>
      </c>
      <c r="G21" s="82">
        <f t="shared" si="1"/>
        <v>0.85</v>
      </c>
      <c r="H21" s="86">
        <v>55</v>
      </c>
      <c r="I21" s="83">
        <f t="shared" si="2"/>
        <v>330</v>
      </c>
      <c r="J21" s="81"/>
    </row>
    <row r="22" s="71" customFormat="1" customHeight="1" spans="1:10">
      <c r="A22" s="79">
        <v>17</v>
      </c>
      <c r="B22" s="81" t="s">
        <v>34</v>
      </c>
      <c r="C22" s="81" t="s">
        <v>35</v>
      </c>
      <c r="D22" s="81" t="s">
        <v>15</v>
      </c>
      <c r="E22" s="80">
        <v>5</v>
      </c>
      <c r="F22" s="81">
        <f t="shared" si="0"/>
        <v>10</v>
      </c>
      <c r="G22" s="82">
        <f t="shared" si="1"/>
        <v>0.85</v>
      </c>
      <c r="H22" s="86">
        <v>8.5</v>
      </c>
      <c r="I22" s="83">
        <f t="shared" si="2"/>
        <v>42.5</v>
      </c>
      <c r="J22" s="81"/>
    </row>
    <row r="23" s="71" customFormat="1" customHeight="1" spans="1:10">
      <c r="A23" s="79">
        <v>18</v>
      </c>
      <c r="B23" s="81" t="s">
        <v>36</v>
      </c>
      <c r="C23" s="81" t="s">
        <v>37</v>
      </c>
      <c r="D23" s="81" t="s">
        <v>38</v>
      </c>
      <c r="E23" s="80">
        <v>60</v>
      </c>
      <c r="F23" s="81">
        <f t="shared" si="0"/>
        <v>3.76470588235294</v>
      </c>
      <c r="G23" s="82">
        <f t="shared" si="1"/>
        <v>0.85</v>
      </c>
      <c r="H23" s="86">
        <v>3.2</v>
      </c>
      <c r="I23" s="83">
        <f t="shared" si="2"/>
        <v>192</v>
      </c>
      <c r="J23" s="81"/>
    </row>
    <row r="24" s="71" customFormat="1" customHeight="1" spans="1:10">
      <c r="A24" s="79">
        <v>19</v>
      </c>
      <c r="B24" s="84" t="s">
        <v>39</v>
      </c>
      <c r="C24" s="84" t="s">
        <v>40</v>
      </c>
      <c r="D24" s="85" t="s">
        <v>41</v>
      </c>
      <c r="E24" s="85">
        <v>2</v>
      </c>
      <c r="F24" s="81">
        <f t="shared" si="0"/>
        <v>10</v>
      </c>
      <c r="G24" s="82">
        <f t="shared" si="1"/>
        <v>0.85</v>
      </c>
      <c r="H24" s="86">
        <v>8.5</v>
      </c>
      <c r="I24" s="83">
        <f t="shared" si="2"/>
        <v>17</v>
      </c>
      <c r="J24" s="81"/>
    </row>
    <row r="25" s="71" customFormat="1" customHeight="1" spans="1:10">
      <c r="A25" s="79">
        <v>20</v>
      </c>
      <c r="B25" s="81"/>
      <c r="C25" s="81"/>
      <c r="D25" s="81"/>
      <c r="E25" s="80"/>
      <c r="F25" s="81"/>
      <c r="G25" s="82"/>
      <c r="H25" s="86"/>
      <c r="I25" s="83"/>
      <c r="J25" s="81"/>
    </row>
    <row r="26" s="71" customFormat="1" customHeight="1" spans="1:10">
      <c r="A26" s="79">
        <v>21</v>
      </c>
      <c r="B26" s="84"/>
      <c r="C26" s="84"/>
      <c r="D26" s="85"/>
      <c r="E26" s="85"/>
      <c r="F26" s="81"/>
      <c r="G26" s="82"/>
      <c r="H26" s="86"/>
      <c r="I26" s="83"/>
      <c r="J26" s="81"/>
    </row>
    <row r="27" s="71" customFormat="1" customHeight="1" spans="1:10">
      <c r="A27" s="79">
        <v>22</v>
      </c>
      <c r="B27" s="81"/>
      <c r="C27" s="81"/>
      <c r="D27" s="81"/>
      <c r="E27" s="80"/>
      <c r="F27" s="81"/>
      <c r="G27" s="82"/>
      <c r="H27" s="86"/>
      <c r="I27" s="83"/>
      <c r="J27" s="81"/>
    </row>
    <row r="28" s="71" customFormat="1" customHeight="1" spans="1:10">
      <c r="A28" s="79">
        <v>23</v>
      </c>
      <c r="B28" s="81"/>
      <c r="C28" s="81"/>
      <c r="D28" s="81"/>
      <c r="E28" s="80"/>
      <c r="F28" s="81"/>
      <c r="G28" s="82"/>
      <c r="H28" s="86"/>
      <c r="I28" s="83"/>
      <c r="J28" s="81"/>
    </row>
    <row r="29" s="71" customFormat="1" customHeight="1" spans="1:10">
      <c r="A29" s="79">
        <v>24</v>
      </c>
      <c r="B29" s="81"/>
      <c r="C29" s="81"/>
      <c r="D29" s="81"/>
      <c r="E29" s="80"/>
      <c r="F29" s="81"/>
      <c r="G29" s="82"/>
      <c r="H29" s="86"/>
      <c r="I29" s="83"/>
      <c r="J29" s="81"/>
    </row>
    <row r="30" s="71" customFormat="1" customHeight="1" spans="1:10">
      <c r="A30" s="79">
        <v>25</v>
      </c>
      <c r="B30" s="81"/>
      <c r="C30" s="81"/>
      <c r="D30" s="81"/>
      <c r="E30" s="80"/>
      <c r="F30" s="81"/>
      <c r="G30" s="82"/>
      <c r="H30" s="86"/>
      <c r="I30" s="83"/>
      <c r="J30" s="81"/>
    </row>
    <row r="31" s="71" customFormat="1" customHeight="1" spans="1:10">
      <c r="A31" s="79">
        <v>26</v>
      </c>
      <c r="B31" s="81"/>
      <c r="C31" s="81"/>
      <c r="D31" s="81"/>
      <c r="E31" s="80"/>
      <c r="F31" s="81"/>
      <c r="G31" s="82"/>
      <c r="H31" s="86"/>
      <c r="I31" s="83"/>
      <c r="J31" s="81"/>
    </row>
    <row r="32" s="71" customFormat="1" customHeight="1" spans="1:10">
      <c r="A32" s="79">
        <v>27</v>
      </c>
      <c r="B32" s="81"/>
      <c r="C32" s="81"/>
      <c r="D32" s="81"/>
      <c r="E32" s="80"/>
      <c r="F32" s="81"/>
      <c r="G32" s="82"/>
      <c r="H32" s="86"/>
      <c r="I32" s="83"/>
      <c r="J32" s="81"/>
    </row>
    <row r="33" s="71" customFormat="1" customHeight="1" spans="1:10">
      <c r="A33" s="79">
        <v>28</v>
      </c>
      <c r="B33" s="81"/>
      <c r="C33" s="81"/>
      <c r="D33" s="81"/>
      <c r="E33" s="80"/>
      <c r="F33" s="81"/>
      <c r="G33" s="82"/>
      <c r="H33" s="86"/>
      <c r="I33" s="83"/>
      <c r="J33" s="81"/>
    </row>
    <row r="34" s="71" customFormat="1" customHeight="1" spans="1:10">
      <c r="A34" s="79" t="s">
        <v>42</v>
      </c>
      <c r="B34" s="87">
        <f>SUM(I6:I33)</f>
        <v>1611.56</v>
      </c>
      <c r="C34" s="88"/>
      <c r="D34" s="88"/>
      <c r="E34" s="89"/>
      <c r="F34" s="88"/>
      <c r="G34" s="88"/>
      <c r="H34" s="88"/>
      <c r="I34" s="88"/>
      <c r="J34" s="92"/>
    </row>
    <row r="35" s="71" customFormat="1" customHeight="1" spans="1:10">
      <c r="A35" s="79" t="s">
        <v>43</v>
      </c>
      <c r="B35" s="90">
        <f>B34</f>
        <v>1611.56</v>
      </c>
      <c r="C35" s="91"/>
      <c r="D35" s="91"/>
      <c r="E35" s="89"/>
      <c r="F35" s="91"/>
      <c r="G35" s="91"/>
      <c r="H35" s="91"/>
      <c r="I35" s="91"/>
      <c r="J35" s="93"/>
    </row>
    <row r="36" s="71" customFormat="1" customHeight="1" spans="1:5">
      <c r="A36" s="71" t="s">
        <v>44</v>
      </c>
      <c r="E36" s="72"/>
    </row>
  </sheetData>
  <sortState ref="A20:I23">
    <sortCondition ref="A20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2125" bottom="0.60625" header="0.5" footer="0.5"/>
  <pageSetup paperSize="9" scale="93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6" workbookViewId="0">
      <selection activeCell="B26" sqref="B26:I26"/>
    </sheetView>
  </sheetViews>
  <sheetFormatPr defaultColWidth="11" defaultRowHeight="18" customHeight="1"/>
  <cols>
    <col min="1" max="1" width="9.125" style="71" customWidth="1"/>
    <col min="2" max="2" width="19.25" style="71" customWidth="1"/>
    <col min="3" max="3" width="11.375" style="71" customWidth="1"/>
    <col min="4" max="4" width="5.94166666666667" style="71" customWidth="1"/>
    <col min="5" max="5" width="5.25" style="71" customWidth="1"/>
    <col min="6" max="6" width="8" style="71" customWidth="1"/>
    <col min="7" max="7" width="6.625" style="71" customWidth="1"/>
    <col min="8" max="8" width="7.875" style="71" customWidth="1"/>
    <col min="9" max="9" width="8.625" style="71" customWidth="1"/>
    <col min="10" max="10" width="7.375" style="71" customWidth="1"/>
    <col min="11" max="16350" width="11.6666666666667" style="71" customWidth="1"/>
    <col min="16351" max="16351" width="11.6666666666667" style="71"/>
    <col min="16352" max="16357" width="11" style="71"/>
    <col min="16358" max="16384" width="11" style="73"/>
  </cols>
  <sheetData>
    <row r="1" s="71" customFormat="1" ht="24" customHeight="1" spans="1:10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</row>
    <row r="2" s="71" customFormat="1" ht="8" customHeight="1" spans="1:10">
      <c r="A2" s="74"/>
      <c r="B2" s="74"/>
      <c r="C2" s="74"/>
      <c r="D2" s="74"/>
      <c r="E2" s="74"/>
      <c r="F2" s="74"/>
      <c r="G2" s="74"/>
      <c r="H2" s="74"/>
      <c r="I2" s="74"/>
      <c r="J2" s="74"/>
    </row>
    <row r="3" s="71" customFormat="1" customHeight="1" spans="1:2">
      <c r="A3" s="71" t="s">
        <v>1</v>
      </c>
      <c r="B3" s="71" t="s">
        <v>2</v>
      </c>
    </row>
    <row r="4" s="71" customFormat="1" customHeight="1" spans="1:10">
      <c r="A4" s="71" t="s">
        <v>3</v>
      </c>
      <c r="B4" s="76">
        <v>45355</v>
      </c>
      <c r="C4" s="76"/>
      <c r="D4" s="77"/>
      <c r="E4" s="77"/>
      <c r="F4" s="77"/>
      <c r="G4" s="77"/>
      <c r="H4" s="76"/>
      <c r="I4" s="76"/>
      <c r="J4" s="76"/>
    </row>
    <row r="5" s="71" customFormat="1" customHeight="1" spans="1:10">
      <c r="A5" s="79" t="s">
        <v>4</v>
      </c>
      <c r="B5" s="79" t="s">
        <v>5</v>
      </c>
      <c r="C5" s="79" t="s">
        <v>6</v>
      </c>
      <c r="D5" s="79" t="s">
        <v>7</v>
      </c>
      <c r="E5" s="79" t="s">
        <v>8</v>
      </c>
      <c r="F5" s="79" t="s">
        <v>9</v>
      </c>
      <c r="G5" s="79" t="s">
        <v>10</v>
      </c>
      <c r="H5" s="79" t="s">
        <v>11</v>
      </c>
      <c r="I5" s="79" t="s">
        <v>12</v>
      </c>
      <c r="J5" s="79" t="s">
        <v>13</v>
      </c>
    </row>
    <row r="6" s="71" customFormat="1" ht="16" customHeight="1" spans="1:10">
      <c r="A6" s="79">
        <v>1</v>
      </c>
      <c r="B6" s="79" t="s">
        <v>14</v>
      </c>
      <c r="C6" s="79"/>
      <c r="D6" s="80" t="s">
        <v>15</v>
      </c>
      <c r="E6" s="80">
        <v>5</v>
      </c>
      <c r="F6" s="81">
        <f t="shared" ref="F6:F25" si="0">H6/0.85</f>
        <v>3.52941176470588</v>
      </c>
      <c r="G6" s="82">
        <f t="shared" ref="G6:G25" si="1">H6/F6</f>
        <v>0.85</v>
      </c>
      <c r="H6" s="83">
        <v>3</v>
      </c>
      <c r="I6" s="83">
        <f t="shared" ref="I6:I26" si="2">E6*H6</f>
        <v>15</v>
      </c>
      <c r="J6" s="79"/>
    </row>
    <row r="7" s="71" customFormat="1" ht="16" customHeight="1" spans="1:10">
      <c r="A7" s="79">
        <v>2</v>
      </c>
      <c r="B7" s="79" t="s">
        <v>45</v>
      </c>
      <c r="C7" s="79"/>
      <c r="D7" s="80" t="s">
        <v>15</v>
      </c>
      <c r="E7" s="80">
        <v>2</v>
      </c>
      <c r="F7" s="81">
        <f t="shared" si="0"/>
        <v>4.11764705882353</v>
      </c>
      <c r="G7" s="82">
        <f t="shared" si="1"/>
        <v>0.85</v>
      </c>
      <c r="H7" s="83">
        <v>3.5</v>
      </c>
      <c r="I7" s="83">
        <f t="shared" si="2"/>
        <v>7</v>
      </c>
      <c r="J7" s="79"/>
    </row>
    <row r="8" s="71" customFormat="1" ht="16" customHeight="1" spans="1:10">
      <c r="A8" s="79">
        <v>3</v>
      </c>
      <c r="B8" s="79" t="s">
        <v>17</v>
      </c>
      <c r="C8" s="79"/>
      <c r="D8" s="80" t="s">
        <v>15</v>
      </c>
      <c r="E8" s="80">
        <v>7</v>
      </c>
      <c r="F8" s="81">
        <f t="shared" si="0"/>
        <v>4.11764705882353</v>
      </c>
      <c r="G8" s="82">
        <f t="shared" si="1"/>
        <v>0.85</v>
      </c>
      <c r="H8" s="83">
        <v>3.5</v>
      </c>
      <c r="I8" s="83">
        <f t="shared" si="2"/>
        <v>24.5</v>
      </c>
      <c r="J8" s="79"/>
    </row>
    <row r="9" s="71" customFormat="1" ht="16" customHeight="1" spans="1:10">
      <c r="A9" s="79">
        <v>4</v>
      </c>
      <c r="B9" s="84" t="s">
        <v>46</v>
      </c>
      <c r="C9" s="84"/>
      <c r="D9" s="80" t="s">
        <v>15</v>
      </c>
      <c r="E9" s="80">
        <v>2</v>
      </c>
      <c r="F9" s="81">
        <f t="shared" si="0"/>
        <v>8</v>
      </c>
      <c r="G9" s="82">
        <f t="shared" si="1"/>
        <v>0.85</v>
      </c>
      <c r="H9" s="83">
        <v>6.8</v>
      </c>
      <c r="I9" s="83">
        <f t="shared" si="2"/>
        <v>13.6</v>
      </c>
      <c r="J9" s="79"/>
    </row>
    <row r="10" s="71" customFormat="1" ht="16" customHeight="1" spans="1:10">
      <c r="A10" s="79">
        <v>5</v>
      </c>
      <c r="B10" s="84" t="s">
        <v>47</v>
      </c>
      <c r="C10" s="84"/>
      <c r="D10" s="80" t="s">
        <v>15</v>
      </c>
      <c r="E10" s="80">
        <v>10</v>
      </c>
      <c r="F10" s="81">
        <f t="shared" si="0"/>
        <v>2.94117647058824</v>
      </c>
      <c r="G10" s="82">
        <f t="shared" si="1"/>
        <v>0.85</v>
      </c>
      <c r="H10" s="83">
        <v>2.5</v>
      </c>
      <c r="I10" s="83">
        <f t="shared" si="2"/>
        <v>25</v>
      </c>
      <c r="J10" s="79"/>
    </row>
    <row r="11" s="71" customFormat="1" ht="16" customHeight="1" spans="1:10">
      <c r="A11" s="79">
        <v>6</v>
      </c>
      <c r="B11" s="79" t="s">
        <v>48</v>
      </c>
      <c r="C11" s="79"/>
      <c r="D11" s="80" t="s">
        <v>15</v>
      </c>
      <c r="E11" s="80">
        <v>10</v>
      </c>
      <c r="F11" s="81">
        <f t="shared" si="0"/>
        <v>6.82352941176471</v>
      </c>
      <c r="G11" s="82">
        <f t="shared" si="1"/>
        <v>0.85</v>
      </c>
      <c r="H11" s="83">
        <v>5.8</v>
      </c>
      <c r="I11" s="83">
        <f t="shared" si="2"/>
        <v>58</v>
      </c>
      <c r="J11" s="79"/>
    </row>
    <row r="12" s="71" customFormat="1" ht="16" customHeight="1" spans="1:10">
      <c r="A12" s="79">
        <v>7</v>
      </c>
      <c r="B12" s="79" t="s">
        <v>20</v>
      </c>
      <c r="C12" s="79"/>
      <c r="D12" s="80" t="s">
        <v>15</v>
      </c>
      <c r="E12" s="80">
        <v>2</v>
      </c>
      <c r="F12" s="81">
        <f t="shared" si="0"/>
        <v>8</v>
      </c>
      <c r="G12" s="82">
        <f t="shared" si="1"/>
        <v>0.85</v>
      </c>
      <c r="H12" s="83">
        <v>6.8</v>
      </c>
      <c r="I12" s="83">
        <f t="shared" si="2"/>
        <v>13.6</v>
      </c>
      <c r="J12" s="79"/>
    </row>
    <row r="13" s="71" customFormat="1" ht="16" customHeight="1" spans="1:10">
      <c r="A13" s="79">
        <v>8</v>
      </c>
      <c r="B13" s="84" t="s">
        <v>49</v>
      </c>
      <c r="C13" s="84"/>
      <c r="D13" s="85" t="s">
        <v>15</v>
      </c>
      <c r="E13" s="85">
        <v>5</v>
      </c>
      <c r="F13" s="81">
        <f t="shared" si="0"/>
        <v>11.5294117647059</v>
      </c>
      <c r="G13" s="82">
        <f t="shared" si="1"/>
        <v>0.85</v>
      </c>
      <c r="H13" s="83">
        <v>9.8</v>
      </c>
      <c r="I13" s="83">
        <f t="shared" si="2"/>
        <v>49</v>
      </c>
      <c r="J13" s="79"/>
    </row>
    <row r="14" s="71" customFormat="1" ht="16" customHeight="1" spans="1:10">
      <c r="A14" s="79">
        <v>9</v>
      </c>
      <c r="B14" s="84" t="s">
        <v>21</v>
      </c>
      <c r="C14" s="84"/>
      <c r="D14" s="85" t="s">
        <v>22</v>
      </c>
      <c r="E14" s="85">
        <v>8</v>
      </c>
      <c r="F14" s="81">
        <f t="shared" si="0"/>
        <v>5.29411764705882</v>
      </c>
      <c r="G14" s="82">
        <f t="shared" si="1"/>
        <v>0.85</v>
      </c>
      <c r="H14" s="83">
        <v>4.5</v>
      </c>
      <c r="I14" s="83">
        <f t="shared" si="2"/>
        <v>36</v>
      </c>
      <c r="J14" s="84"/>
    </row>
    <row r="15" s="71" customFormat="1" ht="16" customHeight="1" spans="1:10">
      <c r="A15" s="79">
        <v>10</v>
      </c>
      <c r="B15" s="79" t="s">
        <v>50</v>
      </c>
      <c r="C15" s="79"/>
      <c r="D15" s="80" t="s">
        <v>15</v>
      </c>
      <c r="E15" s="80">
        <v>2</v>
      </c>
      <c r="F15" s="81">
        <f t="shared" si="0"/>
        <v>5.64705882352941</v>
      </c>
      <c r="G15" s="82">
        <f t="shared" si="1"/>
        <v>0.85</v>
      </c>
      <c r="H15" s="83">
        <v>4.8</v>
      </c>
      <c r="I15" s="83">
        <f t="shared" si="2"/>
        <v>9.6</v>
      </c>
      <c r="J15" s="84"/>
    </row>
    <row r="16" s="71" customFormat="1" ht="16" customHeight="1" spans="1:10">
      <c r="A16" s="79">
        <v>11</v>
      </c>
      <c r="B16" s="84" t="s">
        <v>51</v>
      </c>
      <c r="C16" s="84"/>
      <c r="D16" s="85" t="s">
        <v>15</v>
      </c>
      <c r="E16" s="85">
        <v>4.4</v>
      </c>
      <c r="F16" s="81">
        <f t="shared" si="0"/>
        <v>7.64705882352941</v>
      </c>
      <c r="G16" s="82">
        <f t="shared" si="1"/>
        <v>0.85</v>
      </c>
      <c r="H16" s="83">
        <v>6.5</v>
      </c>
      <c r="I16" s="83">
        <f t="shared" si="2"/>
        <v>28.6</v>
      </c>
      <c r="J16" s="84"/>
    </row>
    <row r="17" s="71" customFormat="1" ht="16" customHeight="1" spans="1:10">
      <c r="A17" s="79">
        <v>12</v>
      </c>
      <c r="B17" s="84" t="s">
        <v>52</v>
      </c>
      <c r="C17" s="84"/>
      <c r="D17" s="85" t="s">
        <v>15</v>
      </c>
      <c r="E17" s="85">
        <v>12</v>
      </c>
      <c r="F17" s="81">
        <f t="shared" si="0"/>
        <v>9.17647058823529</v>
      </c>
      <c r="G17" s="82">
        <f t="shared" si="1"/>
        <v>0.85</v>
      </c>
      <c r="H17" s="83">
        <v>7.8</v>
      </c>
      <c r="I17" s="83">
        <f t="shared" si="2"/>
        <v>93.6</v>
      </c>
      <c r="J17" s="84"/>
    </row>
    <row r="18" s="71" customFormat="1" ht="16" customHeight="1" spans="1:10">
      <c r="A18" s="79">
        <v>13</v>
      </c>
      <c r="B18" s="84" t="s">
        <v>53</v>
      </c>
      <c r="C18" s="84"/>
      <c r="D18" s="85" t="s">
        <v>15</v>
      </c>
      <c r="E18" s="85">
        <v>6</v>
      </c>
      <c r="F18" s="81">
        <f t="shared" si="0"/>
        <v>6.47058823529412</v>
      </c>
      <c r="G18" s="82">
        <f t="shared" si="1"/>
        <v>0.85</v>
      </c>
      <c r="H18" s="83">
        <v>5.5</v>
      </c>
      <c r="I18" s="83">
        <f t="shared" si="2"/>
        <v>33</v>
      </c>
      <c r="J18" s="84"/>
    </row>
    <row r="19" s="71" customFormat="1" ht="16" customHeight="1" spans="1:10">
      <c r="A19" s="79">
        <v>14</v>
      </c>
      <c r="B19" s="84" t="s">
        <v>27</v>
      </c>
      <c r="C19" s="84"/>
      <c r="D19" s="84" t="s">
        <v>15</v>
      </c>
      <c r="E19" s="85">
        <v>2</v>
      </c>
      <c r="F19" s="81">
        <f t="shared" si="0"/>
        <v>16.2352941176471</v>
      </c>
      <c r="G19" s="82">
        <f t="shared" si="1"/>
        <v>0.85</v>
      </c>
      <c r="H19" s="83">
        <v>13.8</v>
      </c>
      <c r="I19" s="83">
        <f t="shared" si="2"/>
        <v>27.6</v>
      </c>
      <c r="J19" s="79"/>
    </row>
    <row r="20" s="71" customFormat="1" ht="16" customHeight="1" spans="1:10">
      <c r="A20" s="79">
        <v>15</v>
      </c>
      <c r="B20" s="84" t="s">
        <v>54</v>
      </c>
      <c r="C20" s="84" t="s">
        <v>55</v>
      </c>
      <c r="D20" s="85" t="s">
        <v>56</v>
      </c>
      <c r="E20" s="85">
        <v>2</v>
      </c>
      <c r="F20" s="81">
        <f t="shared" si="0"/>
        <v>411.764705882353</v>
      </c>
      <c r="G20" s="82">
        <f t="shared" si="1"/>
        <v>0.85</v>
      </c>
      <c r="H20" s="83">
        <v>350</v>
      </c>
      <c r="I20" s="83">
        <f t="shared" si="2"/>
        <v>700</v>
      </c>
      <c r="J20" s="84"/>
    </row>
    <row r="21" s="71" customFormat="1" ht="16" customHeight="1" spans="1:10">
      <c r="A21" s="79">
        <v>16</v>
      </c>
      <c r="B21" s="84" t="s">
        <v>57</v>
      </c>
      <c r="C21" s="84" t="s">
        <v>58</v>
      </c>
      <c r="D21" s="85" t="s">
        <v>15</v>
      </c>
      <c r="E21" s="85">
        <v>4</v>
      </c>
      <c r="F21" s="81">
        <f t="shared" si="0"/>
        <v>5.76470588235294</v>
      </c>
      <c r="G21" s="82">
        <f t="shared" si="1"/>
        <v>0.85</v>
      </c>
      <c r="H21" s="83">
        <v>4.9</v>
      </c>
      <c r="I21" s="83">
        <f t="shared" si="2"/>
        <v>19.6</v>
      </c>
      <c r="J21" s="84"/>
    </row>
    <row r="22" s="71" customFormat="1" ht="16" customHeight="1" spans="1:10">
      <c r="A22" s="79">
        <v>17</v>
      </c>
      <c r="B22" s="84" t="s">
        <v>59</v>
      </c>
      <c r="C22" s="84" t="s">
        <v>60</v>
      </c>
      <c r="D22" s="85" t="s">
        <v>38</v>
      </c>
      <c r="E22" s="85">
        <v>60</v>
      </c>
      <c r="F22" s="81">
        <f t="shared" si="0"/>
        <v>4.11764705882353</v>
      </c>
      <c r="G22" s="82">
        <f t="shared" si="1"/>
        <v>0.85</v>
      </c>
      <c r="H22" s="83">
        <v>3.5</v>
      </c>
      <c r="I22" s="83">
        <f t="shared" si="2"/>
        <v>210</v>
      </c>
      <c r="J22" s="84"/>
    </row>
    <row r="23" s="71" customFormat="1" ht="16" customHeight="1" spans="1:10">
      <c r="A23" s="79">
        <v>18</v>
      </c>
      <c r="B23" s="84" t="s">
        <v>36</v>
      </c>
      <c r="C23" s="84" t="s">
        <v>37</v>
      </c>
      <c r="D23" s="85" t="s">
        <v>38</v>
      </c>
      <c r="E23" s="85">
        <v>40</v>
      </c>
      <c r="F23" s="81">
        <f t="shared" si="0"/>
        <v>3.76470588235294</v>
      </c>
      <c r="G23" s="82">
        <f t="shared" si="1"/>
        <v>0.85</v>
      </c>
      <c r="H23" s="83">
        <v>3.2</v>
      </c>
      <c r="I23" s="83">
        <f t="shared" si="2"/>
        <v>128</v>
      </c>
      <c r="J23" s="84"/>
    </row>
    <row r="24" s="71" customFormat="1" ht="16" customHeight="1" spans="1:10">
      <c r="A24" s="79">
        <v>19</v>
      </c>
      <c r="B24" s="79" t="s">
        <v>61</v>
      </c>
      <c r="C24" s="79"/>
      <c r="D24" s="80" t="s">
        <v>15</v>
      </c>
      <c r="E24" s="80">
        <v>5</v>
      </c>
      <c r="F24" s="81">
        <f t="shared" si="0"/>
        <v>103.529411764706</v>
      </c>
      <c r="G24" s="82">
        <f t="shared" si="1"/>
        <v>0.85</v>
      </c>
      <c r="H24" s="83">
        <v>88</v>
      </c>
      <c r="I24" s="83">
        <f t="shared" si="2"/>
        <v>440</v>
      </c>
      <c r="J24" s="84"/>
    </row>
    <row r="25" s="71" customFormat="1" ht="16" customHeight="1" spans="1:10">
      <c r="A25" s="79">
        <v>20</v>
      </c>
      <c r="B25" s="84" t="s">
        <v>62</v>
      </c>
      <c r="C25" s="84"/>
      <c r="D25" s="85" t="s">
        <v>63</v>
      </c>
      <c r="E25" s="85">
        <v>5</v>
      </c>
      <c r="F25" s="81">
        <f t="shared" si="0"/>
        <v>30.5882352941176</v>
      </c>
      <c r="G25" s="82">
        <f t="shared" si="1"/>
        <v>0.85</v>
      </c>
      <c r="H25" s="83">
        <v>26</v>
      </c>
      <c r="I25" s="83">
        <f t="shared" si="2"/>
        <v>130</v>
      </c>
      <c r="J25" s="84"/>
    </row>
    <row r="26" s="71" customFormat="1" ht="16" customHeight="1" spans="1:10">
      <c r="A26" s="79">
        <v>21</v>
      </c>
      <c r="B26" s="84" t="s">
        <v>64</v>
      </c>
      <c r="C26" s="84" t="s">
        <v>65</v>
      </c>
      <c r="D26" s="84" t="s">
        <v>15</v>
      </c>
      <c r="E26" s="84">
        <v>50</v>
      </c>
      <c r="F26" s="84">
        <v>3.95</v>
      </c>
      <c r="G26" s="84">
        <v>0.9</v>
      </c>
      <c r="H26" s="84">
        <f>G26*F26</f>
        <v>3.555</v>
      </c>
      <c r="I26" s="84">
        <f t="shared" si="2"/>
        <v>177.75</v>
      </c>
      <c r="J26" s="79"/>
    </row>
    <row r="27" s="71" customFormat="1" ht="16" customHeight="1" spans="1:10">
      <c r="A27" s="79">
        <v>22</v>
      </c>
      <c r="B27" s="84"/>
      <c r="C27" s="84"/>
      <c r="D27" s="80"/>
      <c r="E27" s="80"/>
      <c r="F27" s="81"/>
      <c r="G27" s="82"/>
      <c r="H27" s="83"/>
      <c r="I27" s="83"/>
      <c r="J27" s="79"/>
    </row>
    <row r="28" s="71" customFormat="1" ht="16" customHeight="1" spans="1:10">
      <c r="A28" s="79">
        <v>23</v>
      </c>
      <c r="B28" s="84"/>
      <c r="C28" s="84"/>
      <c r="D28" s="84"/>
      <c r="E28" s="85"/>
      <c r="F28" s="81"/>
      <c r="G28" s="82"/>
      <c r="H28" s="83"/>
      <c r="I28" s="83"/>
      <c r="J28" s="84"/>
    </row>
    <row r="29" s="71" customFormat="1" ht="16" customHeight="1" spans="1:10">
      <c r="A29" s="79">
        <v>24</v>
      </c>
      <c r="B29" s="79"/>
      <c r="C29" s="79"/>
      <c r="D29" s="84"/>
      <c r="E29" s="80"/>
      <c r="F29" s="81"/>
      <c r="G29" s="82"/>
      <c r="H29" s="83"/>
      <c r="I29" s="83"/>
      <c r="J29" s="79"/>
    </row>
    <row r="30" s="71" customFormat="1" ht="16" customHeight="1" spans="1:10">
      <c r="A30" s="79">
        <v>25</v>
      </c>
      <c r="B30" s="94"/>
      <c r="C30" s="79"/>
      <c r="D30" s="84"/>
      <c r="E30" s="80"/>
      <c r="F30" s="81"/>
      <c r="G30" s="82"/>
      <c r="H30" s="83"/>
      <c r="I30" s="84"/>
      <c r="J30" s="79"/>
    </row>
    <row r="31" s="71" customFormat="1" ht="16" customHeight="1" spans="1:10">
      <c r="A31" s="79">
        <v>26</v>
      </c>
      <c r="B31" s="79"/>
      <c r="C31" s="79"/>
      <c r="D31" s="79"/>
      <c r="E31" s="80"/>
      <c r="F31" s="81"/>
      <c r="G31" s="82"/>
      <c r="H31" s="83"/>
      <c r="I31" s="83"/>
      <c r="J31" s="79"/>
    </row>
    <row r="32" s="71" customFormat="1" ht="16" customHeight="1" spans="1:10">
      <c r="A32" s="79">
        <v>27</v>
      </c>
      <c r="B32" s="79"/>
      <c r="C32" s="79"/>
      <c r="D32" s="79"/>
      <c r="E32" s="80"/>
      <c r="F32" s="81"/>
      <c r="G32" s="84"/>
      <c r="H32" s="83"/>
      <c r="I32" s="83"/>
      <c r="J32" s="79"/>
    </row>
    <row r="33" s="71" customFormat="1" ht="16" customHeight="1" spans="1:10">
      <c r="A33" s="79">
        <v>28</v>
      </c>
      <c r="B33" s="79"/>
      <c r="C33" s="79"/>
      <c r="D33" s="79"/>
      <c r="E33" s="80"/>
      <c r="F33" s="81"/>
      <c r="G33" s="82"/>
      <c r="H33" s="83"/>
      <c r="I33" s="83"/>
      <c r="J33" s="79"/>
    </row>
    <row r="34" s="71" customFormat="1" customHeight="1" spans="1:10">
      <c r="A34" s="79" t="s">
        <v>42</v>
      </c>
      <c r="B34" s="87">
        <f>SUM(I6:I33)</f>
        <v>2239.45</v>
      </c>
      <c r="C34" s="88"/>
      <c r="D34" s="88"/>
      <c r="E34" s="88"/>
      <c r="F34" s="88"/>
      <c r="G34" s="88"/>
      <c r="H34" s="88"/>
      <c r="I34" s="88"/>
      <c r="J34" s="92"/>
    </row>
    <row r="35" s="71" customFormat="1" customHeight="1" spans="1:10">
      <c r="A35" s="79" t="s">
        <v>43</v>
      </c>
      <c r="B35" s="90">
        <f>B34</f>
        <v>2239.45</v>
      </c>
      <c r="C35" s="91"/>
      <c r="D35" s="91"/>
      <c r="E35" s="91"/>
      <c r="F35" s="91"/>
      <c r="G35" s="91"/>
      <c r="H35" s="91"/>
      <c r="I35" s="91"/>
      <c r="J35" s="93"/>
    </row>
    <row r="36" s="71" customFormat="1" customHeight="1" spans="1:1">
      <c r="A36" s="71" t="s">
        <v>44</v>
      </c>
    </row>
  </sheetData>
  <sortState ref="A14:I24">
    <sortCondition ref="A14"/>
  </sortState>
  <mergeCells count="4">
    <mergeCell ref="A1:J1"/>
    <mergeCell ref="B34:J34"/>
    <mergeCell ref="B35:J35"/>
    <mergeCell ref="A36:J36"/>
  </mergeCells>
  <conditionalFormatting sqref="B26">
    <cfRule type="duplicateValues" dxfId="0" priority="22"/>
    <cfRule type="duplicateValues" dxfId="0" priority="21"/>
  </conditionalFormatting>
  <conditionalFormatting sqref="C26">
    <cfRule type="duplicateValues" dxfId="0" priority="20"/>
    <cfRule type="duplicateValues" dxfId="0" priority="19"/>
  </conditionalFormatting>
  <conditionalFormatting sqref="D26">
    <cfRule type="duplicateValues" dxfId="0" priority="18"/>
    <cfRule type="duplicateValues" dxfId="0" priority="17"/>
  </conditionalFormatting>
  <conditionalFormatting sqref="E26">
    <cfRule type="duplicateValues" dxfId="0" priority="16"/>
    <cfRule type="duplicateValues" dxfId="0" priority="15"/>
  </conditionalFormatting>
  <conditionalFormatting sqref="F26">
    <cfRule type="duplicateValues" dxfId="0" priority="14"/>
    <cfRule type="duplicateValues" dxfId="0" priority="13"/>
  </conditionalFormatting>
  <conditionalFormatting sqref="G26">
    <cfRule type="duplicateValues" dxfId="0" priority="12"/>
    <cfRule type="duplicateValues" dxfId="0" priority="11"/>
  </conditionalFormatting>
  <conditionalFormatting sqref="H26">
    <cfRule type="duplicateValues" dxfId="0" priority="10"/>
    <cfRule type="duplicateValues" dxfId="0" priority="9"/>
  </conditionalFormatting>
  <conditionalFormatting sqref="I26">
    <cfRule type="duplicateValues" dxfId="0" priority="4"/>
    <cfRule type="duplicateValues" dxfId="0" priority="3"/>
  </conditionalFormatting>
  <conditionalFormatting sqref="I30">
    <cfRule type="duplicateValues" dxfId="0" priority="2"/>
    <cfRule type="duplicateValues" dxfId="0" priority="1"/>
  </conditionalFormatting>
  <conditionalFormatting sqref="G32">
    <cfRule type="duplicateValues" dxfId="0" priority="6"/>
    <cfRule type="duplicateValues" dxfId="0" priority="5"/>
  </conditionalFormatting>
  <conditionalFormatting sqref="B6:C25">
    <cfRule type="duplicateValues" dxfId="0" priority="24"/>
  </conditionalFormatting>
  <conditionalFormatting sqref="B6:B25 B27:B33">
    <cfRule type="duplicateValues" dxfId="0" priority="2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5" workbookViewId="0">
      <selection activeCell="F15" sqref="F15"/>
    </sheetView>
  </sheetViews>
  <sheetFormatPr defaultColWidth="11" defaultRowHeight="18" customHeight="1"/>
  <cols>
    <col min="1" max="1" width="9.125" style="71" customWidth="1"/>
    <col min="2" max="2" width="19.25" style="71" customWidth="1"/>
    <col min="3" max="3" width="11.375" style="71" customWidth="1"/>
    <col min="4" max="4" width="5.94166666666667" style="71" customWidth="1"/>
    <col min="5" max="5" width="5.25" style="71" customWidth="1"/>
    <col min="6" max="6" width="8" style="71" customWidth="1"/>
    <col min="7" max="7" width="6.625" style="71" customWidth="1"/>
    <col min="8" max="8" width="7.875" style="71" customWidth="1"/>
    <col min="9" max="9" width="8.625" style="71" customWidth="1"/>
    <col min="10" max="10" width="7.375" style="71" customWidth="1"/>
    <col min="11" max="16350" width="11.6666666666667" style="71" customWidth="1"/>
    <col min="16351" max="16351" width="11.6666666666667" style="71"/>
    <col min="16352" max="16357" width="11" style="71"/>
    <col min="16358" max="16384" width="11" style="73"/>
  </cols>
  <sheetData>
    <row r="1" s="71" customFormat="1" ht="24" customHeight="1" spans="1:10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</row>
    <row r="2" s="71" customFormat="1" ht="8" customHeight="1" spans="1:10">
      <c r="A2" s="74"/>
      <c r="B2" s="74"/>
      <c r="C2" s="74"/>
      <c r="D2" s="74"/>
      <c r="E2" s="74"/>
      <c r="F2" s="74"/>
      <c r="G2" s="74"/>
      <c r="H2" s="74"/>
      <c r="I2" s="74"/>
      <c r="J2" s="74"/>
    </row>
    <row r="3" s="71" customFormat="1" customHeight="1" spans="1:2">
      <c r="A3" s="71" t="s">
        <v>1</v>
      </c>
      <c r="B3" s="71" t="s">
        <v>2</v>
      </c>
    </row>
    <row r="4" s="71" customFormat="1" customHeight="1" spans="1:10">
      <c r="A4" s="71" t="s">
        <v>3</v>
      </c>
      <c r="B4" s="76">
        <v>45356</v>
      </c>
      <c r="C4" s="76"/>
      <c r="D4" s="77"/>
      <c r="E4" s="77"/>
      <c r="F4" s="77"/>
      <c r="G4" s="77"/>
      <c r="H4" s="76"/>
      <c r="I4" s="76"/>
      <c r="J4" s="76"/>
    </row>
    <row r="5" s="71" customFormat="1" customHeight="1" spans="1:10">
      <c r="A5" s="79" t="s">
        <v>4</v>
      </c>
      <c r="B5" s="79" t="s">
        <v>5</v>
      </c>
      <c r="C5" s="79" t="s">
        <v>6</v>
      </c>
      <c r="D5" s="79" t="s">
        <v>7</v>
      </c>
      <c r="E5" s="79" t="s">
        <v>8</v>
      </c>
      <c r="F5" s="79" t="s">
        <v>9</v>
      </c>
      <c r="G5" s="79" t="s">
        <v>10</v>
      </c>
      <c r="H5" s="79" t="s">
        <v>11</v>
      </c>
      <c r="I5" s="79" t="s">
        <v>12</v>
      </c>
      <c r="J5" s="79" t="s">
        <v>13</v>
      </c>
    </row>
    <row r="6" s="71" customFormat="1" ht="16" customHeight="1" spans="1:10">
      <c r="A6" s="79">
        <v>1</v>
      </c>
      <c r="B6" s="79" t="s">
        <v>14</v>
      </c>
      <c r="C6" s="79"/>
      <c r="D6" s="80" t="s">
        <v>15</v>
      </c>
      <c r="E6" s="80">
        <v>11</v>
      </c>
      <c r="F6" s="81">
        <f>H6/0.85</f>
        <v>3.52941176470588</v>
      </c>
      <c r="G6" s="82">
        <f>H6/F6</f>
        <v>0.85</v>
      </c>
      <c r="H6" s="83">
        <v>3</v>
      </c>
      <c r="I6" s="83">
        <f>E6*H6</f>
        <v>33</v>
      </c>
      <c r="J6" s="79"/>
    </row>
    <row r="7" s="71" customFormat="1" ht="16" customHeight="1" spans="1:10">
      <c r="A7" s="79">
        <v>2</v>
      </c>
      <c r="B7" s="79" t="s">
        <v>17</v>
      </c>
      <c r="C7" s="79"/>
      <c r="D7" s="80" t="s">
        <v>15</v>
      </c>
      <c r="E7" s="80">
        <v>8</v>
      </c>
      <c r="F7" s="81">
        <f>H7/0.85</f>
        <v>4.11764705882353</v>
      </c>
      <c r="G7" s="82">
        <f>H7/F7</f>
        <v>0.85</v>
      </c>
      <c r="H7" s="83">
        <v>3.5</v>
      </c>
      <c r="I7" s="83">
        <f>E7*H7</f>
        <v>28</v>
      </c>
      <c r="J7" s="79"/>
    </row>
    <row r="8" s="71" customFormat="1" ht="16" customHeight="1" spans="1:10">
      <c r="A8" s="79">
        <v>3</v>
      </c>
      <c r="B8" s="79" t="s">
        <v>66</v>
      </c>
      <c r="C8" s="79"/>
      <c r="D8" s="80" t="s">
        <v>15</v>
      </c>
      <c r="E8" s="80">
        <v>6</v>
      </c>
      <c r="F8" s="81">
        <f>H8/0.85</f>
        <v>6.82352941176471</v>
      </c>
      <c r="G8" s="82">
        <f>H8/F8</f>
        <v>0.85</v>
      </c>
      <c r="H8" s="83">
        <v>5.8</v>
      </c>
      <c r="I8" s="83">
        <f>E8*H8</f>
        <v>34.8</v>
      </c>
      <c r="J8" s="79"/>
    </row>
    <row r="9" s="71" customFormat="1" ht="16" customHeight="1" spans="1:10">
      <c r="A9" s="79">
        <v>4</v>
      </c>
      <c r="B9" s="84" t="s">
        <v>67</v>
      </c>
      <c r="C9" s="84"/>
      <c r="D9" s="80" t="s">
        <v>15</v>
      </c>
      <c r="E9" s="80">
        <v>5</v>
      </c>
      <c r="F9" s="81">
        <f>H9/0.85</f>
        <v>4.11764705882353</v>
      </c>
      <c r="G9" s="82">
        <f>H9/F9</f>
        <v>0.85</v>
      </c>
      <c r="H9" s="83">
        <v>3.5</v>
      </c>
      <c r="I9" s="83">
        <f>E9*H9</f>
        <v>17.5</v>
      </c>
      <c r="J9" s="79"/>
    </row>
    <row r="10" s="71" customFormat="1" ht="16" customHeight="1" spans="1:10">
      <c r="A10" s="79">
        <v>5</v>
      </c>
      <c r="B10" s="79" t="s">
        <v>68</v>
      </c>
      <c r="C10" s="79"/>
      <c r="D10" s="80" t="s">
        <v>15</v>
      </c>
      <c r="E10" s="80">
        <v>2</v>
      </c>
      <c r="F10" s="81">
        <f t="shared" ref="F10:F26" si="0">H10/0.85</f>
        <v>10.3529411764706</v>
      </c>
      <c r="G10" s="82">
        <f t="shared" ref="G10:G26" si="1">H10/F10</f>
        <v>0.85</v>
      </c>
      <c r="H10" s="83">
        <v>8.8</v>
      </c>
      <c r="I10" s="83">
        <f t="shared" ref="I10:I26" si="2">E10*H10</f>
        <v>17.6</v>
      </c>
      <c r="J10" s="79"/>
    </row>
    <row r="11" s="71" customFormat="1" ht="16" customHeight="1" spans="1:10">
      <c r="A11" s="79">
        <v>6</v>
      </c>
      <c r="B11" s="79" t="s">
        <v>69</v>
      </c>
      <c r="C11" s="79"/>
      <c r="D11" s="80" t="s">
        <v>15</v>
      </c>
      <c r="E11" s="80">
        <v>3</v>
      </c>
      <c r="F11" s="81">
        <f t="shared" si="0"/>
        <v>5.64705882352941</v>
      </c>
      <c r="G11" s="82">
        <f t="shared" si="1"/>
        <v>0.85</v>
      </c>
      <c r="H11" s="83">
        <v>4.8</v>
      </c>
      <c r="I11" s="83">
        <f t="shared" si="2"/>
        <v>14.4</v>
      </c>
      <c r="J11" s="79"/>
    </row>
    <row r="12" s="71" customFormat="1" ht="16" customHeight="1" spans="1:10">
      <c r="A12" s="79">
        <v>7</v>
      </c>
      <c r="B12" s="79" t="s">
        <v>70</v>
      </c>
      <c r="C12" s="79"/>
      <c r="D12" s="80" t="s">
        <v>15</v>
      </c>
      <c r="E12" s="80">
        <v>7</v>
      </c>
      <c r="F12" s="81">
        <f t="shared" si="0"/>
        <v>5.64705882352941</v>
      </c>
      <c r="G12" s="82">
        <f t="shared" si="1"/>
        <v>0.85</v>
      </c>
      <c r="H12" s="83">
        <v>4.8</v>
      </c>
      <c r="I12" s="83">
        <f t="shared" si="2"/>
        <v>33.6</v>
      </c>
      <c r="J12" s="79"/>
    </row>
    <row r="13" s="71" customFormat="1" ht="16" customHeight="1" spans="1:10">
      <c r="A13" s="79">
        <v>8</v>
      </c>
      <c r="B13" s="84" t="s">
        <v>71</v>
      </c>
      <c r="C13" s="84"/>
      <c r="D13" s="85" t="s">
        <v>15</v>
      </c>
      <c r="E13" s="85">
        <v>6</v>
      </c>
      <c r="F13" s="81">
        <f t="shared" si="0"/>
        <v>7.64705882352941</v>
      </c>
      <c r="G13" s="82">
        <f t="shared" si="1"/>
        <v>0.85</v>
      </c>
      <c r="H13" s="83">
        <v>6.5</v>
      </c>
      <c r="I13" s="83">
        <f t="shared" si="2"/>
        <v>39</v>
      </c>
      <c r="J13" s="84"/>
    </row>
    <row r="14" s="71" customFormat="1" ht="16" customHeight="1" spans="1:10">
      <c r="A14" s="79">
        <v>9</v>
      </c>
      <c r="B14" s="84" t="s">
        <v>72</v>
      </c>
      <c r="C14" s="84"/>
      <c r="D14" s="85" t="s">
        <v>15</v>
      </c>
      <c r="E14" s="85">
        <v>5</v>
      </c>
      <c r="F14" s="81">
        <f t="shared" si="0"/>
        <v>6.82352941176471</v>
      </c>
      <c r="G14" s="82">
        <f t="shared" si="1"/>
        <v>0.85</v>
      </c>
      <c r="H14" s="83">
        <v>5.8</v>
      </c>
      <c r="I14" s="83">
        <f t="shared" si="2"/>
        <v>29</v>
      </c>
      <c r="J14" s="84"/>
    </row>
    <row r="15" s="71" customFormat="1" ht="16" customHeight="1" spans="1:10">
      <c r="A15" s="79">
        <v>10</v>
      </c>
      <c r="B15" s="84" t="s">
        <v>73</v>
      </c>
      <c r="C15" s="84"/>
      <c r="D15" s="85" t="s">
        <v>15</v>
      </c>
      <c r="E15" s="85">
        <v>4</v>
      </c>
      <c r="F15" s="81">
        <f t="shared" si="0"/>
        <v>11.5294117647059</v>
      </c>
      <c r="G15" s="82">
        <f t="shared" si="1"/>
        <v>0.85</v>
      </c>
      <c r="H15" s="83">
        <v>9.8</v>
      </c>
      <c r="I15" s="83">
        <f t="shared" si="2"/>
        <v>39.2</v>
      </c>
      <c r="J15" s="84"/>
    </row>
    <row r="16" s="71" customFormat="1" ht="16" customHeight="1" spans="1:10">
      <c r="A16" s="79">
        <v>11</v>
      </c>
      <c r="B16" s="84" t="s">
        <v>74</v>
      </c>
      <c r="C16" s="84"/>
      <c r="D16" s="85" t="s">
        <v>15</v>
      </c>
      <c r="E16" s="85">
        <v>2</v>
      </c>
      <c r="F16" s="81">
        <f t="shared" si="0"/>
        <v>4.11764705882353</v>
      </c>
      <c r="G16" s="82">
        <f t="shared" si="1"/>
        <v>0.85</v>
      </c>
      <c r="H16" s="83">
        <v>3.5</v>
      </c>
      <c r="I16" s="83">
        <f t="shared" si="2"/>
        <v>7</v>
      </c>
      <c r="J16" s="84"/>
    </row>
    <row r="17" s="71" customFormat="1" ht="16" customHeight="1" spans="1:10">
      <c r="A17" s="79">
        <v>12</v>
      </c>
      <c r="B17" s="79" t="s">
        <v>75</v>
      </c>
      <c r="C17" s="79"/>
      <c r="D17" s="80" t="s">
        <v>15</v>
      </c>
      <c r="E17" s="80">
        <v>12</v>
      </c>
      <c r="F17" s="81">
        <f t="shared" si="0"/>
        <v>5.29411764705882</v>
      </c>
      <c r="G17" s="82">
        <f t="shared" si="1"/>
        <v>0.85</v>
      </c>
      <c r="H17" s="83">
        <v>4.5</v>
      </c>
      <c r="I17" s="83">
        <f t="shared" si="2"/>
        <v>54</v>
      </c>
      <c r="J17" s="84"/>
    </row>
    <row r="18" s="71" customFormat="1" ht="16" customHeight="1" spans="1:10">
      <c r="A18" s="79">
        <v>13</v>
      </c>
      <c r="B18" s="84" t="s">
        <v>76</v>
      </c>
      <c r="C18" s="84"/>
      <c r="D18" s="85" t="s">
        <v>15</v>
      </c>
      <c r="E18" s="85">
        <v>24.7</v>
      </c>
      <c r="F18" s="81">
        <f t="shared" si="0"/>
        <v>12.7058823529412</v>
      </c>
      <c r="G18" s="82">
        <f t="shared" si="1"/>
        <v>0.85</v>
      </c>
      <c r="H18" s="83">
        <v>10.8</v>
      </c>
      <c r="I18" s="83">
        <f t="shared" si="2"/>
        <v>266.76</v>
      </c>
      <c r="J18" s="79"/>
    </row>
    <row r="19" s="71" customFormat="1" ht="16" customHeight="1" spans="1:10">
      <c r="A19" s="79">
        <v>14</v>
      </c>
      <c r="B19" s="84" t="s">
        <v>77</v>
      </c>
      <c r="C19" s="84" t="s">
        <v>78</v>
      </c>
      <c r="D19" s="85" t="s">
        <v>56</v>
      </c>
      <c r="E19" s="85">
        <v>1</v>
      </c>
      <c r="F19" s="81">
        <f t="shared" si="0"/>
        <v>329.411764705882</v>
      </c>
      <c r="G19" s="82">
        <f t="shared" si="1"/>
        <v>0.85</v>
      </c>
      <c r="H19" s="83">
        <v>280</v>
      </c>
      <c r="I19" s="83">
        <f t="shared" si="2"/>
        <v>280</v>
      </c>
      <c r="J19" s="84"/>
    </row>
    <row r="20" s="71" customFormat="1" ht="16" customHeight="1" spans="1:10">
      <c r="A20" s="79">
        <v>15</v>
      </c>
      <c r="B20" s="84" t="s">
        <v>79</v>
      </c>
      <c r="C20" s="84"/>
      <c r="D20" s="85" t="s">
        <v>15</v>
      </c>
      <c r="E20" s="85">
        <v>8</v>
      </c>
      <c r="F20" s="81">
        <f t="shared" si="0"/>
        <v>22.9411764705882</v>
      </c>
      <c r="G20" s="82">
        <f t="shared" si="1"/>
        <v>0.85</v>
      </c>
      <c r="H20" s="83">
        <v>19.5</v>
      </c>
      <c r="I20" s="83">
        <f t="shared" si="2"/>
        <v>156</v>
      </c>
      <c r="J20" s="84"/>
    </row>
    <row r="21" s="71" customFormat="1" ht="16" customHeight="1" spans="1:10">
      <c r="A21" s="79">
        <v>16</v>
      </c>
      <c r="B21" s="84" t="s">
        <v>80</v>
      </c>
      <c r="C21" s="84"/>
      <c r="D21" s="84" t="s">
        <v>15</v>
      </c>
      <c r="E21" s="85">
        <v>8</v>
      </c>
      <c r="F21" s="81">
        <f t="shared" si="0"/>
        <v>16.2352941176471</v>
      </c>
      <c r="G21" s="82">
        <f t="shared" si="1"/>
        <v>0.85</v>
      </c>
      <c r="H21" s="83">
        <v>13.8</v>
      </c>
      <c r="I21" s="83">
        <f t="shared" si="2"/>
        <v>110.4</v>
      </c>
      <c r="J21" s="84"/>
    </row>
    <row r="22" s="71" customFormat="1" ht="16" customHeight="1" spans="1:10">
      <c r="A22" s="79">
        <v>17</v>
      </c>
      <c r="B22" s="84" t="s">
        <v>28</v>
      </c>
      <c r="C22" s="84"/>
      <c r="D22" s="85" t="s">
        <v>15</v>
      </c>
      <c r="E22" s="85">
        <v>5</v>
      </c>
      <c r="F22" s="81">
        <f t="shared" si="0"/>
        <v>23.5294117647059</v>
      </c>
      <c r="G22" s="82">
        <f t="shared" si="1"/>
        <v>0.85</v>
      </c>
      <c r="H22" s="83">
        <v>20</v>
      </c>
      <c r="I22" s="83">
        <f t="shared" si="2"/>
        <v>100</v>
      </c>
      <c r="J22" s="84"/>
    </row>
    <row r="23" s="71" customFormat="1" ht="16" customHeight="1" spans="1:10">
      <c r="A23" s="79">
        <v>18</v>
      </c>
      <c r="B23" s="84" t="s">
        <v>81</v>
      </c>
      <c r="C23" s="84"/>
      <c r="D23" s="85" t="s">
        <v>15</v>
      </c>
      <c r="E23" s="85">
        <v>13.6</v>
      </c>
      <c r="F23" s="81">
        <f t="shared" si="0"/>
        <v>16.2352941176471</v>
      </c>
      <c r="G23" s="82">
        <f t="shared" si="1"/>
        <v>0.85</v>
      </c>
      <c r="H23" s="83">
        <v>13.8</v>
      </c>
      <c r="I23" s="83">
        <f t="shared" si="2"/>
        <v>187.68</v>
      </c>
      <c r="J23" s="84"/>
    </row>
    <row r="24" s="71" customFormat="1" ht="16" customHeight="1" spans="1:10">
      <c r="A24" s="79">
        <v>19</v>
      </c>
      <c r="B24" s="84" t="s">
        <v>82</v>
      </c>
      <c r="C24" s="84" t="s">
        <v>83</v>
      </c>
      <c r="D24" s="85" t="s">
        <v>33</v>
      </c>
      <c r="E24" s="85">
        <v>8</v>
      </c>
      <c r="F24" s="81">
        <f t="shared" si="0"/>
        <v>2.94117647058824</v>
      </c>
      <c r="G24" s="82">
        <f t="shared" si="1"/>
        <v>0.85</v>
      </c>
      <c r="H24" s="83">
        <v>2.5</v>
      </c>
      <c r="I24" s="83">
        <f t="shared" si="2"/>
        <v>20</v>
      </c>
      <c r="J24" s="84"/>
    </row>
    <row r="25" s="71" customFormat="1" ht="16" customHeight="1" spans="1:10">
      <c r="A25" s="79">
        <v>20</v>
      </c>
      <c r="B25" s="79" t="s">
        <v>34</v>
      </c>
      <c r="C25" s="79" t="s">
        <v>35</v>
      </c>
      <c r="D25" s="80" t="s">
        <v>15</v>
      </c>
      <c r="E25" s="80">
        <v>4</v>
      </c>
      <c r="F25" s="81">
        <f t="shared" si="0"/>
        <v>10</v>
      </c>
      <c r="G25" s="82">
        <f t="shared" si="1"/>
        <v>0.85</v>
      </c>
      <c r="H25" s="83">
        <v>8.5</v>
      </c>
      <c r="I25" s="83">
        <f t="shared" si="2"/>
        <v>34</v>
      </c>
      <c r="J25" s="79"/>
    </row>
    <row r="26" s="71" customFormat="1" ht="16" customHeight="1" spans="1:10">
      <c r="A26" s="79">
        <v>21</v>
      </c>
      <c r="B26" s="84" t="s">
        <v>84</v>
      </c>
      <c r="C26" s="84" t="s">
        <v>85</v>
      </c>
      <c r="D26" s="80" t="s">
        <v>15</v>
      </c>
      <c r="E26" s="80">
        <v>2</v>
      </c>
      <c r="F26" s="81">
        <f t="shared" si="0"/>
        <v>6.47058823529412</v>
      </c>
      <c r="G26" s="82">
        <f t="shared" si="1"/>
        <v>0.85</v>
      </c>
      <c r="H26" s="83">
        <v>5.5</v>
      </c>
      <c r="I26" s="83">
        <f t="shared" si="2"/>
        <v>11</v>
      </c>
      <c r="J26" s="79"/>
    </row>
    <row r="27" s="71" customFormat="1" ht="16" customHeight="1" spans="1:10">
      <c r="A27" s="79">
        <v>22</v>
      </c>
      <c r="B27" s="84"/>
      <c r="C27" s="84"/>
      <c r="D27" s="84"/>
      <c r="E27" s="85"/>
      <c r="F27" s="81"/>
      <c r="G27" s="82"/>
      <c r="H27" s="83"/>
      <c r="I27" s="83"/>
      <c r="J27" s="84"/>
    </row>
    <row r="28" s="71" customFormat="1" ht="16" customHeight="1" spans="1:10">
      <c r="A28" s="79">
        <v>23</v>
      </c>
      <c r="B28" s="79"/>
      <c r="C28" s="79"/>
      <c r="D28" s="84"/>
      <c r="E28" s="80"/>
      <c r="F28" s="81"/>
      <c r="G28" s="82"/>
      <c r="H28" s="83"/>
      <c r="I28" s="83"/>
      <c r="J28" s="79"/>
    </row>
    <row r="29" s="71" customFormat="1" ht="16" customHeight="1" spans="1:10">
      <c r="A29" s="79">
        <v>24</v>
      </c>
      <c r="B29" s="94"/>
      <c r="C29" s="79"/>
      <c r="D29" s="84"/>
      <c r="E29" s="80"/>
      <c r="F29" s="81"/>
      <c r="G29" s="82"/>
      <c r="H29" s="83"/>
      <c r="I29" s="83"/>
      <c r="J29" s="79"/>
    </row>
    <row r="30" s="71" customFormat="1" ht="16" customHeight="1" spans="1:10">
      <c r="A30" s="79">
        <v>25</v>
      </c>
      <c r="B30" s="79"/>
      <c r="C30" s="79"/>
      <c r="D30" s="79"/>
      <c r="E30" s="80"/>
      <c r="F30" s="81"/>
      <c r="G30" s="82"/>
      <c r="H30" s="83"/>
      <c r="I30" s="83"/>
      <c r="J30" s="79"/>
    </row>
    <row r="31" s="71" customFormat="1" ht="16" customHeight="1" spans="1:10">
      <c r="A31" s="79">
        <v>26</v>
      </c>
      <c r="B31" s="79"/>
      <c r="C31" s="79"/>
      <c r="D31" s="79"/>
      <c r="E31" s="80"/>
      <c r="F31" s="81"/>
      <c r="G31" s="82"/>
      <c r="H31" s="83"/>
      <c r="I31" s="83"/>
      <c r="J31" s="79"/>
    </row>
    <row r="32" s="71" customFormat="1" ht="16" customHeight="1" spans="1:10">
      <c r="A32" s="79">
        <v>27</v>
      </c>
      <c r="B32" s="79"/>
      <c r="C32" s="79"/>
      <c r="D32" s="79"/>
      <c r="E32" s="80"/>
      <c r="F32" s="81"/>
      <c r="G32" s="82"/>
      <c r="H32" s="83"/>
      <c r="I32" s="83"/>
      <c r="J32" s="79"/>
    </row>
    <row r="33" s="71" customFormat="1" ht="16" customHeight="1" spans="1:10">
      <c r="A33" s="79">
        <v>28</v>
      </c>
      <c r="B33" s="79"/>
      <c r="C33" s="79"/>
      <c r="D33" s="79"/>
      <c r="E33" s="80"/>
      <c r="F33" s="81"/>
      <c r="G33" s="82"/>
      <c r="H33" s="83"/>
      <c r="I33" s="83"/>
      <c r="J33" s="79"/>
    </row>
    <row r="34" s="71" customFormat="1" customHeight="1" spans="1:10">
      <c r="A34" s="79" t="s">
        <v>42</v>
      </c>
      <c r="B34" s="87">
        <f>SUM(I6:I33)</f>
        <v>1512.94</v>
      </c>
      <c r="C34" s="88"/>
      <c r="D34" s="88"/>
      <c r="E34" s="88"/>
      <c r="F34" s="88"/>
      <c r="G34" s="88"/>
      <c r="H34" s="88"/>
      <c r="I34" s="88"/>
      <c r="J34" s="92"/>
    </row>
    <row r="35" s="71" customFormat="1" customHeight="1" spans="1:10">
      <c r="A35" s="79" t="s">
        <v>43</v>
      </c>
      <c r="B35" s="90">
        <f>B34</f>
        <v>1512.94</v>
      </c>
      <c r="C35" s="91"/>
      <c r="D35" s="91"/>
      <c r="E35" s="91"/>
      <c r="F35" s="91"/>
      <c r="G35" s="91"/>
      <c r="H35" s="91"/>
      <c r="I35" s="91"/>
      <c r="J35" s="93"/>
    </row>
    <row r="36" s="71" customFormat="1" customHeight="1" spans="1:1">
      <c r="A36" s="71" t="s">
        <v>44</v>
      </c>
    </row>
  </sheetData>
  <sortState ref="A16:I23">
    <sortCondition ref="A16"/>
  </sortState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6" workbookViewId="0">
      <selection activeCell="E28" sqref="E28"/>
    </sheetView>
  </sheetViews>
  <sheetFormatPr defaultColWidth="11" defaultRowHeight="18" customHeight="1"/>
  <cols>
    <col min="1" max="1" width="9.125" style="71" customWidth="1"/>
    <col min="2" max="2" width="19.25" style="71" customWidth="1"/>
    <col min="3" max="3" width="11.375" style="71" customWidth="1"/>
    <col min="4" max="4" width="5.94166666666667" style="71" customWidth="1"/>
    <col min="5" max="5" width="5.25" style="71" customWidth="1"/>
    <col min="6" max="6" width="8" style="71" customWidth="1"/>
    <col min="7" max="7" width="6.625" style="71" customWidth="1"/>
    <col min="8" max="8" width="7.875" style="71" customWidth="1"/>
    <col min="9" max="9" width="8.625" style="71" customWidth="1"/>
    <col min="10" max="10" width="7.375" style="71" customWidth="1"/>
    <col min="11" max="16350" width="11.6666666666667" style="71" customWidth="1"/>
    <col min="16351" max="16351" width="11.6666666666667" style="71"/>
    <col min="16352" max="16357" width="11" style="71"/>
    <col min="16358" max="16384" width="11" style="73"/>
  </cols>
  <sheetData>
    <row r="1" s="71" customFormat="1" ht="24" customHeight="1" spans="1:10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</row>
    <row r="2" s="71" customFormat="1" ht="8" customHeight="1" spans="1:10">
      <c r="A2" s="74"/>
      <c r="B2" s="74"/>
      <c r="C2" s="74"/>
      <c r="D2" s="74"/>
      <c r="E2" s="74"/>
      <c r="F2" s="74"/>
      <c r="G2" s="74"/>
      <c r="H2" s="74"/>
      <c r="I2" s="74"/>
      <c r="J2" s="74"/>
    </row>
    <row r="3" s="71" customFormat="1" customHeight="1" spans="1:2">
      <c r="A3" s="71" t="s">
        <v>1</v>
      </c>
      <c r="B3" s="71" t="s">
        <v>2</v>
      </c>
    </row>
    <row r="4" s="71" customFormat="1" customHeight="1" spans="1:10">
      <c r="A4" s="71" t="s">
        <v>3</v>
      </c>
      <c r="B4" s="76">
        <v>45357</v>
      </c>
      <c r="C4" s="76"/>
      <c r="D4" s="77"/>
      <c r="E4" s="77"/>
      <c r="F4" s="77"/>
      <c r="G4" s="77"/>
      <c r="H4" s="76"/>
      <c r="I4" s="76"/>
      <c r="J4" s="76"/>
    </row>
    <row r="5" s="71" customFormat="1" customHeight="1" spans="1:10">
      <c r="A5" s="79" t="s">
        <v>4</v>
      </c>
      <c r="B5" s="79" t="s">
        <v>5</v>
      </c>
      <c r="C5" s="79" t="s">
        <v>6</v>
      </c>
      <c r="D5" s="79" t="s">
        <v>7</v>
      </c>
      <c r="E5" s="79" t="s">
        <v>8</v>
      </c>
      <c r="F5" s="79" t="s">
        <v>9</v>
      </c>
      <c r="G5" s="79" t="s">
        <v>10</v>
      </c>
      <c r="H5" s="79" t="s">
        <v>11</v>
      </c>
      <c r="I5" s="79" t="s">
        <v>12</v>
      </c>
      <c r="J5" s="79" t="s">
        <v>13</v>
      </c>
    </row>
    <row r="6" s="71" customFormat="1" ht="16" customHeight="1" spans="1:10">
      <c r="A6" s="79">
        <v>1</v>
      </c>
      <c r="B6" s="79" t="s">
        <v>86</v>
      </c>
      <c r="C6" s="79" t="s">
        <v>87</v>
      </c>
      <c r="D6" s="80" t="s">
        <v>15</v>
      </c>
      <c r="E6" s="80">
        <v>10</v>
      </c>
      <c r="F6" s="81">
        <f t="shared" ref="F6:F27" si="0">H6/0.85</f>
        <v>4.11764705882353</v>
      </c>
      <c r="G6" s="82">
        <f t="shared" ref="G6:G27" si="1">H6/F6</f>
        <v>0.85</v>
      </c>
      <c r="H6" s="83">
        <v>3.5</v>
      </c>
      <c r="I6" s="83">
        <f t="shared" ref="I6:I27" si="2">E6*H6</f>
        <v>35</v>
      </c>
      <c r="J6" s="79"/>
    </row>
    <row r="7" s="71" customFormat="1" ht="16" customHeight="1" spans="1:10">
      <c r="A7" s="79">
        <v>2</v>
      </c>
      <c r="B7" s="79" t="s">
        <v>17</v>
      </c>
      <c r="C7" s="79"/>
      <c r="D7" s="80" t="s">
        <v>15</v>
      </c>
      <c r="E7" s="80">
        <v>3</v>
      </c>
      <c r="F7" s="81">
        <f t="shared" si="0"/>
        <v>4.11764705882353</v>
      </c>
      <c r="G7" s="82">
        <f t="shared" si="1"/>
        <v>0.85</v>
      </c>
      <c r="H7" s="83">
        <v>3.5</v>
      </c>
      <c r="I7" s="83">
        <f t="shared" si="2"/>
        <v>10.5</v>
      </c>
      <c r="J7" s="79"/>
    </row>
    <row r="8" s="71" customFormat="1" ht="16" customHeight="1" spans="1:10">
      <c r="A8" s="79">
        <v>3</v>
      </c>
      <c r="B8" s="79" t="s">
        <v>88</v>
      </c>
      <c r="C8" s="79"/>
      <c r="D8" s="80" t="s">
        <v>15</v>
      </c>
      <c r="E8" s="80">
        <v>5</v>
      </c>
      <c r="F8" s="81">
        <f t="shared" si="0"/>
        <v>7.05882352941176</v>
      </c>
      <c r="G8" s="82">
        <f t="shared" si="1"/>
        <v>0.85</v>
      </c>
      <c r="H8" s="83">
        <v>6</v>
      </c>
      <c r="I8" s="83">
        <f t="shared" si="2"/>
        <v>30</v>
      </c>
      <c r="J8" s="79"/>
    </row>
    <row r="9" s="71" customFormat="1" ht="16" customHeight="1" spans="1:10">
      <c r="A9" s="79">
        <v>4</v>
      </c>
      <c r="B9" s="84" t="s">
        <v>89</v>
      </c>
      <c r="C9" s="84"/>
      <c r="D9" s="80" t="s">
        <v>15</v>
      </c>
      <c r="E9" s="80">
        <v>5</v>
      </c>
      <c r="F9" s="81">
        <f t="shared" si="0"/>
        <v>9.17647058823529</v>
      </c>
      <c r="G9" s="82">
        <f t="shared" si="1"/>
        <v>0.85</v>
      </c>
      <c r="H9" s="83">
        <v>7.8</v>
      </c>
      <c r="I9" s="83">
        <f t="shared" si="2"/>
        <v>39</v>
      </c>
      <c r="J9" s="79"/>
    </row>
    <row r="10" s="71" customFormat="1" ht="16" customHeight="1" spans="1:10">
      <c r="A10" s="79">
        <v>5</v>
      </c>
      <c r="B10" s="84" t="s">
        <v>20</v>
      </c>
      <c r="C10" s="84"/>
      <c r="D10" s="80" t="s">
        <v>15</v>
      </c>
      <c r="E10" s="80">
        <v>2</v>
      </c>
      <c r="F10" s="81">
        <f t="shared" si="0"/>
        <v>8</v>
      </c>
      <c r="G10" s="82">
        <f t="shared" si="1"/>
        <v>0.85</v>
      </c>
      <c r="H10" s="83">
        <v>6.8</v>
      </c>
      <c r="I10" s="83">
        <f t="shared" si="2"/>
        <v>13.6</v>
      </c>
      <c r="J10" s="79"/>
    </row>
    <row r="11" s="71" customFormat="1" ht="16" customHeight="1" spans="1:10">
      <c r="A11" s="79">
        <v>6</v>
      </c>
      <c r="B11" s="79" t="s">
        <v>90</v>
      </c>
      <c r="C11" s="79"/>
      <c r="D11" s="80" t="s">
        <v>15</v>
      </c>
      <c r="E11" s="80">
        <v>7</v>
      </c>
      <c r="F11" s="81">
        <f t="shared" si="0"/>
        <v>2.94117647058824</v>
      </c>
      <c r="G11" s="82">
        <f t="shared" si="1"/>
        <v>0.85</v>
      </c>
      <c r="H11" s="83">
        <v>2.5</v>
      </c>
      <c r="I11" s="83">
        <f t="shared" si="2"/>
        <v>17.5</v>
      </c>
      <c r="J11" s="79"/>
    </row>
    <row r="12" s="71" customFormat="1" ht="16" customHeight="1" spans="1:10">
      <c r="A12" s="79">
        <v>7</v>
      </c>
      <c r="B12" s="79" t="s">
        <v>50</v>
      </c>
      <c r="C12" s="79"/>
      <c r="D12" s="80" t="s">
        <v>15</v>
      </c>
      <c r="E12" s="80">
        <v>18</v>
      </c>
      <c r="F12" s="81">
        <f t="shared" si="0"/>
        <v>5.64705882352941</v>
      </c>
      <c r="G12" s="82">
        <f t="shared" si="1"/>
        <v>0.85</v>
      </c>
      <c r="H12" s="83">
        <v>4.8</v>
      </c>
      <c r="I12" s="83">
        <f t="shared" si="2"/>
        <v>86.4</v>
      </c>
      <c r="J12" s="79"/>
    </row>
    <row r="13" s="71" customFormat="1" ht="16" customHeight="1" spans="1:10">
      <c r="A13" s="79">
        <v>8</v>
      </c>
      <c r="B13" s="84" t="s">
        <v>91</v>
      </c>
      <c r="C13" s="84"/>
      <c r="D13" s="85" t="s">
        <v>15</v>
      </c>
      <c r="E13" s="85">
        <v>7.5</v>
      </c>
      <c r="F13" s="81">
        <f t="shared" si="0"/>
        <v>2.94117647058824</v>
      </c>
      <c r="G13" s="82">
        <f t="shared" si="1"/>
        <v>0.85</v>
      </c>
      <c r="H13" s="83">
        <v>2.5</v>
      </c>
      <c r="I13" s="83">
        <f t="shared" si="2"/>
        <v>18.75</v>
      </c>
      <c r="J13" s="84"/>
    </row>
    <row r="14" s="71" customFormat="1" ht="16" customHeight="1" spans="1:10">
      <c r="A14" s="79">
        <v>9</v>
      </c>
      <c r="B14" s="84" t="s">
        <v>73</v>
      </c>
      <c r="C14" s="84"/>
      <c r="D14" s="85" t="s">
        <v>15</v>
      </c>
      <c r="E14" s="85">
        <v>2</v>
      </c>
      <c r="F14" s="81">
        <f t="shared" si="0"/>
        <v>11.5294117647059</v>
      </c>
      <c r="G14" s="82">
        <f t="shared" si="1"/>
        <v>0.85</v>
      </c>
      <c r="H14" s="83">
        <v>9.8</v>
      </c>
      <c r="I14" s="83">
        <f t="shared" si="2"/>
        <v>19.6</v>
      </c>
      <c r="J14" s="84"/>
    </row>
    <row r="15" s="71" customFormat="1" ht="16" customHeight="1" spans="1:10">
      <c r="A15" s="79">
        <v>10</v>
      </c>
      <c r="B15" s="84" t="s">
        <v>92</v>
      </c>
      <c r="C15" s="84"/>
      <c r="D15" s="85" t="s">
        <v>15</v>
      </c>
      <c r="E15" s="85">
        <v>15</v>
      </c>
      <c r="F15" s="81">
        <f t="shared" si="0"/>
        <v>5.64705882352941</v>
      </c>
      <c r="G15" s="82">
        <f t="shared" si="1"/>
        <v>0.85</v>
      </c>
      <c r="H15" s="83">
        <v>4.8</v>
      </c>
      <c r="I15" s="83">
        <f t="shared" si="2"/>
        <v>72</v>
      </c>
      <c r="J15" s="84"/>
    </row>
    <row r="16" s="71" customFormat="1" ht="16" customHeight="1" spans="1:10">
      <c r="A16" s="79">
        <v>11</v>
      </c>
      <c r="B16" s="84" t="s">
        <v>74</v>
      </c>
      <c r="C16" s="84"/>
      <c r="D16" s="85" t="s">
        <v>15</v>
      </c>
      <c r="E16" s="85">
        <v>2</v>
      </c>
      <c r="F16" s="81">
        <f t="shared" si="0"/>
        <v>4.11764705882353</v>
      </c>
      <c r="G16" s="82">
        <f t="shared" si="1"/>
        <v>0.85</v>
      </c>
      <c r="H16" s="83">
        <v>3.5</v>
      </c>
      <c r="I16" s="83">
        <f t="shared" si="2"/>
        <v>7</v>
      </c>
      <c r="J16" s="84"/>
    </row>
    <row r="17" s="71" customFormat="1" ht="16" customHeight="1" spans="1:10">
      <c r="A17" s="79">
        <v>12</v>
      </c>
      <c r="B17" s="84" t="s">
        <v>93</v>
      </c>
      <c r="C17" s="84"/>
      <c r="D17" s="85" t="s">
        <v>15</v>
      </c>
      <c r="E17" s="85">
        <v>3</v>
      </c>
      <c r="F17" s="81">
        <f t="shared" si="0"/>
        <v>8</v>
      </c>
      <c r="G17" s="82">
        <f t="shared" si="1"/>
        <v>0.85</v>
      </c>
      <c r="H17" s="83">
        <v>6.8</v>
      </c>
      <c r="I17" s="83">
        <f t="shared" si="2"/>
        <v>20.4</v>
      </c>
      <c r="J17" s="84"/>
    </row>
    <row r="18" s="71" customFormat="1" ht="16" customHeight="1" spans="1:10">
      <c r="A18" s="79">
        <v>13</v>
      </c>
      <c r="B18" s="79" t="s">
        <v>94</v>
      </c>
      <c r="C18" s="79"/>
      <c r="D18" s="80" t="s">
        <v>15</v>
      </c>
      <c r="E18" s="80">
        <v>9</v>
      </c>
      <c r="F18" s="81">
        <f t="shared" si="0"/>
        <v>56.4705882352941</v>
      </c>
      <c r="G18" s="82">
        <f t="shared" si="1"/>
        <v>0.85</v>
      </c>
      <c r="H18" s="83">
        <v>48</v>
      </c>
      <c r="I18" s="83">
        <f t="shared" si="2"/>
        <v>432</v>
      </c>
      <c r="J18" s="79"/>
    </row>
    <row r="19" s="71" customFormat="1" ht="16" customHeight="1" spans="1:10">
      <c r="A19" s="79">
        <v>14</v>
      </c>
      <c r="B19" s="84" t="s">
        <v>27</v>
      </c>
      <c r="C19" s="84"/>
      <c r="D19" s="85" t="s">
        <v>15</v>
      </c>
      <c r="E19" s="85">
        <v>8</v>
      </c>
      <c r="F19" s="81">
        <f t="shared" si="0"/>
        <v>16.2352941176471</v>
      </c>
      <c r="G19" s="82">
        <f t="shared" si="1"/>
        <v>0.85</v>
      </c>
      <c r="H19" s="83">
        <v>13.8</v>
      </c>
      <c r="I19" s="83">
        <f t="shared" si="2"/>
        <v>110.4</v>
      </c>
      <c r="J19" s="84"/>
    </row>
    <row r="20" s="71" customFormat="1" ht="16" customHeight="1" spans="1:10">
      <c r="A20" s="79">
        <v>15</v>
      </c>
      <c r="B20" s="84" t="s">
        <v>95</v>
      </c>
      <c r="C20" s="84"/>
      <c r="D20" s="85" t="s">
        <v>15</v>
      </c>
      <c r="E20" s="85">
        <v>4</v>
      </c>
      <c r="F20" s="81">
        <f t="shared" si="0"/>
        <v>18.5882352941176</v>
      </c>
      <c r="G20" s="82">
        <f t="shared" si="1"/>
        <v>0.85</v>
      </c>
      <c r="H20" s="83">
        <v>15.8</v>
      </c>
      <c r="I20" s="83">
        <f t="shared" si="2"/>
        <v>63.2</v>
      </c>
      <c r="J20" s="84"/>
    </row>
    <row r="21" s="71" customFormat="1" ht="16" customHeight="1" spans="1:10">
      <c r="A21" s="79">
        <v>16</v>
      </c>
      <c r="B21" s="84" t="s">
        <v>30</v>
      </c>
      <c r="C21" s="84"/>
      <c r="D21" s="85" t="s">
        <v>15</v>
      </c>
      <c r="E21" s="85">
        <v>8</v>
      </c>
      <c r="F21" s="81">
        <f t="shared" si="0"/>
        <v>32.9411764705882</v>
      </c>
      <c r="G21" s="82">
        <f t="shared" si="1"/>
        <v>0.85</v>
      </c>
      <c r="H21" s="83">
        <v>28</v>
      </c>
      <c r="I21" s="83">
        <f t="shared" si="2"/>
        <v>224</v>
      </c>
      <c r="J21" s="84"/>
    </row>
    <row r="22" s="71" customFormat="1" ht="16" customHeight="1" spans="1:10">
      <c r="A22" s="79">
        <v>17</v>
      </c>
      <c r="B22" s="84" t="s">
        <v>96</v>
      </c>
      <c r="C22" s="84"/>
      <c r="D22" s="84" t="s">
        <v>15</v>
      </c>
      <c r="E22" s="85">
        <v>2</v>
      </c>
      <c r="F22" s="81">
        <f t="shared" si="0"/>
        <v>8</v>
      </c>
      <c r="G22" s="82">
        <f t="shared" si="1"/>
        <v>0.85</v>
      </c>
      <c r="H22" s="83">
        <v>6.8</v>
      </c>
      <c r="I22" s="83">
        <f t="shared" si="2"/>
        <v>13.6</v>
      </c>
      <c r="J22" s="84"/>
    </row>
    <row r="23" s="71" customFormat="1" ht="16" customHeight="1" spans="1:10">
      <c r="A23" s="79">
        <v>18</v>
      </c>
      <c r="B23" s="84" t="s">
        <v>97</v>
      </c>
      <c r="C23" s="84"/>
      <c r="D23" s="85" t="s">
        <v>15</v>
      </c>
      <c r="E23" s="85">
        <v>2.5</v>
      </c>
      <c r="F23" s="81">
        <f t="shared" si="0"/>
        <v>11.5294117647059</v>
      </c>
      <c r="G23" s="82">
        <f t="shared" si="1"/>
        <v>0.85</v>
      </c>
      <c r="H23" s="83">
        <v>9.8</v>
      </c>
      <c r="I23" s="83">
        <f t="shared" si="2"/>
        <v>24.5</v>
      </c>
      <c r="J23" s="84"/>
    </row>
    <row r="24" s="71" customFormat="1" ht="16" customHeight="1" spans="1:10">
      <c r="A24" s="79">
        <v>19</v>
      </c>
      <c r="B24" s="84" t="s">
        <v>98</v>
      </c>
      <c r="C24" s="84" t="s">
        <v>99</v>
      </c>
      <c r="D24" s="85" t="s">
        <v>56</v>
      </c>
      <c r="E24" s="85">
        <v>1</v>
      </c>
      <c r="F24" s="81">
        <f t="shared" si="0"/>
        <v>64.7058823529412</v>
      </c>
      <c r="G24" s="82">
        <f t="shared" si="1"/>
        <v>0.85</v>
      </c>
      <c r="H24" s="83">
        <v>55</v>
      </c>
      <c r="I24" s="83">
        <f t="shared" si="2"/>
        <v>55</v>
      </c>
      <c r="J24" s="84"/>
    </row>
    <row r="25" s="71" customFormat="1" ht="16" customHeight="1" spans="1:10">
      <c r="A25" s="79">
        <v>20</v>
      </c>
      <c r="B25" s="79" t="s">
        <v>57</v>
      </c>
      <c r="C25" s="79" t="s">
        <v>58</v>
      </c>
      <c r="D25" s="80" t="s">
        <v>15</v>
      </c>
      <c r="E25" s="80">
        <v>4</v>
      </c>
      <c r="F25" s="81">
        <f t="shared" si="0"/>
        <v>5.76470588235294</v>
      </c>
      <c r="G25" s="82">
        <f t="shared" si="1"/>
        <v>0.85</v>
      </c>
      <c r="H25" s="83">
        <v>4.9</v>
      </c>
      <c r="I25" s="83">
        <f t="shared" si="2"/>
        <v>19.6</v>
      </c>
      <c r="J25" s="79"/>
    </row>
    <row r="26" s="71" customFormat="1" ht="16" customHeight="1" spans="1:10">
      <c r="A26" s="79">
        <v>21</v>
      </c>
      <c r="B26" s="84" t="s">
        <v>59</v>
      </c>
      <c r="C26" s="84" t="s">
        <v>60</v>
      </c>
      <c r="D26" s="84" t="s">
        <v>38</v>
      </c>
      <c r="E26" s="85">
        <v>50</v>
      </c>
      <c r="F26" s="81">
        <f t="shared" si="0"/>
        <v>4.11764705882353</v>
      </c>
      <c r="G26" s="82">
        <f t="shared" si="1"/>
        <v>0.85</v>
      </c>
      <c r="H26" s="83">
        <v>3.5</v>
      </c>
      <c r="I26" s="83">
        <f t="shared" si="2"/>
        <v>175</v>
      </c>
      <c r="J26" s="84"/>
    </row>
    <row r="27" s="71" customFormat="1" ht="16" customHeight="1" spans="1:10">
      <c r="A27" s="79">
        <v>22</v>
      </c>
      <c r="B27" s="79" t="s">
        <v>36</v>
      </c>
      <c r="C27" s="79" t="s">
        <v>37</v>
      </c>
      <c r="D27" s="84" t="s">
        <v>38</v>
      </c>
      <c r="E27" s="80">
        <v>40</v>
      </c>
      <c r="F27" s="81">
        <f t="shared" si="0"/>
        <v>3.76470588235294</v>
      </c>
      <c r="G27" s="82">
        <f t="shared" si="1"/>
        <v>0.85</v>
      </c>
      <c r="H27" s="83">
        <v>3.2</v>
      </c>
      <c r="I27" s="83">
        <f t="shared" si="2"/>
        <v>128</v>
      </c>
      <c r="J27" s="79"/>
    </row>
    <row r="28" s="71" customFormat="1" ht="16" customHeight="1" spans="1:10">
      <c r="A28" s="79">
        <v>23</v>
      </c>
      <c r="B28" s="79"/>
      <c r="C28" s="79"/>
      <c r="D28" s="84"/>
      <c r="E28" s="80"/>
      <c r="F28" s="81"/>
      <c r="G28" s="82"/>
      <c r="H28" s="83"/>
      <c r="I28" s="83"/>
      <c r="J28" s="79"/>
    </row>
    <row r="29" s="71" customFormat="1" ht="16" customHeight="1" spans="1:10">
      <c r="A29" s="79">
        <v>24</v>
      </c>
      <c r="B29" s="79"/>
      <c r="C29" s="79"/>
      <c r="D29" s="79"/>
      <c r="E29" s="80"/>
      <c r="F29" s="81"/>
      <c r="G29" s="82"/>
      <c r="H29" s="83"/>
      <c r="I29" s="83"/>
      <c r="J29" s="79"/>
    </row>
    <row r="30" s="71" customFormat="1" ht="16" customHeight="1" spans="1:10">
      <c r="A30" s="79">
        <v>25</v>
      </c>
      <c r="B30" s="79"/>
      <c r="C30" s="79"/>
      <c r="D30" s="79"/>
      <c r="E30" s="80"/>
      <c r="F30" s="81"/>
      <c r="G30" s="82"/>
      <c r="H30" s="83"/>
      <c r="I30" s="83"/>
      <c r="J30" s="79"/>
    </row>
    <row r="31" s="71" customFormat="1" ht="16" customHeight="1" spans="1:10">
      <c r="A31" s="79">
        <v>26</v>
      </c>
      <c r="B31" s="79"/>
      <c r="C31" s="79"/>
      <c r="D31" s="79"/>
      <c r="E31" s="80"/>
      <c r="F31" s="81"/>
      <c r="G31" s="82"/>
      <c r="H31" s="83"/>
      <c r="I31" s="83"/>
      <c r="J31" s="79"/>
    </row>
    <row r="32" s="71" customFormat="1" ht="16" customHeight="1" spans="1:10">
      <c r="A32" s="79">
        <v>27</v>
      </c>
      <c r="B32" s="79"/>
      <c r="C32" s="79"/>
      <c r="D32" s="79"/>
      <c r="E32" s="80"/>
      <c r="F32" s="81"/>
      <c r="G32" s="82"/>
      <c r="H32" s="83"/>
      <c r="I32" s="83"/>
      <c r="J32" s="79"/>
    </row>
    <row r="33" s="71" customFormat="1" ht="16" customHeight="1" spans="1:10">
      <c r="A33" s="79">
        <v>28</v>
      </c>
      <c r="B33" s="79"/>
      <c r="C33" s="79"/>
      <c r="D33" s="79"/>
      <c r="E33" s="80"/>
      <c r="F33" s="81"/>
      <c r="G33" s="82"/>
      <c r="H33" s="83"/>
      <c r="I33" s="83"/>
      <c r="J33" s="79"/>
    </row>
    <row r="34" s="71" customFormat="1" customHeight="1" spans="1:10">
      <c r="A34" s="79" t="s">
        <v>42</v>
      </c>
      <c r="B34" s="87">
        <f>SUM(I6:I33)</f>
        <v>1615.05</v>
      </c>
      <c r="C34" s="88"/>
      <c r="D34" s="88"/>
      <c r="E34" s="88"/>
      <c r="F34" s="88"/>
      <c r="G34" s="88"/>
      <c r="H34" s="88"/>
      <c r="I34" s="88"/>
      <c r="J34" s="92"/>
    </row>
    <row r="35" s="71" customFormat="1" customHeight="1" spans="1:10">
      <c r="A35" s="79" t="s">
        <v>43</v>
      </c>
      <c r="B35" s="90">
        <f>B34</f>
        <v>1615.05</v>
      </c>
      <c r="C35" s="91"/>
      <c r="D35" s="91"/>
      <c r="E35" s="91"/>
      <c r="F35" s="91"/>
      <c r="G35" s="91"/>
      <c r="H35" s="91"/>
      <c r="I35" s="91"/>
      <c r="J35" s="93"/>
    </row>
    <row r="36" s="71" customFormat="1" customHeight="1" spans="1:1">
      <c r="A36" s="71" t="s">
        <v>44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1 B22 B23:C23 B24 B25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9" workbookViewId="0">
      <selection activeCell="I19" sqref="I$1:I$1048576"/>
    </sheetView>
  </sheetViews>
  <sheetFormatPr defaultColWidth="11" defaultRowHeight="18" customHeight="1"/>
  <cols>
    <col min="1" max="1" width="9.125" style="71" customWidth="1"/>
    <col min="2" max="2" width="19.25" style="71" customWidth="1"/>
    <col min="3" max="3" width="11.375" style="71" customWidth="1"/>
    <col min="4" max="4" width="5.94166666666667" style="71" customWidth="1"/>
    <col min="5" max="5" width="5.25" style="72" customWidth="1"/>
    <col min="6" max="6" width="8" style="71" customWidth="1"/>
    <col min="7" max="7" width="6.625" style="71" customWidth="1"/>
    <col min="8" max="8" width="7.875" style="71" customWidth="1"/>
    <col min="9" max="9" width="8.625" style="71" customWidth="1"/>
    <col min="10" max="10" width="7.375" style="71" customWidth="1"/>
    <col min="11" max="16345" width="11.6666666666667" style="71" customWidth="1"/>
    <col min="16346" max="16346" width="11.6666666666667" style="71"/>
    <col min="16347" max="16352" width="11" style="71"/>
    <col min="16353" max="16384" width="11" style="73"/>
  </cols>
  <sheetData>
    <row r="1" s="71" customFormat="1" ht="24" customHeight="1" spans="1:10">
      <c r="A1" s="74" t="s">
        <v>0</v>
      </c>
      <c r="B1" s="74"/>
      <c r="C1" s="74"/>
      <c r="D1" s="74"/>
      <c r="E1" s="75"/>
      <c r="F1" s="74"/>
      <c r="G1" s="74"/>
      <c r="H1" s="74"/>
      <c r="I1" s="74"/>
      <c r="J1" s="74"/>
    </row>
    <row r="2" s="71" customFormat="1" ht="8" customHeight="1" spans="1:10">
      <c r="A2" s="74"/>
      <c r="B2" s="74"/>
      <c r="C2" s="74"/>
      <c r="D2" s="74"/>
      <c r="E2" s="75"/>
      <c r="F2" s="74"/>
      <c r="G2" s="74"/>
      <c r="H2" s="74"/>
      <c r="I2" s="74"/>
      <c r="J2" s="74"/>
    </row>
    <row r="3" s="71" customFormat="1" customHeight="1" spans="1:5">
      <c r="A3" s="71" t="s">
        <v>1</v>
      </c>
      <c r="B3" s="71" t="s">
        <v>2</v>
      </c>
      <c r="E3" s="72"/>
    </row>
    <row r="4" s="71" customFormat="1" customHeight="1" spans="1:10">
      <c r="A4" s="71" t="s">
        <v>3</v>
      </c>
      <c r="B4" s="76">
        <v>45358</v>
      </c>
      <c r="C4" s="76"/>
      <c r="D4" s="77"/>
      <c r="E4" s="78"/>
      <c r="F4" s="77"/>
      <c r="G4" s="77"/>
      <c r="H4" s="76"/>
      <c r="I4" s="76"/>
      <c r="J4" s="76"/>
    </row>
    <row r="5" s="71" customFormat="1" customHeight="1" spans="1:10">
      <c r="A5" s="79" t="s">
        <v>4</v>
      </c>
      <c r="B5" s="79" t="s">
        <v>5</v>
      </c>
      <c r="C5" s="79" t="s">
        <v>6</v>
      </c>
      <c r="D5" s="79" t="s">
        <v>7</v>
      </c>
      <c r="E5" s="80" t="s">
        <v>8</v>
      </c>
      <c r="F5" s="79" t="s">
        <v>9</v>
      </c>
      <c r="G5" s="79" t="s">
        <v>10</v>
      </c>
      <c r="H5" s="79" t="s">
        <v>11</v>
      </c>
      <c r="I5" s="79" t="s">
        <v>12</v>
      </c>
      <c r="J5" s="79" t="s">
        <v>13</v>
      </c>
    </row>
    <row r="6" s="71" customFormat="1" ht="16" customHeight="1" spans="1:10">
      <c r="A6" s="79">
        <v>1</v>
      </c>
      <c r="B6" s="79" t="s">
        <v>14</v>
      </c>
      <c r="C6" s="79"/>
      <c r="D6" s="80" t="s">
        <v>15</v>
      </c>
      <c r="E6" s="80">
        <v>3</v>
      </c>
      <c r="F6" s="81">
        <f t="shared" ref="F6:F27" si="0">H6/0.85</f>
        <v>3.52941176470588</v>
      </c>
      <c r="G6" s="82">
        <f t="shared" ref="G6:G27" si="1">H6/F6</f>
        <v>0.85</v>
      </c>
      <c r="H6" s="83">
        <v>3</v>
      </c>
      <c r="I6" s="83">
        <f t="shared" ref="I6:I27" si="2">E6*H6</f>
        <v>9</v>
      </c>
      <c r="J6" s="79"/>
    </row>
    <row r="7" s="71" customFormat="1" ht="16" customHeight="1" spans="1:10">
      <c r="A7" s="79">
        <v>2</v>
      </c>
      <c r="B7" s="79" t="s">
        <v>17</v>
      </c>
      <c r="C7" s="79"/>
      <c r="D7" s="80" t="s">
        <v>15</v>
      </c>
      <c r="E7" s="80">
        <v>12</v>
      </c>
      <c r="F7" s="81">
        <f t="shared" si="0"/>
        <v>4.11764705882353</v>
      </c>
      <c r="G7" s="82">
        <f t="shared" si="1"/>
        <v>0.85</v>
      </c>
      <c r="H7" s="83">
        <v>3.5</v>
      </c>
      <c r="I7" s="83">
        <f t="shared" si="2"/>
        <v>42</v>
      </c>
      <c r="J7" s="79"/>
    </row>
    <row r="8" s="71" customFormat="1" ht="16" customHeight="1" spans="1:10">
      <c r="A8" s="79">
        <v>3</v>
      </c>
      <c r="B8" s="79" t="s">
        <v>100</v>
      </c>
      <c r="C8" s="79"/>
      <c r="D8" s="80" t="s">
        <v>15</v>
      </c>
      <c r="E8" s="80">
        <v>4</v>
      </c>
      <c r="F8" s="81">
        <f t="shared" si="0"/>
        <v>9.17647058823529</v>
      </c>
      <c r="G8" s="82">
        <f t="shared" si="1"/>
        <v>0.85</v>
      </c>
      <c r="H8" s="83">
        <v>7.8</v>
      </c>
      <c r="I8" s="83">
        <f t="shared" si="2"/>
        <v>31.2</v>
      </c>
      <c r="J8" s="79"/>
    </row>
    <row r="9" s="71" customFormat="1" ht="16" customHeight="1" spans="1:10">
      <c r="A9" s="79">
        <v>4</v>
      </c>
      <c r="B9" s="79" t="s">
        <v>101</v>
      </c>
      <c r="C9" s="79"/>
      <c r="D9" s="80" t="s">
        <v>15</v>
      </c>
      <c r="E9" s="80">
        <v>10</v>
      </c>
      <c r="F9" s="81">
        <f t="shared" si="0"/>
        <v>4.11764705882353</v>
      </c>
      <c r="G9" s="82">
        <f t="shared" si="1"/>
        <v>0.85</v>
      </c>
      <c r="H9" s="83">
        <v>3.5</v>
      </c>
      <c r="I9" s="83">
        <f t="shared" si="2"/>
        <v>35</v>
      </c>
      <c r="J9" s="79"/>
    </row>
    <row r="10" s="71" customFormat="1" ht="16" customHeight="1" spans="1:10">
      <c r="A10" s="79">
        <v>5</v>
      </c>
      <c r="B10" s="79" t="s">
        <v>20</v>
      </c>
      <c r="C10" s="79"/>
      <c r="D10" s="80" t="s">
        <v>15</v>
      </c>
      <c r="E10" s="80">
        <v>2</v>
      </c>
      <c r="F10" s="81">
        <f t="shared" si="0"/>
        <v>8</v>
      </c>
      <c r="G10" s="82">
        <f t="shared" si="1"/>
        <v>0.85</v>
      </c>
      <c r="H10" s="83">
        <v>6.8</v>
      </c>
      <c r="I10" s="83">
        <f t="shared" si="2"/>
        <v>13.6</v>
      </c>
      <c r="J10" s="79"/>
    </row>
    <row r="11" s="71" customFormat="1" ht="16" customHeight="1" spans="1:10">
      <c r="A11" s="79">
        <v>6</v>
      </c>
      <c r="B11" s="84" t="s">
        <v>49</v>
      </c>
      <c r="C11" s="84"/>
      <c r="D11" s="85" t="s">
        <v>15</v>
      </c>
      <c r="E11" s="85">
        <v>8</v>
      </c>
      <c r="F11" s="81">
        <f t="shared" si="0"/>
        <v>11.5294117647059</v>
      </c>
      <c r="G11" s="82">
        <f t="shared" si="1"/>
        <v>0.85</v>
      </c>
      <c r="H11" s="86">
        <v>9.8</v>
      </c>
      <c r="I11" s="83">
        <f t="shared" si="2"/>
        <v>78.4</v>
      </c>
      <c r="J11" s="84"/>
    </row>
    <row r="12" s="71" customFormat="1" ht="16" customHeight="1" spans="1:10">
      <c r="A12" s="79">
        <v>7</v>
      </c>
      <c r="B12" s="84" t="s">
        <v>69</v>
      </c>
      <c r="C12" s="84"/>
      <c r="D12" s="85" t="s">
        <v>15</v>
      </c>
      <c r="E12" s="85">
        <v>5</v>
      </c>
      <c r="F12" s="81">
        <f t="shared" si="0"/>
        <v>5.64705882352941</v>
      </c>
      <c r="G12" s="82">
        <f t="shared" si="1"/>
        <v>0.85</v>
      </c>
      <c r="H12" s="86">
        <v>4.8</v>
      </c>
      <c r="I12" s="83">
        <f t="shared" si="2"/>
        <v>24</v>
      </c>
      <c r="J12" s="84"/>
    </row>
    <row r="13" s="71" customFormat="1" ht="16" customHeight="1" spans="1:10">
      <c r="A13" s="79">
        <v>8</v>
      </c>
      <c r="B13" s="84" t="s">
        <v>102</v>
      </c>
      <c r="C13" s="84"/>
      <c r="D13" s="85" t="s">
        <v>15</v>
      </c>
      <c r="E13" s="85">
        <v>9</v>
      </c>
      <c r="F13" s="81">
        <f t="shared" si="0"/>
        <v>6.82352941176471</v>
      </c>
      <c r="G13" s="82">
        <f t="shared" si="1"/>
        <v>0.85</v>
      </c>
      <c r="H13" s="86">
        <v>5.8</v>
      </c>
      <c r="I13" s="83">
        <f t="shared" si="2"/>
        <v>52.2</v>
      </c>
      <c r="J13" s="84"/>
    </row>
    <row r="14" s="71" customFormat="1" ht="16" customHeight="1" spans="1:10">
      <c r="A14" s="79">
        <v>9</v>
      </c>
      <c r="B14" s="84" t="s">
        <v>103</v>
      </c>
      <c r="C14" s="84"/>
      <c r="D14" s="85" t="s">
        <v>15</v>
      </c>
      <c r="E14" s="85">
        <v>6</v>
      </c>
      <c r="F14" s="81">
        <f t="shared" si="0"/>
        <v>11.5294117647059</v>
      </c>
      <c r="G14" s="82">
        <f t="shared" si="1"/>
        <v>0.85</v>
      </c>
      <c r="H14" s="86">
        <v>9.8</v>
      </c>
      <c r="I14" s="83">
        <f t="shared" si="2"/>
        <v>58.8</v>
      </c>
      <c r="J14" s="84"/>
    </row>
    <row r="15" s="71" customFormat="1" ht="16" customHeight="1" spans="1:10">
      <c r="A15" s="79">
        <v>10</v>
      </c>
      <c r="B15" s="79" t="s">
        <v>104</v>
      </c>
      <c r="C15" s="79"/>
      <c r="D15" s="80" t="s">
        <v>15</v>
      </c>
      <c r="E15" s="80">
        <v>15</v>
      </c>
      <c r="F15" s="81">
        <f t="shared" si="0"/>
        <v>2.11764705882353</v>
      </c>
      <c r="G15" s="82">
        <f t="shared" si="1"/>
        <v>0.85</v>
      </c>
      <c r="H15" s="86">
        <v>1.8</v>
      </c>
      <c r="I15" s="83">
        <f t="shared" si="2"/>
        <v>27</v>
      </c>
      <c r="J15" s="84"/>
    </row>
    <row r="16" s="71" customFormat="1" ht="16" customHeight="1" spans="1:10">
      <c r="A16" s="79">
        <v>11</v>
      </c>
      <c r="B16" s="84" t="s">
        <v>53</v>
      </c>
      <c r="C16" s="84"/>
      <c r="D16" s="84" t="s">
        <v>15</v>
      </c>
      <c r="E16" s="85">
        <v>5</v>
      </c>
      <c r="F16" s="81">
        <f t="shared" si="0"/>
        <v>6.47058823529412</v>
      </c>
      <c r="G16" s="82">
        <f t="shared" si="1"/>
        <v>0.85</v>
      </c>
      <c r="H16" s="86">
        <v>5.5</v>
      </c>
      <c r="I16" s="83">
        <f t="shared" si="2"/>
        <v>27.5</v>
      </c>
      <c r="J16" s="79"/>
    </row>
    <row r="17" s="71" customFormat="1" ht="16" customHeight="1" spans="1:10">
      <c r="A17" s="79">
        <v>12</v>
      </c>
      <c r="B17" s="79" t="s">
        <v>74</v>
      </c>
      <c r="C17" s="79"/>
      <c r="D17" s="84" t="s">
        <v>15</v>
      </c>
      <c r="E17" s="80">
        <v>6</v>
      </c>
      <c r="F17" s="81">
        <f t="shared" si="0"/>
        <v>4.11764705882353</v>
      </c>
      <c r="G17" s="82">
        <f t="shared" si="1"/>
        <v>0.85</v>
      </c>
      <c r="H17" s="86">
        <v>3.5</v>
      </c>
      <c r="I17" s="83">
        <f t="shared" si="2"/>
        <v>21</v>
      </c>
      <c r="J17" s="84"/>
    </row>
    <row r="18" s="71" customFormat="1" ht="16" customHeight="1" spans="1:10">
      <c r="A18" s="79">
        <v>13</v>
      </c>
      <c r="B18" s="79" t="s">
        <v>105</v>
      </c>
      <c r="C18" s="79"/>
      <c r="D18" s="79" t="s">
        <v>15</v>
      </c>
      <c r="E18" s="80">
        <v>20</v>
      </c>
      <c r="F18" s="81">
        <f t="shared" si="0"/>
        <v>5.29411764705882</v>
      </c>
      <c r="G18" s="82">
        <f t="shared" si="1"/>
        <v>0.85</v>
      </c>
      <c r="H18" s="86">
        <v>4.5</v>
      </c>
      <c r="I18" s="83">
        <f t="shared" si="2"/>
        <v>90</v>
      </c>
      <c r="J18" s="79"/>
    </row>
    <row r="19" s="71" customFormat="1" ht="16" customHeight="1" spans="1:10">
      <c r="A19" s="79">
        <v>14</v>
      </c>
      <c r="B19" s="79" t="s">
        <v>106</v>
      </c>
      <c r="C19" s="79"/>
      <c r="D19" s="79" t="s">
        <v>15</v>
      </c>
      <c r="E19" s="80">
        <v>5</v>
      </c>
      <c r="F19" s="81">
        <f t="shared" si="0"/>
        <v>16.2352941176471</v>
      </c>
      <c r="G19" s="82">
        <f t="shared" si="1"/>
        <v>0.85</v>
      </c>
      <c r="H19" s="86">
        <v>13.8</v>
      </c>
      <c r="I19" s="83">
        <f t="shared" si="2"/>
        <v>69</v>
      </c>
      <c r="J19" s="79"/>
    </row>
    <row r="20" s="71" customFormat="1" ht="16" customHeight="1" spans="1:10">
      <c r="A20" s="79">
        <v>15</v>
      </c>
      <c r="B20" s="81" t="s">
        <v>27</v>
      </c>
      <c r="C20" s="81"/>
      <c r="D20" s="81" t="s">
        <v>15</v>
      </c>
      <c r="E20" s="80">
        <v>2</v>
      </c>
      <c r="F20" s="81">
        <f t="shared" si="0"/>
        <v>16.2352941176471</v>
      </c>
      <c r="G20" s="82">
        <f t="shared" si="1"/>
        <v>0.85</v>
      </c>
      <c r="H20" s="86">
        <v>13.8</v>
      </c>
      <c r="I20" s="83">
        <f t="shared" si="2"/>
        <v>27.6</v>
      </c>
      <c r="J20" s="79"/>
    </row>
    <row r="21" s="71" customFormat="1" customHeight="1" spans="1:10">
      <c r="A21" s="79">
        <v>16</v>
      </c>
      <c r="B21" s="81" t="s">
        <v>107</v>
      </c>
      <c r="C21" s="81" t="s">
        <v>87</v>
      </c>
      <c r="D21" s="81" t="s">
        <v>15</v>
      </c>
      <c r="E21" s="80">
        <v>1</v>
      </c>
      <c r="F21" s="81">
        <f t="shared" si="0"/>
        <v>28.2352941176471</v>
      </c>
      <c r="G21" s="82">
        <f t="shared" si="1"/>
        <v>0.85</v>
      </c>
      <c r="H21" s="86">
        <v>24</v>
      </c>
      <c r="I21" s="83">
        <f t="shared" si="2"/>
        <v>24</v>
      </c>
      <c r="J21" s="81"/>
    </row>
    <row r="22" s="71" customFormat="1" customHeight="1" spans="1:10">
      <c r="A22" s="79">
        <v>17</v>
      </c>
      <c r="B22" s="81" t="s">
        <v>108</v>
      </c>
      <c r="C22" s="81" t="s">
        <v>87</v>
      </c>
      <c r="D22" s="81" t="s">
        <v>15</v>
      </c>
      <c r="E22" s="80">
        <v>1</v>
      </c>
      <c r="F22" s="81">
        <f t="shared" si="0"/>
        <v>28.2352941176471</v>
      </c>
      <c r="G22" s="82">
        <f t="shared" si="1"/>
        <v>0.85</v>
      </c>
      <c r="H22" s="86">
        <v>24</v>
      </c>
      <c r="I22" s="83">
        <f t="shared" si="2"/>
        <v>24</v>
      </c>
      <c r="J22" s="81"/>
    </row>
    <row r="23" s="71" customFormat="1" customHeight="1" spans="1:10">
      <c r="A23" s="79">
        <v>18</v>
      </c>
      <c r="B23" s="81" t="s">
        <v>109</v>
      </c>
      <c r="C23" s="81" t="s">
        <v>110</v>
      </c>
      <c r="D23" s="81" t="s">
        <v>33</v>
      </c>
      <c r="E23" s="80">
        <v>4</v>
      </c>
      <c r="F23" s="81">
        <f t="shared" si="0"/>
        <v>8</v>
      </c>
      <c r="G23" s="82">
        <f t="shared" si="1"/>
        <v>0.85</v>
      </c>
      <c r="H23" s="86">
        <v>6.8</v>
      </c>
      <c r="I23" s="83">
        <f t="shared" si="2"/>
        <v>27.2</v>
      </c>
      <c r="J23" s="81"/>
    </row>
    <row r="24" s="71" customFormat="1" customHeight="1" spans="1:10">
      <c r="A24" s="79">
        <v>19</v>
      </c>
      <c r="B24" s="81" t="s">
        <v>111</v>
      </c>
      <c r="C24" s="81" t="s">
        <v>112</v>
      </c>
      <c r="D24" s="81" t="s">
        <v>113</v>
      </c>
      <c r="E24" s="80">
        <v>1</v>
      </c>
      <c r="F24" s="81">
        <f t="shared" si="0"/>
        <v>49.4117647058824</v>
      </c>
      <c r="G24" s="82">
        <f t="shared" si="1"/>
        <v>0.85</v>
      </c>
      <c r="H24" s="86">
        <v>42</v>
      </c>
      <c r="I24" s="83">
        <f t="shared" si="2"/>
        <v>42</v>
      </c>
      <c r="J24" s="81"/>
    </row>
    <row r="25" s="71" customFormat="1" customHeight="1" spans="1:10">
      <c r="A25" s="79">
        <v>20</v>
      </c>
      <c r="B25" s="79" t="s">
        <v>19</v>
      </c>
      <c r="C25" s="79"/>
      <c r="D25" s="80" t="s">
        <v>15</v>
      </c>
      <c r="E25" s="80">
        <v>7</v>
      </c>
      <c r="F25" s="81">
        <f t="shared" si="0"/>
        <v>2.35294117647059</v>
      </c>
      <c r="G25" s="82">
        <f t="shared" si="1"/>
        <v>0.85</v>
      </c>
      <c r="H25" s="83">
        <v>2</v>
      </c>
      <c r="I25" s="83">
        <f t="shared" si="2"/>
        <v>14</v>
      </c>
      <c r="J25" s="81"/>
    </row>
    <row r="26" s="71" customFormat="1" customHeight="1" spans="1:10">
      <c r="A26" s="79">
        <v>21</v>
      </c>
      <c r="B26" s="81" t="s">
        <v>114</v>
      </c>
      <c r="C26" s="81"/>
      <c r="D26" s="81" t="s">
        <v>15</v>
      </c>
      <c r="E26" s="80">
        <v>8</v>
      </c>
      <c r="F26" s="81">
        <f t="shared" si="0"/>
        <v>103.529411764706</v>
      </c>
      <c r="G26" s="82">
        <f t="shared" si="1"/>
        <v>0.85</v>
      </c>
      <c r="H26" s="86">
        <v>88</v>
      </c>
      <c r="I26" s="83">
        <f t="shared" si="2"/>
        <v>704</v>
      </c>
      <c r="J26" s="81"/>
    </row>
    <row r="27" s="71" customFormat="1" customHeight="1" spans="1:10">
      <c r="A27" s="79">
        <v>22</v>
      </c>
      <c r="B27" s="81" t="s">
        <v>115</v>
      </c>
      <c r="C27" s="81"/>
      <c r="D27" s="81" t="s">
        <v>15</v>
      </c>
      <c r="E27" s="80">
        <v>4</v>
      </c>
      <c r="F27" s="81">
        <f t="shared" si="0"/>
        <v>51.7647058823529</v>
      </c>
      <c r="G27" s="82">
        <f t="shared" si="1"/>
        <v>0.85</v>
      </c>
      <c r="H27" s="86">
        <v>44</v>
      </c>
      <c r="I27" s="83">
        <f t="shared" si="2"/>
        <v>176</v>
      </c>
      <c r="J27" s="81"/>
    </row>
    <row r="28" s="71" customFormat="1" customHeight="1" spans="1:10">
      <c r="A28" s="79">
        <v>23</v>
      </c>
      <c r="B28" s="84"/>
      <c r="C28" s="84"/>
      <c r="D28" s="85"/>
      <c r="E28" s="85"/>
      <c r="F28" s="81"/>
      <c r="G28" s="82"/>
      <c r="H28" s="86"/>
      <c r="I28" s="83"/>
      <c r="J28" s="81"/>
    </row>
    <row r="29" s="71" customFormat="1" customHeight="1" spans="1:10">
      <c r="A29" s="79">
        <v>24</v>
      </c>
      <c r="B29" s="81"/>
      <c r="C29" s="81"/>
      <c r="D29" s="81"/>
      <c r="E29" s="80"/>
      <c r="F29" s="81"/>
      <c r="G29" s="82"/>
      <c r="H29" s="86"/>
      <c r="I29" s="83"/>
      <c r="J29" s="81"/>
    </row>
    <row r="30" s="71" customFormat="1" customHeight="1" spans="1:10">
      <c r="A30" s="79">
        <v>25</v>
      </c>
      <c r="B30" s="81"/>
      <c r="C30" s="81"/>
      <c r="D30" s="81"/>
      <c r="E30" s="80"/>
      <c r="F30" s="81"/>
      <c r="G30" s="82"/>
      <c r="H30" s="86"/>
      <c r="I30" s="83"/>
      <c r="J30" s="81"/>
    </row>
    <row r="31" s="71" customFormat="1" customHeight="1" spans="1:10">
      <c r="A31" s="79">
        <v>26</v>
      </c>
      <c r="B31" s="81"/>
      <c r="C31" s="81"/>
      <c r="D31" s="81"/>
      <c r="E31" s="80"/>
      <c r="F31" s="81"/>
      <c r="G31" s="82"/>
      <c r="H31" s="86"/>
      <c r="I31" s="83"/>
      <c r="J31" s="81"/>
    </row>
    <row r="32" s="71" customFormat="1" customHeight="1" spans="1:10">
      <c r="A32" s="79">
        <v>27</v>
      </c>
      <c r="B32" s="81"/>
      <c r="C32" s="81"/>
      <c r="D32" s="81"/>
      <c r="E32" s="80"/>
      <c r="F32" s="81"/>
      <c r="G32" s="82"/>
      <c r="H32" s="86"/>
      <c r="I32" s="83"/>
      <c r="J32" s="81"/>
    </row>
    <row r="33" s="71" customFormat="1" customHeight="1" spans="1:10">
      <c r="A33" s="79">
        <v>28</v>
      </c>
      <c r="B33" s="81"/>
      <c r="C33" s="81"/>
      <c r="D33" s="81"/>
      <c r="E33" s="80"/>
      <c r="F33" s="81"/>
      <c r="G33" s="82"/>
      <c r="H33" s="86"/>
      <c r="I33" s="83"/>
      <c r="J33" s="81"/>
    </row>
    <row r="34" s="71" customFormat="1" customHeight="1" spans="1:10">
      <c r="A34" s="79" t="s">
        <v>42</v>
      </c>
      <c r="B34" s="87">
        <f>SUM(I6:I33)</f>
        <v>1617.5</v>
      </c>
      <c r="C34" s="88"/>
      <c r="D34" s="88"/>
      <c r="E34" s="89"/>
      <c r="F34" s="88"/>
      <c r="G34" s="88"/>
      <c r="H34" s="88"/>
      <c r="I34" s="88"/>
      <c r="J34" s="92"/>
    </row>
    <row r="35" s="71" customFormat="1" customHeight="1" spans="1:10">
      <c r="A35" s="79" t="s">
        <v>43</v>
      </c>
      <c r="B35" s="90">
        <f>B34</f>
        <v>1617.5</v>
      </c>
      <c r="C35" s="91"/>
      <c r="D35" s="91"/>
      <c r="E35" s="89"/>
      <c r="F35" s="91"/>
      <c r="G35" s="91"/>
      <c r="H35" s="91"/>
      <c r="I35" s="91"/>
      <c r="J35" s="93"/>
    </row>
    <row r="36" s="71" customFormat="1" customHeight="1" spans="1:5">
      <c r="A36" s="71" t="s">
        <v>44</v>
      </c>
      <c r="E36" s="72"/>
    </row>
  </sheetData>
  <sortState ref="A6:I30">
    <sortCondition ref="A6"/>
  </sortState>
  <mergeCells count="4">
    <mergeCell ref="A1:J1"/>
    <mergeCell ref="B34:J34"/>
    <mergeCell ref="B35:J35"/>
    <mergeCell ref="A36:J36"/>
  </mergeCells>
  <conditionalFormatting sqref="B25:C25">
    <cfRule type="duplicateValues" dxfId="0" priority="3"/>
  </conditionalFormatting>
  <conditionalFormatting sqref="B25">
    <cfRule type="duplicateValues" dxfId="0" priority="2"/>
    <cfRule type="duplicateValues" dxfId="0" priority="1"/>
  </conditionalFormatting>
  <conditionalFormatting sqref="B1:B24 B26:B33 B36:B1048576">
    <cfRule type="duplicateValues" dxfId="0" priority="4"/>
  </conditionalFormatting>
  <conditionalFormatting sqref="B6:C16">
    <cfRule type="duplicateValues" dxfId="0" priority="6"/>
  </conditionalFormatting>
  <conditionalFormatting sqref="B6:B24 B26:B33">
    <cfRule type="duplicateValues" dxfId="0" priority="5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21" workbookViewId="0">
      <selection activeCell="F18" sqref="F18"/>
    </sheetView>
  </sheetViews>
  <sheetFormatPr defaultColWidth="11" defaultRowHeight="18" customHeight="1"/>
  <cols>
    <col min="1" max="1" width="9.125" style="71" customWidth="1"/>
    <col min="2" max="2" width="19.25" style="71" customWidth="1"/>
    <col min="3" max="3" width="11.375" style="71" customWidth="1"/>
    <col min="4" max="4" width="5.94166666666667" style="71" customWidth="1"/>
    <col min="5" max="5" width="5.25" style="72" customWidth="1"/>
    <col min="6" max="6" width="8" style="71" customWidth="1"/>
    <col min="7" max="7" width="6.625" style="71" customWidth="1"/>
    <col min="8" max="8" width="7.875" style="71" customWidth="1"/>
    <col min="9" max="9" width="8.625" style="71" customWidth="1"/>
    <col min="10" max="10" width="7.375" style="71" customWidth="1"/>
    <col min="11" max="16345" width="11.6666666666667" style="71" customWidth="1"/>
    <col min="16346" max="16346" width="11.6666666666667" style="71"/>
    <col min="16347" max="16352" width="11" style="71"/>
    <col min="16353" max="16384" width="11" style="73"/>
  </cols>
  <sheetData>
    <row r="1" s="71" customFormat="1" ht="24" customHeight="1" spans="1:10">
      <c r="A1" s="74" t="s">
        <v>0</v>
      </c>
      <c r="B1" s="74"/>
      <c r="C1" s="74"/>
      <c r="D1" s="74"/>
      <c r="E1" s="75"/>
      <c r="F1" s="74"/>
      <c r="G1" s="74"/>
      <c r="H1" s="74"/>
      <c r="I1" s="74"/>
      <c r="J1" s="74"/>
    </row>
    <row r="2" s="71" customFormat="1" ht="8" customHeight="1" spans="1:10">
      <c r="A2" s="74"/>
      <c r="B2" s="74"/>
      <c r="C2" s="74"/>
      <c r="D2" s="74"/>
      <c r="E2" s="75"/>
      <c r="F2" s="74"/>
      <c r="G2" s="74"/>
      <c r="H2" s="74"/>
      <c r="I2" s="74"/>
      <c r="J2" s="74"/>
    </row>
    <row r="3" s="71" customFormat="1" customHeight="1" spans="1:5">
      <c r="A3" s="71" t="s">
        <v>1</v>
      </c>
      <c r="B3" s="71" t="s">
        <v>2</v>
      </c>
      <c r="E3" s="72"/>
    </row>
    <row r="4" s="71" customFormat="1" customHeight="1" spans="1:10">
      <c r="A4" s="71" t="s">
        <v>3</v>
      </c>
      <c r="B4" s="76">
        <v>45359</v>
      </c>
      <c r="C4" s="76"/>
      <c r="D4" s="77"/>
      <c r="E4" s="78"/>
      <c r="F4" s="77"/>
      <c r="G4" s="77"/>
      <c r="H4" s="76"/>
      <c r="I4" s="76"/>
      <c r="J4" s="76"/>
    </row>
    <row r="5" s="71" customFormat="1" customHeight="1" spans="1:10">
      <c r="A5" s="79" t="s">
        <v>4</v>
      </c>
      <c r="B5" s="79" t="s">
        <v>5</v>
      </c>
      <c r="C5" s="79" t="s">
        <v>6</v>
      </c>
      <c r="D5" s="79" t="s">
        <v>7</v>
      </c>
      <c r="E5" s="80" t="s">
        <v>8</v>
      </c>
      <c r="F5" s="79" t="s">
        <v>9</v>
      </c>
      <c r="G5" s="79" t="s">
        <v>10</v>
      </c>
      <c r="H5" s="79" t="s">
        <v>11</v>
      </c>
      <c r="I5" s="79" t="s">
        <v>12</v>
      </c>
      <c r="J5" s="79" t="s">
        <v>13</v>
      </c>
    </row>
    <row r="6" s="71" customFormat="1" ht="16" customHeight="1" spans="1:10">
      <c r="A6" s="79">
        <v>1</v>
      </c>
      <c r="B6" s="79" t="s">
        <v>14</v>
      </c>
      <c r="C6" s="79"/>
      <c r="D6" s="80" t="s">
        <v>15</v>
      </c>
      <c r="E6" s="80">
        <v>3</v>
      </c>
      <c r="F6" s="81">
        <f t="shared" ref="F6:F21" si="0">H6/0.85</f>
        <v>3.52941176470588</v>
      </c>
      <c r="G6" s="82">
        <f t="shared" ref="G6:G21" si="1">H6/F6</f>
        <v>0.85</v>
      </c>
      <c r="H6" s="83">
        <v>3</v>
      </c>
      <c r="I6" s="83">
        <f t="shared" ref="I6:I22" si="2">E6*H6</f>
        <v>9</v>
      </c>
      <c r="J6" s="79"/>
    </row>
    <row r="7" s="71" customFormat="1" ht="16" customHeight="1" spans="1:10">
      <c r="A7" s="79">
        <v>2</v>
      </c>
      <c r="B7" s="79" t="s">
        <v>16</v>
      </c>
      <c r="C7" s="79"/>
      <c r="D7" s="80" t="s">
        <v>15</v>
      </c>
      <c r="E7" s="80">
        <v>7</v>
      </c>
      <c r="F7" s="81">
        <f t="shared" si="0"/>
        <v>4.11764705882353</v>
      </c>
      <c r="G7" s="82">
        <f t="shared" si="1"/>
        <v>0.85</v>
      </c>
      <c r="H7" s="83">
        <v>3.5</v>
      </c>
      <c r="I7" s="83">
        <f t="shared" si="2"/>
        <v>24.5</v>
      </c>
      <c r="J7" s="79"/>
    </row>
    <row r="8" s="71" customFormat="1" ht="16" customHeight="1" spans="1:10">
      <c r="A8" s="79">
        <v>3</v>
      </c>
      <c r="B8" s="79" t="s">
        <v>18</v>
      </c>
      <c r="C8" s="79"/>
      <c r="D8" s="80" t="s">
        <v>15</v>
      </c>
      <c r="E8" s="80">
        <v>3</v>
      </c>
      <c r="F8" s="81">
        <f t="shared" si="0"/>
        <v>5.88235294117647</v>
      </c>
      <c r="G8" s="82">
        <f t="shared" si="1"/>
        <v>0.85</v>
      </c>
      <c r="H8" s="83">
        <v>5</v>
      </c>
      <c r="I8" s="83">
        <f t="shared" si="2"/>
        <v>15</v>
      </c>
      <c r="J8" s="79"/>
    </row>
    <row r="9" s="71" customFormat="1" ht="16" customHeight="1" spans="1:10">
      <c r="A9" s="79">
        <v>4</v>
      </c>
      <c r="B9" s="79" t="s">
        <v>19</v>
      </c>
      <c r="C9" s="79"/>
      <c r="D9" s="80" t="s">
        <v>15</v>
      </c>
      <c r="E9" s="80">
        <v>7</v>
      </c>
      <c r="F9" s="81">
        <f t="shared" si="0"/>
        <v>2.11764705882353</v>
      </c>
      <c r="G9" s="82">
        <f t="shared" si="1"/>
        <v>0.85</v>
      </c>
      <c r="H9" s="83">
        <v>1.8</v>
      </c>
      <c r="I9" s="83">
        <f t="shared" si="2"/>
        <v>12.6</v>
      </c>
      <c r="J9" s="79"/>
    </row>
    <row r="10" s="71" customFormat="1" ht="16" customHeight="1" spans="1:10">
      <c r="A10" s="79">
        <v>5</v>
      </c>
      <c r="B10" s="84" t="s">
        <v>21</v>
      </c>
      <c r="C10" s="84"/>
      <c r="D10" s="85" t="s">
        <v>22</v>
      </c>
      <c r="E10" s="85">
        <v>5</v>
      </c>
      <c r="F10" s="81">
        <f t="shared" si="0"/>
        <v>5.29411764705882</v>
      </c>
      <c r="G10" s="82">
        <f t="shared" si="1"/>
        <v>0.85</v>
      </c>
      <c r="H10" s="86">
        <v>4.5</v>
      </c>
      <c r="I10" s="83">
        <f t="shared" si="2"/>
        <v>22.5</v>
      </c>
      <c r="J10" s="79"/>
    </row>
    <row r="11" s="71" customFormat="1" ht="16" customHeight="1" spans="1:10">
      <c r="A11" s="79">
        <v>6</v>
      </c>
      <c r="B11" s="84" t="s">
        <v>116</v>
      </c>
      <c r="C11" s="84"/>
      <c r="D11" s="85" t="s">
        <v>15</v>
      </c>
      <c r="E11" s="85">
        <v>5.5</v>
      </c>
      <c r="F11" s="81">
        <f t="shared" si="0"/>
        <v>4.47058823529412</v>
      </c>
      <c r="G11" s="82">
        <f t="shared" si="1"/>
        <v>0.85</v>
      </c>
      <c r="H11" s="86">
        <v>3.8</v>
      </c>
      <c r="I11" s="83">
        <f t="shared" si="2"/>
        <v>20.9</v>
      </c>
      <c r="J11" s="84"/>
    </row>
    <row r="12" s="71" customFormat="1" ht="16" customHeight="1" spans="1:10">
      <c r="A12" s="79">
        <v>7</v>
      </c>
      <c r="B12" s="84" t="s">
        <v>117</v>
      </c>
      <c r="C12" s="84"/>
      <c r="D12" s="85" t="s">
        <v>15</v>
      </c>
      <c r="E12" s="85">
        <v>5.4</v>
      </c>
      <c r="F12" s="81">
        <f t="shared" si="0"/>
        <v>13.8823529411765</v>
      </c>
      <c r="G12" s="82">
        <f t="shared" si="1"/>
        <v>0.85</v>
      </c>
      <c r="H12" s="86">
        <v>11.8</v>
      </c>
      <c r="I12" s="83">
        <f t="shared" si="2"/>
        <v>63.72</v>
      </c>
      <c r="J12" s="84"/>
    </row>
    <row r="13" s="71" customFormat="1" ht="16" customHeight="1" spans="1:10">
      <c r="A13" s="79">
        <v>8</v>
      </c>
      <c r="B13" s="84" t="s">
        <v>118</v>
      </c>
      <c r="C13" s="84"/>
      <c r="D13" s="85" t="s">
        <v>15</v>
      </c>
      <c r="E13" s="85">
        <v>4</v>
      </c>
      <c r="F13" s="81">
        <f t="shared" si="0"/>
        <v>5.64705882352941</v>
      </c>
      <c r="G13" s="82">
        <f t="shared" si="1"/>
        <v>0.85</v>
      </c>
      <c r="H13" s="86">
        <v>4.8</v>
      </c>
      <c r="I13" s="83">
        <f t="shared" si="2"/>
        <v>19.2</v>
      </c>
      <c r="J13" s="84"/>
    </row>
    <row r="14" s="71" customFormat="1" ht="16" customHeight="1" spans="1:10">
      <c r="A14" s="79">
        <v>9</v>
      </c>
      <c r="B14" s="84" t="s">
        <v>119</v>
      </c>
      <c r="C14" s="84"/>
      <c r="D14" s="85" t="s">
        <v>15</v>
      </c>
      <c r="E14" s="85">
        <v>7</v>
      </c>
      <c r="F14" s="81">
        <f t="shared" si="0"/>
        <v>2.35294117647059</v>
      </c>
      <c r="G14" s="82">
        <f t="shared" si="1"/>
        <v>0.85</v>
      </c>
      <c r="H14" s="86">
        <v>2</v>
      </c>
      <c r="I14" s="83">
        <f t="shared" si="2"/>
        <v>14</v>
      </c>
      <c r="J14" s="84"/>
    </row>
    <row r="15" s="71" customFormat="1" ht="16" customHeight="1" spans="1:10">
      <c r="A15" s="79">
        <v>10</v>
      </c>
      <c r="B15" s="79" t="s">
        <v>120</v>
      </c>
      <c r="C15" s="79"/>
      <c r="D15" s="80" t="s">
        <v>15</v>
      </c>
      <c r="E15" s="80">
        <v>7</v>
      </c>
      <c r="F15" s="81">
        <f t="shared" si="0"/>
        <v>10</v>
      </c>
      <c r="G15" s="82">
        <f t="shared" si="1"/>
        <v>0.85</v>
      </c>
      <c r="H15" s="86">
        <v>8.5</v>
      </c>
      <c r="I15" s="83">
        <f t="shared" si="2"/>
        <v>59.5</v>
      </c>
      <c r="J15" s="84"/>
    </row>
    <row r="16" s="71" customFormat="1" ht="16" customHeight="1" spans="1:10">
      <c r="A16" s="79">
        <v>11</v>
      </c>
      <c r="B16" s="84" t="s">
        <v>121</v>
      </c>
      <c r="C16" s="84"/>
      <c r="D16" s="84" t="s">
        <v>15</v>
      </c>
      <c r="E16" s="85">
        <v>5</v>
      </c>
      <c r="F16" s="81">
        <f t="shared" si="0"/>
        <v>42.3529411764706</v>
      </c>
      <c r="G16" s="82">
        <f t="shared" si="1"/>
        <v>0.85</v>
      </c>
      <c r="H16" s="86">
        <v>36</v>
      </c>
      <c r="I16" s="83">
        <f t="shared" si="2"/>
        <v>180</v>
      </c>
      <c r="J16" s="79"/>
    </row>
    <row r="17" s="71" customFormat="1" ht="16" customHeight="1" spans="1:10">
      <c r="A17" s="79">
        <v>12</v>
      </c>
      <c r="B17" s="79" t="s">
        <v>79</v>
      </c>
      <c r="C17" s="79"/>
      <c r="D17" s="84" t="s">
        <v>15</v>
      </c>
      <c r="E17" s="80">
        <v>9</v>
      </c>
      <c r="F17" s="81">
        <f t="shared" si="0"/>
        <v>22.9411764705882</v>
      </c>
      <c r="G17" s="82">
        <f t="shared" si="1"/>
        <v>0.85</v>
      </c>
      <c r="H17" s="86">
        <v>19.5</v>
      </c>
      <c r="I17" s="83">
        <f t="shared" si="2"/>
        <v>175.5</v>
      </c>
      <c r="J17" s="84"/>
    </row>
    <row r="18" s="71" customFormat="1" ht="16" customHeight="1" spans="1:10">
      <c r="A18" s="79">
        <v>13</v>
      </c>
      <c r="B18" s="79" t="s">
        <v>27</v>
      </c>
      <c r="C18" s="79"/>
      <c r="D18" s="79" t="s">
        <v>15</v>
      </c>
      <c r="E18" s="80">
        <v>4</v>
      </c>
      <c r="F18" s="81">
        <f t="shared" si="0"/>
        <v>16.2352941176471</v>
      </c>
      <c r="G18" s="82">
        <f t="shared" si="1"/>
        <v>0.85</v>
      </c>
      <c r="H18" s="86">
        <v>13.8</v>
      </c>
      <c r="I18" s="83">
        <f t="shared" si="2"/>
        <v>55.2</v>
      </c>
      <c r="J18" s="79"/>
    </row>
    <row r="19" s="71" customFormat="1" ht="16" customHeight="1" spans="1:10">
      <c r="A19" s="79">
        <v>14</v>
      </c>
      <c r="B19" s="79" t="s">
        <v>29</v>
      </c>
      <c r="C19" s="79"/>
      <c r="D19" s="79" t="s">
        <v>15</v>
      </c>
      <c r="E19" s="80">
        <v>6</v>
      </c>
      <c r="F19" s="81">
        <f t="shared" si="0"/>
        <v>30.5882352941176</v>
      </c>
      <c r="G19" s="82">
        <f t="shared" si="1"/>
        <v>0.85</v>
      </c>
      <c r="H19" s="86">
        <v>26</v>
      </c>
      <c r="I19" s="83">
        <f t="shared" si="2"/>
        <v>156</v>
      </c>
      <c r="J19" s="79"/>
    </row>
    <row r="20" s="71" customFormat="1" ht="16" customHeight="1" spans="1:10">
      <c r="A20" s="79">
        <v>15</v>
      </c>
      <c r="B20" s="81" t="s">
        <v>122</v>
      </c>
      <c r="C20" s="81" t="s">
        <v>123</v>
      </c>
      <c r="D20" s="81" t="s">
        <v>56</v>
      </c>
      <c r="E20" s="80">
        <v>1</v>
      </c>
      <c r="F20" s="81">
        <f t="shared" si="0"/>
        <v>158.823529411765</v>
      </c>
      <c r="G20" s="82">
        <f t="shared" si="1"/>
        <v>0.85</v>
      </c>
      <c r="H20" s="86">
        <v>135</v>
      </c>
      <c r="I20" s="83">
        <f t="shared" si="2"/>
        <v>135</v>
      </c>
      <c r="J20" s="79"/>
    </row>
    <row r="21" s="71" customFormat="1" customHeight="1" spans="1:10">
      <c r="A21" s="79">
        <v>16</v>
      </c>
      <c r="B21" s="81" t="s">
        <v>59</v>
      </c>
      <c r="C21" s="81" t="s">
        <v>60</v>
      </c>
      <c r="D21" s="81" t="s">
        <v>38</v>
      </c>
      <c r="E21" s="80">
        <v>40</v>
      </c>
      <c r="F21" s="81">
        <f t="shared" si="0"/>
        <v>4.11764705882353</v>
      </c>
      <c r="G21" s="82">
        <f t="shared" si="1"/>
        <v>0.85</v>
      </c>
      <c r="H21" s="86">
        <v>3.5</v>
      </c>
      <c r="I21" s="83">
        <f t="shared" si="2"/>
        <v>140</v>
      </c>
      <c r="J21" s="81"/>
    </row>
    <row r="22" s="71" customFormat="1" customHeight="1" spans="1:10">
      <c r="A22" s="79">
        <v>17</v>
      </c>
      <c r="B22" s="84" t="s">
        <v>64</v>
      </c>
      <c r="C22" s="84" t="s">
        <v>65</v>
      </c>
      <c r="D22" s="84" t="s">
        <v>15</v>
      </c>
      <c r="E22" s="84">
        <v>50</v>
      </c>
      <c r="F22" s="84">
        <v>3.95</v>
      </c>
      <c r="G22" s="84">
        <v>0.9</v>
      </c>
      <c r="H22" s="84">
        <f>G22*F22</f>
        <v>3.555</v>
      </c>
      <c r="I22" s="84">
        <f t="shared" si="2"/>
        <v>177.75</v>
      </c>
      <c r="J22" s="81"/>
    </row>
    <row r="23" s="71" customFormat="1" customHeight="1" spans="1:10">
      <c r="A23" s="79">
        <v>18</v>
      </c>
      <c r="B23" s="81"/>
      <c r="C23" s="81"/>
      <c r="D23" s="81"/>
      <c r="E23" s="80"/>
      <c r="F23" s="81"/>
      <c r="G23" s="82"/>
      <c r="H23" s="86"/>
      <c r="I23" s="83"/>
      <c r="J23" s="81"/>
    </row>
    <row r="24" s="71" customFormat="1" customHeight="1" spans="1:10">
      <c r="A24" s="79">
        <v>19</v>
      </c>
      <c r="B24" s="81"/>
      <c r="C24" s="81"/>
      <c r="D24" s="81"/>
      <c r="E24" s="80"/>
      <c r="F24" s="81"/>
      <c r="G24" s="82"/>
      <c r="H24" s="86"/>
      <c r="I24" s="83"/>
      <c r="J24" s="81"/>
    </row>
    <row r="25" s="71" customFormat="1" customHeight="1" spans="1:10">
      <c r="A25" s="79">
        <v>20</v>
      </c>
      <c r="B25" s="81"/>
      <c r="C25" s="81"/>
      <c r="D25" s="81"/>
      <c r="E25" s="80"/>
      <c r="F25" s="81"/>
      <c r="G25" s="82"/>
      <c r="H25" s="86"/>
      <c r="I25" s="83"/>
      <c r="J25" s="81"/>
    </row>
    <row r="26" s="71" customFormat="1" customHeight="1" spans="1:10">
      <c r="A26" s="79">
        <v>21</v>
      </c>
      <c r="B26" s="81"/>
      <c r="C26" s="81"/>
      <c r="D26" s="81"/>
      <c r="E26" s="80"/>
      <c r="F26" s="81"/>
      <c r="G26" s="82"/>
      <c r="H26" s="86"/>
      <c r="I26" s="83"/>
      <c r="J26" s="81"/>
    </row>
    <row r="27" s="71" customFormat="1" customHeight="1" spans="1:10">
      <c r="A27" s="79">
        <v>22</v>
      </c>
      <c r="B27" s="81"/>
      <c r="C27" s="81"/>
      <c r="D27" s="81"/>
      <c r="E27" s="80"/>
      <c r="F27" s="81"/>
      <c r="G27" s="82"/>
      <c r="H27" s="86"/>
      <c r="I27" s="83"/>
      <c r="J27" s="81"/>
    </row>
    <row r="28" s="71" customFormat="1" customHeight="1" spans="1:10">
      <c r="A28" s="79">
        <v>23</v>
      </c>
      <c r="B28" s="81"/>
      <c r="C28" s="81"/>
      <c r="D28" s="81"/>
      <c r="E28" s="80"/>
      <c r="F28" s="81"/>
      <c r="G28" s="82"/>
      <c r="H28" s="86"/>
      <c r="I28" s="83"/>
      <c r="J28" s="81"/>
    </row>
    <row r="29" s="71" customFormat="1" customHeight="1" spans="1:10">
      <c r="A29" s="79">
        <v>24</v>
      </c>
      <c r="B29" s="81"/>
      <c r="C29" s="81"/>
      <c r="D29" s="81"/>
      <c r="E29" s="80"/>
      <c r="F29" s="81"/>
      <c r="G29" s="82"/>
      <c r="H29" s="86"/>
      <c r="I29" s="83"/>
      <c r="J29" s="81"/>
    </row>
    <row r="30" s="71" customFormat="1" customHeight="1" spans="1:10">
      <c r="A30" s="79">
        <v>25</v>
      </c>
      <c r="B30" s="81"/>
      <c r="C30" s="81"/>
      <c r="D30" s="81"/>
      <c r="E30" s="80"/>
      <c r="F30" s="81"/>
      <c r="G30" s="82"/>
      <c r="H30" s="86"/>
      <c r="I30" s="83"/>
      <c r="J30" s="81"/>
    </row>
    <row r="31" s="71" customFormat="1" customHeight="1" spans="1:10">
      <c r="A31" s="79">
        <v>26</v>
      </c>
      <c r="B31" s="81"/>
      <c r="C31" s="81"/>
      <c r="D31" s="81"/>
      <c r="E31" s="80"/>
      <c r="F31" s="81"/>
      <c r="G31" s="82"/>
      <c r="H31" s="86"/>
      <c r="I31" s="83"/>
      <c r="J31" s="81"/>
    </row>
    <row r="32" s="71" customFormat="1" customHeight="1" spans="1:10">
      <c r="A32" s="79">
        <v>27</v>
      </c>
      <c r="B32" s="81"/>
      <c r="C32" s="81"/>
      <c r="D32" s="81"/>
      <c r="E32" s="80"/>
      <c r="F32" s="81"/>
      <c r="G32" s="82"/>
      <c r="H32" s="86"/>
      <c r="I32" s="83"/>
      <c r="J32" s="81"/>
    </row>
    <row r="33" s="71" customFormat="1" customHeight="1" spans="1:10">
      <c r="A33" s="79">
        <v>28</v>
      </c>
      <c r="B33" s="81"/>
      <c r="C33" s="81"/>
      <c r="D33" s="81"/>
      <c r="E33" s="80"/>
      <c r="F33" s="81"/>
      <c r="G33" s="82"/>
      <c r="H33" s="86"/>
      <c r="I33" s="83"/>
      <c r="J33" s="81"/>
    </row>
    <row r="34" s="71" customFormat="1" customHeight="1" spans="1:10">
      <c r="A34" s="79" t="s">
        <v>42</v>
      </c>
      <c r="B34" s="87">
        <f>SUM(I6:I33)</f>
        <v>1280.37</v>
      </c>
      <c r="C34" s="88"/>
      <c r="D34" s="88"/>
      <c r="E34" s="89"/>
      <c r="F34" s="88"/>
      <c r="G34" s="88"/>
      <c r="H34" s="88"/>
      <c r="I34" s="88"/>
      <c r="J34" s="92"/>
    </row>
    <row r="35" s="71" customFormat="1" customHeight="1" spans="1:10">
      <c r="A35" s="79" t="s">
        <v>43</v>
      </c>
      <c r="B35" s="90">
        <f>B34</f>
        <v>1280.37</v>
      </c>
      <c r="C35" s="91"/>
      <c r="D35" s="91"/>
      <c r="E35" s="89"/>
      <c r="F35" s="91"/>
      <c r="G35" s="91"/>
      <c r="H35" s="91"/>
      <c r="I35" s="91"/>
      <c r="J35" s="93"/>
    </row>
    <row r="36" s="71" customFormat="1" customHeight="1" spans="1:5">
      <c r="A36" s="71" t="s">
        <v>44</v>
      </c>
      <c r="E36" s="72"/>
    </row>
  </sheetData>
  <sortState ref="A10:I22">
    <sortCondition ref="A10"/>
  </sortState>
  <mergeCells count="4">
    <mergeCell ref="A1:J1"/>
    <mergeCell ref="B34:J34"/>
    <mergeCell ref="B35:J35"/>
    <mergeCell ref="A36:J36"/>
  </mergeCells>
  <conditionalFormatting sqref="B22">
    <cfRule type="duplicateValues" dxfId="0" priority="16"/>
    <cfRule type="duplicateValues" dxfId="0" priority="15"/>
  </conditionalFormatting>
  <conditionalFormatting sqref="C22">
    <cfRule type="duplicateValues" dxfId="0" priority="14"/>
    <cfRule type="duplicateValues" dxfId="0" priority="13"/>
  </conditionalFormatting>
  <conditionalFormatting sqref="D22">
    <cfRule type="duplicateValues" dxfId="0" priority="12"/>
    <cfRule type="duplicateValues" dxfId="0" priority="11"/>
  </conditionalFormatting>
  <conditionalFormatting sqref="E22">
    <cfRule type="duplicateValues" dxfId="0" priority="10"/>
    <cfRule type="duplicateValues" dxfId="0" priority="9"/>
  </conditionalFormatting>
  <conditionalFormatting sqref="F22">
    <cfRule type="duplicateValues" dxfId="0" priority="8"/>
    <cfRule type="duplicateValues" dxfId="0" priority="7"/>
  </conditionalFormatting>
  <conditionalFormatting sqref="G22">
    <cfRule type="duplicateValues" dxfId="0" priority="6"/>
    <cfRule type="duplicateValues" dxfId="0" priority="5"/>
  </conditionalFormatting>
  <conditionalFormatting sqref="H22">
    <cfRule type="duplicateValues" dxfId="0" priority="4"/>
    <cfRule type="duplicateValues" dxfId="0" priority="3"/>
  </conditionalFormatting>
  <conditionalFormatting sqref="I22">
    <cfRule type="duplicateValues" dxfId="0" priority="2"/>
    <cfRule type="duplicateValues" dxfId="0" priority="1"/>
  </conditionalFormatting>
  <conditionalFormatting sqref="B1:B21 B23:B33 B36:B1048576">
    <cfRule type="duplicateValues" dxfId="0" priority="17"/>
  </conditionalFormatting>
  <conditionalFormatting sqref="B6:C16">
    <cfRule type="duplicateValues" dxfId="0" priority="19"/>
  </conditionalFormatting>
  <conditionalFormatting sqref="B6:B21 B23:B33">
    <cfRule type="duplicateValues" dxfId="0" priority="18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topLeftCell="A13" workbookViewId="0">
      <selection activeCell="H27" sqref="H27"/>
    </sheetView>
  </sheetViews>
  <sheetFormatPr defaultColWidth="9" defaultRowHeight="13.5" outlineLevelCol="1"/>
  <cols>
    <col min="1" max="1" width="11.5"/>
    <col min="2" max="2" width="10.375"/>
  </cols>
  <sheetData>
    <row r="1" spans="1:1">
      <c r="A1" t="s">
        <v>124</v>
      </c>
    </row>
    <row r="2" spans="1:2">
      <c r="A2" s="1" t="s">
        <v>125</v>
      </c>
      <c r="B2" s="1" t="s">
        <v>126</v>
      </c>
    </row>
    <row r="3" spans="1:2">
      <c r="A3" s="70">
        <v>45352</v>
      </c>
      <c r="B3">
        <f>'1'!B34</f>
        <v>1611.56</v>
      </c>
    </row>
    <row r="4" spans="1:2">
      <c r="A4" s="70">
        <v>45353</v>
      </c>
      <c r="B4">
        <v>0</v>
      </c>
    </row>
    <row r="5" spans="1:2">
      <c r="A5" s="70">
        <v>45354</v>
      </c>
      <c r="B5">
        <v>0</v>
      </c>
    </row>
    <row r="6" spans="1:2">
      <c r="A6" s="70">
        <v>45355</v>
      </c>
      <c r="B6">
        <f>'4'!B34</f>
        <v>2239.45</v>
      </c>
    </row>
    <row r="7" spans="1:2">
      <c r="A7" s="70">
        <v>45356</v>
      </c>
      <c r="B7">
        <f>'5'!B34</f>
        <v>1512.94</v>
      </c>
    </row>
    <row r="8" spans="1:2">
      <c r="A8" s="70">
        <v>45357</v>
      </c>
      <c r="B8">
        <f>'6'!B34</f>
        <v>1615.05</v>
      </c>
    </row>
    <row r="9" spans="1:2">
      <c r="A9" s="70">
        <v>45358</v>
      </c>
      <c r="B9">
        <f>'7'!B34</f>
        <v>1617.5</v>
      </c>
    </row>
    <row r="10" spans="1:2">
      <c r="A10" s="70">
        <v>45359</v>
      </c>
      <c r="B10">
        <f>'8'!B34</f>
        <v>1280.37</v>
      </c>
    </row>
    <row r="11" spans="1:1">
      <c r="A11" s="70">
        <v>45360</v>
      </c>
    </row>
    <row r="12" spans="1:1">
      <c r="A12" s="70">
        <v>45361</v>
      </c>
    </row>
    <row r="13" spans="1:1">
      <c r="A13" s="70">
        <v>45362</v>
      </c>
    </row>
    <row r="14" spans="1:1">
      <c r="A14" s="70">
        <v>45363</v>
      </c>
    </row>
    <row r="15" spans="1:1">
      <c r="A15" s="70">
        <v>45364</v>
      </c>
    </row>
    <row r="16" spans="1:1">
      <c r="A16" s="70">
        <v>45365</v>
      </c>
    </row>
    <row r="17" spans="1:1">
      <c r="A17" s="70">
        <v>45366</v>
      </c>
    </row>
    <row r="18" spans="1:1">
      <c r="A18" s="70">
        <v>45367</v>
      </c>
    </row>
    <row r="19" spans="1:1">
      <c r="A19" s="70">
        <v>45368</v>
      </c>
    </row>
    <row r="20" spans="1:1">
      <c r="A20" s="70">
        <v>45369</v>
      </c>
    </row>
    <row r="21" spans="1:1">
      <c r="A21" s="70">
        <v>45370</v>
      </c>
    </row>
    <row r="22" spans="1:1">
      <c r="A22" s="70">
        <v>45371</v>
      </c>
    </row>
    <row r="23" spans="1:1">
      <c r="A23" s="70">
        <v>45372</v>
      </c>
    </row>
    <row r="24" spans="1:1">
      <c r="A24" s="70">
        <v>45373</v>
      </c>
    </row>
    <row r="25" spans="1:1">
      <c r="A25" s="70">
        <v>45374</v>
      </c>
    </row>
    <row r="26" spans="1:1">
      <c r="A26" s="70">
        <v>45375</v>
      </c>
    </row>
    <row r="27" spans="1:1">
      <c r="A27" s="70">
        <v>45376</v>
      </c>
    </row>
    <row r="28" spans="1:1">
      <c r="A28" s="70">
        <v>45377</v>
      </c>
    </row>
    <row r="29" spans="1:1">
      <c r="A29" s="70">
        <v>45378</v>
      </c>
    </row>
    <row r="30" spans="1:1">
      <c r="A30" s="70">
        <v>45379</v>
      </c>
    </row>
    <row r="31" spans="1:1">
      <c r="A31" s="70">
        <v>45380</v>
      </c>
    </row>
    <row r="32" spans="1:2">
      <c r="A32" t="s">
        <v>127</v>
      </c>
      <c r="B32">
        <f>SUM(B3:B31)</f>
        <v>9876.87</v>
      </c>
    </row>
    <row r="33" spans="2:2">
      <c r="B33">
        <v>29418</v>
      </c>
    </row>
    <row r="34" spans="2:2">
      <c r="B34">
        <f>SUM(B32:B33)</f>
        <v>39294.87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10" workbookViewId="0">
      <selection activeCell="I2" sqref="I2:I25"/>
    </sheetView>
  </sheetViews>
  <sheetFormatPr defaultColWidth="9" defaultRowHeight="12"/>
  <cols>
    <col min="1" max="1" width="5.44166666666667" style="66" customWidth="1"/>
    <col min="2" max="2" width="19.775" style="66" customWidth="1"/>
    <col min="3" max="3" width="10.6666666666667" style="66" customWidth="1"/>
    <col min="4" max="4" width="5.44166666666667" style="66" customWidth="1"/>
    <col min="5" max="5" width="7.66666666666667" style="66" customWidth="1"/>
    <col min="6" max="6" width="8.66666666666667" style="67" customWidth="1"/>
    <col min="7" max="7" width="7.33333333333333" style="68" customWidth="1"/>
    <col min="8" max="8" width="9.66666666666667" style="12" customWidth="1"/>
    <col min="9" max="9" width="13.1083333333333" style="12" customWidth="1"/>
    <col min="10" max="16384" width="9" style="66"/>
  </cols>
  <sheetData>
    <row r="1" s="66" customFormat="1" ht="20" customHeight="1" spans="1:9">
      <c r="A1" s="43" t="s">
        <v>4</v>
      </c>
      <c r="B1" s="43" t="s">
        <v>128</v>
      </c>
      <c r="C1" s="43" t="s">
        <v>6</v>
      </c>
      <c r="D1" s="43" t="s">
        <v>7</v>
      </c>
      <c r="E1" s="43" t="s">
        <v>8</v>
      </c>
      <c r="F1" s="29" t="s">
        <v>129</v>
      </c>
      <c r="G1" s="22" t="s">
        <v>10</v>
      </c>
      <c r="H1" s="23" t="s">
        <v>11</v>
      </c>
      <c r="I1" s="23" t="s">
        <v>126</v>
      </c>
    </row>
    <row r="2" s="66" customFormat="1" ht="20" customHeight="1" spans="1:9">
      <c r="A2" s="43">
        <v>1</v>
      </c>
      <c r="B2" s="39" t="s">
        <v>130</v>
      </c>
      <c r="C2" s="43"/>
      <c r="D2" s="43" t="s">
        <v>15</v>
      </c>
      <c r="E2" s="43">
        <v>4</v>
      </c>
      <c r="F2" s="29">
        <v>8.4</v>
      </c>
      <c r="G2" s="22">
        <v>0.9</v>
      </c>
      <c r="H2" s="23">
        <f t="shared" ref="H2:H25" si="0">F2*G2</f>
        <v>7.56</v>
      </c>
      <c r="I2" s="23">
        <f t="shared" ref="I2:I25" si="1">H2*E2</f>
        <v>30.24</v>
      </c>
    </row>
    <row r="3" s="66" customFormat="1" ht="20" customHeight="1" spans="1:9">
      <c r="A3" s="43">
        <v>2</v>
      </c>
      <c r="B3" s="39" t="s">
        <v>131</v>
      </c>
      <c r="C3" s="43" t="s">
        <v>132</v>
      </c>
      <c r="D3" s="43" t="s">
        <v>133</v>
      </c>
      <c r="E3" s="43">
        <v>9</v>
      </c>
      <c r="F3" s="29">
        <v>2.6</v>
      </c>
      <c r="G3" s="22">
        <v>0.9</v>
      </c>
      <c r="H3" s="23">
        <f t="shared" si="0"/>
        <v>2.34</v>
      </c>
      <c r="I3" s="23">
        <f t="shared" si="1"/>
        <v>21.06</v>
      </c>
    </row>
    <row r="4" s="66" customFormat="1" ht="20" customHeight="1" spans="1:9">
      <c r="A4" s="43">
        <v>3</v>
      </c>
      <c r="B4" s="39" t="s">
        <v>134</v>
      </c>
      <c r="C4" s="43"/>
      <c r="D4" s="43" t="s">
        <v>15</v>
      </c>
      <c r="E4" s="43">
        <v>15</v>
      </c>
      <c r="F4" s="29">
        <v>5.6</v>
      </c>
      <c r="G4" s="22">
        <v>0.9</v>
      </c>
      <c r="H4" s="23">
        <f t="shared" si="0"/>
        <v>5.04</v>
      </c>
      <c r="I4" s="23">
        <f t="shared" si="1"/>
        <v>75.6</v>
      </c>
    </row>
    <row r="5" s="66" customFormat="1" ht="20" customHeight="1" spans="1:9">
      <c r="A5" s="43">
        <v>4</v>
      </c>
      <c r="B5" s="39" t="s">
        <v>135</v>
      </c>
      <c r="C5" s="43"/>
      <c r="D5" s="43" t="s">
        <v>15</v>
      </c>
      <c r="E5" s="43">
        <v>8</v>
      </c>
      <c r="F5" s="29">
        <v>9</v>
      </c>
      <c r="G5" s="22">
        <v>0.9</v>
      </c>
      <c r="H5" s="23">
        <f t="shared" si="0"/>
        <v>8.1</v>
      </c>
      <c r="I5" s="23">
        <f t="shared" si="1"/>
        <v>64.8</v>
      </c>
    </row>
    <row r="6" s="66" customFormat="1" ht="20" customHeight="1" spans="1:9">
      <c r="A6" s="43">
        <v>5</v>
      </c>
      <c r="B6" s="39" t="s">
        <v>136</v>
      </c>
      <c r="C6" s="43"/>
      <c r="D6" s="43" t="s">
        <v>15</v>
      </c>
      <c r="E6" s="43">
        <v>12</v>
      </c>
      <c r="F6" s="29">
        <v>31</v>
      </c>
      <c r="G6" s="22">
        <v>0.9</v>
      </c>
      <c r="H6" s="23">
        <f t="shared" si="0"/>
        <v>27.9</v>
      </c>
      <c r="I6" s="23">
        <f t="shared" si="1"/>
        <v>334.8</v>
      </c>
    </row>
    <row r="7" s="66" customFormat="1" ht="20" customHeight="1" spans="1:9">
      <c r="A7" s="43">
        <v>6</v>
      </c>
      <c r="B7" s="39" t="s">
        <v>137</v>
      </c>
      <c r="C7" s="43"/>
      <c r="D7" s="43" t="s">
        <v>15</v>
      </c>
      <c r="E7" s="43">
        <v>9</v>
      </c>
      <c r="F7" s="29">
        <v>5.3</v>
      </c>
      <c r="G7" s="22">
        <v>0.9</v>
      </c>
      <c r="H7" s="23">
        <f t="shared" si="0"/>
        <v>4.77</v>
      </c>
      <c r="I7" s="23">
        <f t="shared" si="1"/>
        <v>42.93</v>
      </c>
    </row>
    <row r="8" s="66" customFormat="1" ht="20" customHeight="1" spans="1:9">
      <c r="A8" s="43">
        <v>7</v>
      </c>
      <c r="B8" s="39" t="s">
        <v>138</v>
      </c>
      <c r="C8" s="43"/>
      <c r="D8" s="43" t="s">
        <v>15</v>
      </c>
      <c r="E8" s="43">
        <v>10</v>
      </c>
      <c r="F8" s="29">
        <v>20</v>
      </c>
      <c r="G8" s="22">
        <v>0.9</v>
      </c>
      <c r="H8" s="23">
        <f t="shared" si="0"/>
        <v>18</v>
      </c>
      <c r="I8" s="23">
        <f t="shared" si="1"/>
        <v>180</v>
      </c>
    </row>
    <row r="9" s="66" customFormat="1" ht="20" customHeight="1" spans="1:9">
      <c r="A9" s="43">
        <v>8</v>
      </c>
      <c r="B9" s="39" t="s">
        <v>116</v>
      </c>
      <c r="C9" s="43"/>
      <c r="D9" s="43" t="s">
        <v>15</v>
      </c>
      <c r="E9" s="43">
        <v>8</v>
      </c>
      <c r="F9" s="29">
        <v>5.5</v>
      </c>
      <c r="G9" s="22">
        <v>0.9</v>
      </c>
      <c r="H9" s="23">
        <f t="shared" si="0"/>
        <v>4.95</v>
      </c>
      <c r="I9" s="23">
        <f t="shared" si="1"/>
        <v>39.6</v>
      </c>
    </row>
    <row r="10" s="66" customFormat="1" ht="20" customHeight="1" spans="1:9">
      <c r="A10" s="43">
        <v>9</v>
      </c>
      <c r="B10" s="39" t="s">
        <v>75</v>
      </c>
      <c r="C10" s="43"/>
      <c r="D10" s="43" t="s">
        <v>15</v>
      </c>
      <c r="E10" s="43">
        <v>13</v>
      </c>
      <c r="F10" s="29">
        <v>5</v>
      </c>
      <c r="G10" s="22">
        <v>0.9</v>
      </c>
      <c r="H10" s="23">
        <f t="shared" si="0"/>
        <v>4.5</v>
      </c>
      <c r="I10" s="23">
        <f t="shared" si="1"/>
        <v>58.5</v>
      </c>
    </row>
    <row r="11" s="66" customFormat="1" ht="20" customHeight="1" spans="1:9">
      <c r="A11" s="43">
        <v>10</v>
      </c>
      <c r="B11" s="27" t="s">
        <v>68</v>
      </c>
      <c r="C11" s="43"/>
      <c r="D11" s="43" t="s">
        <v>15</v>
      </c>
      <c r="E11" s="43">
        <v>6</v>
      </c>
      <c r="F11" s="29">
        <v>9</v>
      </c>
      <c r="G11" s="22">
        <v>0.9</v>
      </c>
      <c r="H11" s="23">
        <f t="shared" si="0"/>
        <v>8.1</v>
      </c>
      <c r="I11" s="23">
        <f t="shared" si="1"/>
        <v>48.6</v>
      </c>
    </row>
    <row r="12" s="66" customFormat="1" ht="20" customHeight="1" spans="1:9">
      <c r="A12" s="43">
        <v>11</v>
      </c>
      <c r="B12" s="39" t="s">
        <v>139</v>
      </c>
      <c r="C12" s="43" t="s">
        <v>140</v>
      </c>
      <c r="D12" s="43" t="s">
        <v>15</v>
      </c>
      <c r="E12" s="43">
        <v>12</v>
      </c>
      <c r="F12" s="29">
        <v>29</v>
      </c>
      <c r="G12" s="22">
        <v>0.9</v>
      </c>
      <c r="H12" s="23">
        <f t="shared" si="0"/>
        <v>26.1</v>
      </c>
      <c r="I12" s="23">
        <f t="shared" si="1"/>
        <v>313.2</v>
      </c>
    </row>
    <row r="13" s="66" customFormat="1" ht="20" customHeight="1" spans="1:9">
      <c r="A13" s="43">
        <v>12</v>
      </c>
      <c r="B13" s="39" t="s">
        <v>141</v>
      </c>
      <c r="C13" s="43"/>
      <c r="D13" s="43" t="s">
        <v>15</v>
      </c>
      <c r="E13" s="43">
        <v>2</v>
      </c>
      <c r="F13" s="29">
        <v>9</v>
      </c>
      <c r="G13" s="22">
        <v>0.9</v>
      </c>
      <c r="H13" s="23">
        <f t="shared" si="0"/>
        <v>8.1</v>
      </c>
      <c r="I13" s="23">
        <f t="shared" si="1"/>
        <v>16.2</v>
      </c>
    </row>
    <row r="14" s="66" customFormat="1" ht="20" customHeight="1" spans="1:9">
      <c r="A14" s="43">
        <v>13</v>
      </c>
      <c r="B14" s="39" t="s">
        <v>105</v>
      </c>
      <c r="C14" s="43" t="s">
        <v>142</v>
      </c>
      <c r="D14" s="43" t="s">
        <v>15</v>
      </c>
      <c r="E14" s="62">
        <v>11.425</v>
      </c>
      <c r="F14" s="29">
        <v>5</v>
      </c>
      <c r="G14" s="22">
        <v>0.9</v>
      </c>
      <c r="H14" s="23">
        <f t="shared" si="0"/>
        <v>4.5</v>
      </c>
      <c r="I14" s="23">
        <f t="shared" si="1"/>
        <v>51.4125</v>
      </c>
    </row>
    <row r="15" s="66" customFormat="1" ht="20" customHeight="1" spans="1:9">
      <c r="A15" s="43">
        <v>14</v>
      </c>
      <c r="B15" s="39" t="s">
        <v>61</v>
      </c>
      <c r="C15" s="43"/>
      <c r="D15" s="43" t="s">
        <v>15</v>
      </c>
      <c r="E15" s="43">
        <v>8</v>
      </c>
      <c r="F15" s="29">
        <v>90</v>
      </c>
      <c r="G15" s="22">
        <v>0.9</v>
      </c>
      <c r="H15" s="23">
        <f t="shared" si="0"/>
        <v>81</v>
      </c>
      <c r="I15" s="23">
        <f t="shared" si="1"/>
        <v>648</v>
      </c>
    </row>
    <row r="16" s="66" customFormat="1" ht="20" customHeight="1" spans="1:9">
      <c r="A16" s="43">
        <v>15</v>
      </c>
      <c r="B16" s="39" t="s">
        <v>45</v>
      </c>
      <c r="C16" s="43"/>
      <c r="D16" s="43" t="s">
        <v>15</v>
      </c>
      <c r="E16" s="43">
        <v>2</v>
      </c>
      <c r="F16" s="29">
        <v>3.8</v>
      </c>
      <c r="G16" s="22">
        <v>0.9</v>
      </c>
      <c r="H16" s="23">
        <f t="shared" si="0"/>
        <v>3.42</v>
      </c>
      <c r="I16" s="23">
        <f t="shared" si="1"/>
        <v>6.84</v>
      </c>
    </row>
    <row r="17" s="66" customFormat="1" ht="20" customHeight="1" spans="1:9">
      <c r="A17" s="43">
        <v>16</v>
      </c>
      <c r="B17" s="39" t="s">
        <v>143</v>
      </c>
      <c r="C17" s="43"/>
      <c r="D17" s="43" t="s">
        <v>15</v>
      </c>
      <c r="E17" s="43">
        <v>10</v>
      </c>
      <c r="F17" s="29">
        <v>18</v>
      </c>
      <c r="G17" s="22">
        <v>0.9</v>
      </c>
      <c r="H17" s="23">
        <f t="shared" si="0"/>
        <v>16.2</v>
      </c>
      <c r="I17" s="23">
        <f t="shared" si="1"/>
        <v>162</v>
      </c>
    </row>
    <row r="18" s="66" customFormat="1" ht="20" customHeight="1" spans="1:9">
      <c r="A18" s="43">
        <v>17</v>
      </c>
      <c r="B18" s="39" t="s">
        <v>144</v>
      </c>
      <c r="C18" s="43"/>
      <c r="D18" s="43" t="s">
        <v>145</v>
      </c>
      <c r="E18" s="43">
        <v>10</v>
      </c>
      <c r="F18" s="29">
        <v>5</v>
      </c>
      <c r="G18" s="22">
        <v>0.9</v>
      </c>
      <c r="H18" s="23">
        <f t="shared" si="0"/>
        <v>4.5</v>
      </c>
      <c r="I18" s="23">
        <f t="shared" si="1"/>
        <v>45</v>
      </c>
    </row>
    <row r="19" s="66" customFormat="1" ht="20" customHeight="1" spans="1:9">
      <c r="A19" s="43">
        <v>18</v>
      </c>
      <c r="B19" s="39" t="s">
        <v>146</v>
      </c>
      <c r="C19" s="43"/>
      <c r="D19" s="43" t="s">
        <v>15</v>
      </c>
      <c r="E19" s="43">
        <v>10</v>
      </c>
      <c r="F19" s="29">
        <v>3.9</v>
      </c>
      <c r="G19" s="22">
        <v>0.9</v>
      </c>
      <c r="H19" s="23">
        <f t="shared" si="0"/>
        <v>3.51</v>
      </c>
      <c r="I19" s="23">
        <f t="shared" si="1"/>
        <v>35.1</v>
      </c>
    </row>
    <row r="20" s="66" customFormat="1" ht="20" customHeight="1" spans="1:9">
      <c r="A20" s="43">
        <v>19</v>
      </c>
      <c r="B20" s="33" t="s">
        <v>17</v>
      </c>
      <c r="C20" s="43"/>
      <c r="D20" s="43" t="s">
        <v>15</v>
      </c>
      <c r="E20" s="43">
        <v>7</v>
      </c>
      <c r="F20" s="29">
        <v>3.8</v>
      </c>
      <c r="G20" s="22">
        <v>0.9</v>
      </c>
      <c r="H20" s="23">
        <f t="shared" si="0"/>
        <v>3.42</v>
      </c>
      <c r="I20" s="23">
        <f t="shared" si="1"/>
        <v>23.94</v>
      </c>
    </row>
    <row r="21" s="66" customFormat="1" ht="20" customHeight="1" spans="1:9">
      <c r="A21" s="43">
        <v>20</v>
      </c>
      <c r="B21" s="39" t="s">
        <v>147</v>
      </c>
      <c r="C21" s="43"/>
      <c r="D21" s="43" t="s">
        <v>15</v>
      </c>
      <c r="E21" s="43">
        <v>5</v>
      </c>
      <c r="F21" s="29">
        <v>3.3</v>
      </c>
      <c r="G21" s="22">
        <v>0.9</v>
      </c>
      <c r="H21" s="23">
        <f t="shared" si="0"/>
        <v>2.97</v>
      </c>
      <c r="I21" s="23">
        <f t="shared" si="1"/>
        <v>14.85</v>
      </c>
    </row>
    <row r="22" s="66" customFormat="1" ht="20" customHeight="1" spans="1:9">
      <c r="A22" s="43">
        <v>21</v>
      </c>
      <c r="B22" s="39" t="s">
        <v>148</v>
      </c>
      <c r="C22" s="43"/>
      <c r="D22" s="43" t="s">
        <v>133</v>
      </c>
      <c r="E22" s="43">
        <v>5</v>
      </c>
      <c r="F22" s="29">
        <v>4.6</v>
      </c>
      <c r="G22" s="22">
        <v>0.9</v>
      </c>
      <c r="H22" s="23">
        <f t="shared" si="0"/>
        <v>4.14</v>
      </c>
      <c r="I22" s="23">
        <f t="shared" si="1"/>
        <v>20.7</v>
      </c>
    </row>
    <row r="23" s="66" customFormat="1" ht="20" customHeight="1" spans="1:9">
      <c r="A23" s="43">
        <v>22</v>
      </c>
      <c r="B23" s="39" t="s">
        <v>149</v>
      </c>
      <c r="C23" s="43"/>
      <c r="D23" s="43" t="s">
        <v>56</v>
      </c>
      <c r="E23" s="43">
        <v>1</v>
      </c>
      <c r="F23" s="29">
        <v>390</v>
      </c>
      <c r="G23" s="22">
        <v>0.9</v>
      </c>
      <c r="H23" s="23">
        <f t="shared" si="0"/>
        <v>351</v>
      </c>
      <c r="I23" s="23">
        <f t="shared" si="1"/>
        <v>351</v>
      </c>
    </row>
    <row r="24" s="66" customFormat="1" ht="20" customHeight="1" spans="1:9">
      <c r="A24" s="43">
        <v>23</v>
      </c>
      <c r="B24" s="39" t="s">
        <v>150</v>
      </c>
      <c r="C24" s="43"/>
      <c r="D24" s="43" t="s">
        <v>41</v>
      </c>
      <c r="E24" s="43">
        <v>40</v>
      </c>
      <c r="F24" s="21">
        <v>4.15</v>
      </c>
      <c r="G24" s="22">
        <v>0.9</v>
      </c>
      <c r="H24" s="23">
        <f t="shared" si="0"/>
        <v>3.735</v>
      </c>
      <c r="I24" s="23">
        <f t="shared" si="1"/>
        <v>149.4</v>
      </c>
    </row>
    <row r="25" s="7" customFormat="1" ht="20" customHeight="1" spans="1:9">
      <c r="A25" s="43">
        <v>24</v>
      </c>
      <c r="B25" s="39" t="s">
        <v>151</v>
      </c>
      <c r="C25" s="69"/>
      <c r="D25" s="69" t="s">
        <v>41</v>
      </c>
      <c r="E25" s="69">
        <v>40</v>
      </c>
      <c r="F25" s="29">
        <v>5.6</v>
      </c>
      <c r="G25" s="22">
        <v>0.9</v>
      </c>
      <c r="H25" s="23">
        <f t="shared" si="0"/>
        <v>5.04</v>
      </c>
      <c r="I25" s="23">
        <f t="shared" si="1"/>
        <v>201.6</v>
      </c>
    </row>
    <row r="26" s="7" customFormat="1" ht="20" customHeight="1" spans="1:9">
      <c r="A26" s="60"/>
      <c r="B26" s="60" t="s">
        <v>127</v>
      </c>
      <c r="C26" s="60"/>
      <c r="D26" s="60"/>
      <c r="E26" s="60"/>
      <c r="F26" s="35"/>
      <c r="G26" s="36"/>
      <c r="H26" s="37"/>
      <c r="I26" s="37">
        <f>SUM(I2:I25)</f>
        <v>2935.3725</v>
      </c>
    </row>
    <row r="27" s="66" customFormat="1" ht="20" customHeight="1" spans="6:9">
      <c r="F27" s="67"/>
      <c r="G27" s="68"/>
      <c r="H27" s="12"/>
      <c r="I27" s="12"/>
    </row>
    <row r="28" s="66" customFormat="1" ht="20" customHeight="1" spans="6:9">
      <c r="F28" s="67"/>
      <c r="G28" s="68"/>
      <c r="H28" s="12"/>
      <c r="I28" s="1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opLeftCell="D1" workbookViewId="0">
      <selection activeCell="I21" sqref="I21"/>
    </sheetView>
  </sheetViews>
  <sheetFormatPr defaultColWidth="9" defaultRowHeight="12"/>
  <cols>
    <col min="1" max="1" width="6.66666666666667" style="58" customWidth="1"/>
    <col min="2" max="2" width="20.775" style="58" customWidth="1"/>
    <col min="3" max="3" width="10.775" style="58" customWidth="1"/>
    <col min="4" max="4" width="8.66666666666667" style="58" customWidth="1"/>
    <col min="5" max="5" width="10" style="61" customWidth="1"/>
    <col min="6" max="6" width="10" style="17" customWidth="1"/>
    <col min="7" max="7" width="12.775" style="18" customWidth="1"/>
    <col min="8" max="8" width="12.775" style="19" customWidth="1"/>
    <col min="9" max="9" width="13.1083333333333" style="19" customWidth="1"/>
    <col min="10" max="16384" width="9" style="58"/>
  </cols>
  <sheetData>
    <row r="1" s="58" customFormat="1" ht="20" customHeight="1" spans="1:9">
      <c r="A1" s="43" t="s">
        <v>4</v>
      </c>
      <c r="B1" s="43" t="s">
        <v>128</v>
      </c>
      <c r="C1" s="43" t="s">
        <v>6</v>
      </c>
      <c r="D1" s="43" t="s">
        <v>7</v>
      </c>
      <c r="E1" s="43" t="s">
        <v>8</v>
      </c>
      <c r="F1" s="21" t="s">
        <v>129</v>
      </c>
      <c r="G1" s="22" t="s">
        <v>10</v>
      </c>
      <c r="H1" s="23" t="s">
        <v>11</v>
      </c>
      <c r="I1" s="23" t="s">
        <v>126</v>
      </c>
    </row>
    <row r="2" s="58" customFormat="1" spans="1:9">
      <c r="A2" s="62">
        <v>1</v>
      </c>
      <c r="B2" s="27" t="s">
        <v>19</v>
      </c>
      <c r="C2" s="43"/>
      <c r="D2" s="63" t="s">
        <v>15</v>
      </c>
      <c r="E2" s="63">
        <v>10</v>
      </c>
      <c r="F2" s="42">
        <v>2.22</v>
      </c>
      <c r="G2" s="64">
        <v>0.9</v>
      </c>
      <c r="H2" s="65">
        <f t="shared" ref="H2:H20" si="0">F2*G2</f>
        <v>1.998</v>
      </c>
      <c r="I2" s="23">
        <f t="shared" ref="I2:I20" si="1">H2*E2</f>
        <v>19.98</v>
      </c>
    </row>
    <row r="3" s="58" customFormat="1" spans="1:9">
      <c r="A3" s="62">
        <v>2</v>
      </c>
      <c r="B3" s="27" t="s">
        <v>90</v>
      </c>
      <c r="C3" s="43"/>
      <c r="D3" s="63" t="s">
        <v>15</v>
      </c>
      <c r="E3" s="63">
        <v>6</v>
      </c>
      <c r="F3" s="42">
        <v>3.3</v>
      </c>
      <c r="G3" s="64">
        <v>0.9</v>
      </c>
      <c r="H3" s="65">
        <f t="shared" si="0"/>
        <v>2.97</v>
      </c>
      <c r="I3" s="23">
        <f t="shared" si="1"/>
        <v>17.82</v>
      </c>
    </row>
    <row r="4" s="58" customFormat="1" spans="1:9">
      <c r="A4" s="62">
        <v>3</v>
      </c>
      <c r="B4" s="27" t="s">
        <v>152</v>
      </c>
      <c r="C4" s="43"/>
      <c r="D4" s="63" t="s">
        <v>15</v>
      </c>
      <c r="E4" s="63">
        <v>10</v>
      </c>
      <c r="F4" s="42">
        <v>52</v>
      </c>
      <c r="G4" s="64">
        <v>0.9</v>
      </c>
      <c r="H4" s="65">
        <f t="shared" si="0"/>
        <v>46.8</v>
      </c>
      <c r="I4" s="23">
        <f t="shared" si="1"/>
        <v>468</v>
      </c>
    </row>
    <row r="5" s="58" customFormat="1" spans="1:9">
      <c r="A5" s="62">
        <v>4</v>
      </c>
      <c r="B5" s="39" t="s">
        <v>143</v>
      </c>
      <c r="C5" s="43"/>
      <c r="D5" s="63" t="s">
        <v>15</v>
      </c>
      <c r="E5" s="63">
        <v>3</v>
      </c>
      <c r="F5" s="29">
        <v>18</v>
      </c>
      <c r="G5" s="64">
        <v>0.9</v>
      </c>
      <c r="H5" s="65">
        <f t="shared" si="0"/>
        <v>16.2</v>
      </c>
      <c r="I5" s="23">
        <f t="shared" si="1"/>
        <v>48.6</v>
      </c>
    </row>
    <row r="6" s="58" customFormat="1" spans="1:9">
      <c r="A6" s="62">
        <v>5</v>
      </c>
      <c r="B6" s="27" t="s">
        <v>153</v>
      </c>
      <c r="C6" s="43"/>
      <c r="D6" s="63" t="s">
        <v>15</v>
      </c>
      <c r="E6" s="63">
        <v>10</v>
      </c>
      <c r="F6" s="42">
        <v>10</v>
      </c>
      <c r="G6" s="64">
        <v>0.9</v>
      </c>
      <c r="H6" s="65">
        <f t="shared" si="0"/>
        <v>9</v>
      </c>
      <c r="I6" s="23">
        <f t="shared" si="1"/>
        <v>90</v>
      </c>
    </row>
    <row r="7" s="58" customFormat="1" spans="1:9">
      <c r="A7" s="62">
        <v>6</v>
      </c>
      <c r="B7" s="27" t="s">
        <v>154</v>
      </c>
      <c r="C7" s="43"/>
      <c r="D7" s="63" t="s">
        <v>15</v>
      </c>
      <c r="E7" s="63">
        <v>16</v>
      </c>
      <c r="F7" s="42">
        <v>9</v>
      </c>
      <c r="G7" s="64">
        <v>0.9</v>
      </c>
      <c r="H7" s="65">
        <f t="shared" si="0"/>
        <v>8.1</v>
      </c>
      <c r="I7" s="23">
        <f t="shared" si="1"/>
        <v>129.6</v>
      </c>
    </row>
    <row r="8" s="58" customFormat="1" spans="1:9">
      <c r="A8" s="62">
        <v>7</v>
      </c>
      <c r="B8" s="27" t="s">
        <v>92</v>
      </c>
      <c r="C8" s="43"/>
      <c r="D8" s="63" t="s">
        <v>15</v>
      </c>
      <c r="E8" s="63">
        <v>13</v>
      </c>
      <c r="F8" s="42">
        <v>5.3</v>
      </c>
      <c r="G8" s="64">
        <v>0.9</v>
      </c>
      <c r="H8" s="65">
        <f t="shared" si="0"/>
        <v>4.77</v>
      </c>
      <c r="I8" s="23">
        <f t="shared" si="1"/>
        <v>62.01</v>
      </c>
    </row>
    <row r="9" s="58" customFormat="1" spans="1:9">
      <c r="A9" s="62">
        <v>8</v>
      </c>
      <c r="B9" s="27" t="s">
        <v>137</v>
      </c>
      <c r="C9" s="43"/>
      <c r="D9" s="63" t="s">
        <v>15</v>
      </c>
      <c r="E9" s="63">
        <v>3</v>
      </c>
      <c r="F9" s="29">
        <v>5.3</v>
      </c>
      <c r="G9" s="64">
        <v>0.9</v>
      </c>
      <c r="H9" s="65">
        <f t="shared" si="0"/>
        <v>4.77</v>
      </c>
      <c r="I9" s="23">
        <f t="shared" si="1"/>
        <v>14.31</v>
      </c>
    </row>
    <row r="10" s="58" customFormat="1" spans="1:9">
      <c r="A10" s="62">
        <v>9</v>
      </c>
      <c r="B10" s="27" t="s">
        <v>20</v>
      </c>
      <c r="C10" s="43"/>
      <c r="D10" s="62" t="s">
        <v>15</v>
      </c>
      <c r="E10" s="62">
        <v>3</v>
      </c>
      <c r="F10" s="29">
        <v>9</v>
      </c>
      <c r="G10" s="64">
        <v>0.9</v>
      </c>
      <c r="H10" s="65">
        <f t="shared" si="0"/>
        <v>8.1</v>
      </c>
      <c r="I10" s="23">
        <f t="shared" si="1"/>
        <v>24.3</v>
      </c>
    </row>
    <row r="11" s="58" customFormat="1" spans="1:9">
      <c r="A11" s="62">
        <v>10</v>
      </c>
      <c r="B11" s="27" t="s">
        <v>155</v>
      </c>
      <c r="C11" s="43" t="s">
        <v>156</v>
      </c>
      <c r="D11" s="62" t="s">
        <v>41</v>
      </c>
      <c r="E11" s="62">
        <v>45</v>
      </c>
      <c r="F11" s="42">
        <v>5</v>
      </c>
      <c r="G11" s="64">
        <v>0.9</v>
      </c>
      <c r="H11" s="65">
        <f t="shared" si="0"/>
        <v>4.5</v>
      </c>
      <c r="I11" s="23">
        <f t="shared" si="1"/>
        <v>202.5</v>
      </c>
    </row>
    <row r="12" s="58" customFormat="1" spans="1:9">
      <c r="A12" s="62">
        <v>12</v>
      </c>
      <c r="B12" s="27" t="s">
        <v>157</v>
      </c>
      <c r="C12" s="43"/>
      <c r="D12" s="62" t="s">
        <v>15</v>
      </c>
      <c r="E12" s="62">
        <v>2</v>
      </c>
      <c r="F12" s="42">
        <v>11.8</v>
      </c>
      <c r="G12" s="64">
        <v>0.9</v>
      </c>
      <c r="H12" s="65">
        <f t="shared" si="0"/>
        <v>10.62</v>
      </c>
      <c r="I12" s="23">
        <f t="shared" si="1"/>
        <v>21.24</v>
      </c>
    </row>
    <row r="13" s="58" customFormat="1" spans="1:9">
      <c r="A13" s="62">
        <v>13</v>
      </c>
      <c r="B13" s="27" t="s">
        <v>74</v>
      </c>
      <c r="C13" s="43"/>
      <c r="D13" s="62" t="s">
        <v>15</v>
      </c>
      <c r="E13" s="62">
        <v>2</v>
      </c>
      <c r="F13" s="42">
        <v>3.8</v>
      </c>
      <c r="G13" s="64">
        <v>0.9</v>
      </c>
      <c r="H13" s="65">
        <f t="shared" si="0"/>
        <v>3.42</v>
      </c>
      <c r="I13" s="23">
        <f t="shared" si="1"/>
        <v>6.84</v>
      </c>
    </row>
    <row r="14" s="58" customFormat="1" spans="1:9">
      <c r="A14" s="62">
        <v>14</v>
      </c>
      <c r="B14" s="33" t="s">
        <v>17</v>
      </c>
      <c r="C14" s="43"/>
      <c r="D14" s="62" t="s">
        <v>15</v>
      </c>
      <c r="E14" s="62">
        <v>6</v>
      </c>
      <c r="F14" s="42">
        <v>3.8</v>
      </c>
      <c r="G14" s="64">
        <v>0.9</v>
      </c>
      <c r="H14" s="65">
        <f t="shared" si="0"/>
        <v>3.42</v>
      </c>
      <c r="I14" s="23">
        <f t="shared" si="1"/>
        <v>20.52</v>
      </c>
    </row>
    <row r="15" s="58" customFormat="1" spans="1:9">
      <c r="A15" s="62">
        <v>15</v>
      </c>
      <c r="B15" s="27" t="s">
        <v>147</v>
      </c>
      <c r="C15" s="43"/>
      <c r="D15" s="62" t="s">
        <v>15</v>
      </c>
      <c r="E15" s="62">
        <v>5</v>
      </c>
      <c r="F15" s="42">
        <v>3.3</v>
      </c>
      <c r="G15" s="64">
        <v>0.9</v>
      </c>
      <c r="H15" s="65">
        <f t="shared" si="0"/>
        <v>2.97</v>
      </c>
      <c r="I15" s="23">
        <f t="shared" si="1"/>
        <v>14.85</v>
      </c>
    </row>
    <row r="16" s="58" customFormat="1" spans="1:9">
      <c r="A16" s="62">
        <v>16</v>
      </c>
      <c r="B16" s="27" t="s">
        <v>158</v>
      </c>
      <c r="C16" s="43"/>
      <c r="D16" s="62" t="s">
        <v>15</v>
      </c>
      <c r="E16" s="62">
        <v>2</v>
      </c>
      <c r="F16" s="42">
        <v>7.5</v>
      </c>
      <c r="G16" s="64">
        <v>0.9</v>
      </c>
      <c r="H16" s="65">
        <f t="shared" si="0"/>
        <v>6.75</v>
      </c>
      <c r="I16" s="23">
        <f t="shared" si="1"/>
        <v>13.5</v>
      </c>
    </row>
    <row r="17" s="58" customFormat="1" spans="1:9">
      <c r="A17" s="62">
        <v>17</v>
      </c>
      <c r="B17" s="27" t="s">
        <v>159</v>
      </c>
      <c r="C17" s="43"/>
      <c r="D17" s="62" t="s">
        <v>15</v>
      </c>
      <c r="E17" s="62">
        <v>2</v>
      </c>
      <c r="F17" s="42">
        <v>26.8</v>
      </c>
      <c r="G17" s="64">
        <v>0.9</v>
      </c>
      <c r="H17" s="65">
        <f t="shared" si="0"/>
        <v>24.12</v>
      </c>
      <c r="I17" s="23">
        <f t="shared" si="1"/>
        <v>48.24</v>
      </c>
    </row>
    <row r="18" s="58" customFormat="1" spans="1:9">
      <c r="A18" s="62">
        <v>18</v>
      </c>
      <c r="B18" s="27" t="s">
        <v>68</v>
      </c>
      <c r="C18" s="43"/>
      <c r="D18" s="62" t="s">
        <v>15</v>
      </c>
      <c r="E18" s="62">
        <v>2</v>
      </c>
      <c r="F18" s="29">
        <v>9</v>
      </c>
      <c r="G18" s="64">
        <v>0.9</v>
      </c>
      <c r="H18" s="65">
        <f t="shared" si="0"/>
        <v>8.1</v>
      </c>
      <c r="I18" s="23">
        <f t="shared" si="1"/>
        <v>16.2</v>
      </c>
    </row>
    <row r="19" s="58" customFormat="1" spans="1:9">
      <c r="A19" s="62">
        <v>19</v>
      </c>
      <c r="B19" s="27" t="s">
        <v>160</v>
      </c>
      <c r="C19" s="43" t="s">
        <v>161</v>
      </c>
      <c r="D19" s="62" t="s">
        <v>162</v>
      </c>
      <c r="E19" s="62">
        <v>1</v>
      </c>
      <c r="F19" s="42">
        <v>45</v>
      </c>
      <c r="G19" s="64">
        <v>0.9</v>
      </c>
      <c r="H19" s="65">
        <f t="shared" si="0"/>
        <v>40.5</v>
      </c>
      <c r="I19" s="23">
        <f t="shared" si="1"/>
        <v>40.5</v>
      </c>
    </row>
    <row r="20" s="58" customFormat="1" spans="1:9">
      <c r="A20" s="62">
        <v>20</v>
      </c>
      <c r="B20" s="27" t="s">
        <v>30</v>
      </c>
      <c r="C20" s="43"/>
      <c r="D20" s="62" t="s">
        <v>15</v>
      </c>
      <c r="E20" s="62">
        <v>3</v>
      </c>
      <c r="F20" s="42">
        <v>31.1</v>
      </c>
      <c r="G20" s="64">
        <v>0.9</v>
      </c>
      <c r="H20" s="65">
        <f t="shared" si="0"/>
        <v>27.99</v>
      </c>
      <c r="I20" s="23">
        <f t="shared" si="1"/>
        <v>83.97</v>
      </c>
    </row>
    <row r="21" s="59" customFormat="1" ht="20" customHeight="1" spans="1:9">
      <c r="A21" s="60"/>
      <c r="B21" s="60" t="s">
        <v>127</v>
      </c>
      <c r="C21" s="60"/>
      <c r="D21" s="60"/>
      <c r="E21" s="60"/>
      <c r="F21" s="35"/>
      <c r="G21" s="36"/>
      <c r="H21" s="37"/>
      <c r="I21" s="37">
        <f>SUM(I2:I20)</f>
        <v>1342.98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opLeftCell="B23" workbookViewId="0">
      <selection activeCell="A1" sqref="$A1:$XFD1048576"/>
    </sheetView>
  </sheetViews>
  <sheetFormatPr defaultColWidth="9" defaultRowHeight="12"/>
  <cols>
    <col min="1" max="1" width="5.44166666666667" style="58" customWidth="1"/>
    <col min="2" max="2" width="17.6666666666667" style="58" customWidth="1"/>
    <col min="3" max="3" width="8" style="58" customWidth="1"/>
    <col min="4" max="4" width="5.44166666666667" style="58" customWidth="1"/>
    <col min="5" max="5" width="6.66666666666667" style="58" customWidth="1"/>
    <col min="6" max="6" width="8.66666666666667" style="17" customWidth="1"/>
    <col min="7" max="7" width="7.33333333333333" style="18" customWidth="1"/>
    <col min="8" max="8" width="9.66666666666667" style="19" customWidth="1"/>
    <col min="9" max="9" width="13.1083333333333" style="19" customWidth="1"/>
    <col min="10" max="16384" width="9" style="58"/>
  </cols>
  <sheetData>
    <row r="1" s="58" customFormat="1" ht="20" customHeight="1" spans="1:9">
      <c r="A1" s="43" t="s">
        <v>4</v>
      </c>
      <c r="B1" s="43" t="s">
        <v>128</v>
      </c>
      <c r="C1" s="43" t="s">
        <v>6</v>
      </c>
      <c r="D1" s="43" t="s">
        <v>7</v>
      </c>
      <c r="E1" s="43" t="s">
        <v>8</v>
      </c>
      <c r="F1" s="21" t="s">
        <v>129</v>
      </c>
      <c r="G1" s="22" t="s">
        <v>10</v>
      </c>
      <c r="H1" s="23" t="s">
        <v>11</v>
      </c>
      <c r="I1" s="23" t="s">
        <v>126</v>
      </c>
    </row>
    <row r="2" s="58" customFormat="1" ht="20" customHeight="1" spans="1:9">
      <c r="A2" s="43">
        <v>1</v>
      </c>
      <c r="B2" s="39" t="s">
        <v>163</v>
      </c>
      <c r="C2" s="43"/>
      <c r="D2" s="43" t="s">
        <v>15</v>
      </c>
      <c r="E2" s="43">
        <v>10.85</v>
      </c>
      <c r="F2" s="21">
        <v>32</v>
      </c>
      <c r="G2" s="22">
        <v>0.9</v>
      </c>
      <c r="H2" s="23">
        <f t="shared" ref="H2:H30" si="0">F2*G2</f>
        <v>28.8</v>
      </c>
      <c r="I2" s="23">
        <f t="shared" ref="I2:I30" si="1">H2*E2</f>
        <v>312.48</v>
      </c>
    </row>
    <row r="3" s="58" customFormat="1" ht="20" customHeight="1" spans="1:9">
      <c r="A3" s="43">
        <v>2</v>
      </c>
      <c r="B3" s="39" t="s">
        <v>164</v>
      </c>
      <c r="C3" s="43"/>
      <c r="D3" s="43" t="s">
        <v>15</v>
      </c>
      <c r="E3" s="43">
        <v>20</v>
      </c>
      <c r="F3" s="21">
        <v>3.8</v>
      </c>
      <c r="G3" s="22">
        <v>0.9</v>
      </c>
      <c r="H3" s="23">
        <f t="shared" si="0"/>
        <v>3.42</v>
      </c>
      <c r="I3" s="23">
        <f t="shared" si="1"/>
        <v>68.4</v>
      </c>
    </row>
    <row r="4" s="58" customFormat="1" ht="20" customHeight="1" spans="1:9">
      <c r="A4" s="43">
        <v>3</v>
      </c>
      <c r="B4" s="39" t="s">
        <v>165</v>
      </c>
      <c r="C4" s="43"/>
      <c r="D4" s="43" t="s">
        <v>15</v>
      </c>
      <c r="E4" s="43">
        <v>13</v>
      </c>
      <c r="F4" s="21">
        <v>2.8</v>
      </c>
      <c r="G4" s="22">
        <v>0.9</v>
      </c>
      <c r="H4" s="23">
        <f t="shared" si="0"/>
        <v>2.52</v>
      </c>
      <c r="I4" s="23">
        <f t="shared" si="1"/>
        <v>32.76</v>
      </c>
    </row>
    <row r="5" s="58" customFormat="1" ht="20" customHeight="1" spans="1:9">
      <c r="A5" s="43">
        <v>4</v>
      </c>
      <c r="B5" s="39" t="s">
        <v>166</v>
      </c>
      <c r="C5" s="43"/>
      <c r="D5" s="43" t="s">
        <v>15</v>
      </c>
      <c r="E5" s="43">
        <v>11.5</v>
      </c>
      <c r="F5" s="21">
        <v>25</v>
      </c>
      <c r="G5" s="22">
        <v>0.9</v>
      </c>
      <c r="H5" s="23">
        <f t="shared" si="0"/>
        <v>22.5</v>
      </c>
      <c r="I5" s="23">
        <f t="shared" si="1"/>
        <v>258.75</v>
      </c>
    </row>
    <row r="6" s="58" customFormat="1" ht="20" customHeight="1" spans="1:9">
      <c r="A6" s="43">
        <v>5</v>
      </c>
      <c r="B6" s="39" t="s">
        <v>76</v>
      </c>
      <c r="C6" s="43"/>
      <c r="D6" s="43" t="s">
        <v>15</v>
      </c>
      <c r="E6" s="43">
        <v>16.54</v>
      </c>
      <c r="F6" s="21">
        <v>6.9</v>
      </c>
      <c r="G6" s="22">
        <v>0.9</v>
      </c>
      <c r="H6" s="23">
        <f t="shared" si="0"/>
        <v>6.21</v>
      </c>
      <c r="I6" s="23">
        <f t="shared" si="1"/>
        <v>102.7134</v>
      </c>
    </row>
    <row r="7" s="58" customFormat="1" ht="20" customHeight="1" spans="1:9">
      <c r="A7" s="43">
        <v>6</v>
      </c>
      <c r="B7" s="39" t="s">
        <v>77</v>
      </c>
      <c r="C7" s="43"/>
      <c r="D7" s="43" t="s">
        <v>56</v>
      </c>
      <c r="E7" s="43">
        <v>1</v>
      </c>
      <c r="F7" s="21">
        <v>333</v>
      </c>
      <c r="G7" s="22">
        <v>0.9</v>
      </c>
      <c r="H7" s="23">
        <f t="shared" si="0"/>
        <v>299.7</v>
      </c>
      <c r="I7" s="23">
        <f t="shared" si="1"/>
        <v>299.7</v>
      </c>
    </row>
    <row r="8" s="58" customFormat="1" ht="20" customHeight="1" spans="1:9">
      <c r="A8" s="43">
        <v>7</v>
      </c>
      <c r="B8" s="39" t="s">
        <v>167</v>
      </c>
      <c r="C8" s="43" t="s">
        <v>168</v>
      </c>
      <c r="D8" s="43" t="s">
        <v>133</v>
      </c>
      <c r="E8" s="43">
        <v>2</v>
      </c>
      <c r="F8" s="21">
        <v>155</v>
      </c>
      <c r="G8" s="22">
        <v>0.9</v>
      </c>
      <c r="H8" s="23">
        <f t="shared" si="0"/>
        <v>139.5</v>
      </c>
      <c r="I8" s="23">
        <f t="shared" si="1"/>
        <v>279</v>
      </c>
    </row>
    <row r="9" s="58" customFormat="1" ht="20" customHeight="1" spans="1:9">
      <c r="A9" s="43">
        <v>8</v>
      </c>
      <c r="B9" s="39" t="s">
        <v>169</v>
      </c>
      <c r="C9" s="43" t="s">
        <v>170</v>
      </c>
      <c r="D9" s="43" t="s">
        <v>56</v>
      </c>
      <c r="E9" s="43">
        <v>2</v>
      </c>
      <c r="F9" s="21">
        <v>399.6</v>
      </c>
      <c r="G9" s="22">
        <v>0.9</v>
      </c>
      <c r="H9" s="23">
        <f t="shared" si="0"/>
        <v>359.64</v>
      </c>
      <c r="I9" s="23">
        <f t="shared" si="1"/>
        <v>719.28</v>
      </c>
    </row>
    <row r="10" s="58" customFormat="1" ht="20" customHeight="1" spans="1:9">
      <c r="A10" s="43">
        <v>9</v>
      </c>
      <c r="B10" s="39" t="s">
        <v>171</v>
      </c>
      <c r="C10" s="43" t="s">
        <v>172</v>
      </c>
      <c r="D10" s="43" t="s">
        <v>15</v>
      </c>
      <c r="E10" s="43">
        <v>18.5</v>
      </c>
      <c r="F10" s="21">
        <v>15.33</v>
      </c>
      <c r="G10" s="22">
        <v>0.9</v>
      </c>
      <c r="H10" s="23">
        <f t="shared" si="0"/>
        <v>13.797</v>
      </c>
      <c r="I10" s="23">
        <f t="shared" si="1"/>
        <v>255.2445</v>
      </c>
    </row>
    <row r="11" s="58" customFormat="1" ht="20" customHeight="1" spans="1:9">
      <c r="A11" s="43">
        <v>10</v>
      </c>
      <c r="B11" s="39" t="s">
        <v>173</v>
      </c>
      <c r="C11" s="43" t="s">
        <v>174</v>
      </c>
      <c r="D11" s="43" t="s">
        <v>15</v>
      </c>
      <c r="E11" s="43">
        <v>8</v>
      </c>
      <c r="F11" s="21">
        <v>16.4</v>
      </c>
      <c r="G11" s="22">
        <v>0.9</v>
      </c>
      <c r="H11" s="23">
        <f t="shared" si="0"/>
        <v>14.76</v>
      </c>
      <c r="I11" s="23">
        <f t="shared" si="1"/>
        <v>118.08</v>
      </c>
    </row>
    <row r="12" s="58" customFormat="1" ht="20" customHeight="1" spans="1:9">
      <c r="A12" s="43">
        <v>11</v>
      </c>
      <c r="B12" s="39" t="s">
        <v>68</v>
      </c>
      <c r="C12" s="43"/>
      <c r="D12" s="43" t="s">
        <v>15</v>
      </c>
      <c r="E12" s="43">
        <v>3</v>
      </c>
      <c r="F12" s="29">
        <v>9</v>
      </c>
      <c r="G12" s="22">
        <v>0.9</v>
      </c>
      <c r="H12" s="23">
        <f t="shared" si="0"/>
        <v>8.1</v>
      </c>
      <c r="I12" s="23">
        <f t="shared" si="1"/>
        <v>24.3</v>
      </c>
    </row>
    <row r="13" s="58" customFormat="1" ht="20" customHeight="1" spans="1:9">
      <c r="A13" s="43">
        <v>12</v>
      </c>
      <c r="B13" s="33" t="s">
        <v>17</v>
      </c>
      <c r="C13" s="43"/>
      <c r="D13" s="43" t="s">
        <v>15</v>
      </c>
      <c r="E13" s="43">
        <v>12</v>
      </c>
      <c r="F13" s="29">
        <v>3.8</v>
      </c>
      <c r="G13" s="22">
        <v>0.9</v>
      </c>
      <c r="H13" s="23">
        <f t="shared" si="0"/>
        <v>3.42</v>
      </c>
      <c r="I13" s="23">
        <f t="shared" si="1"/>
        <v>41.04</v>
      </c>
    </row>
    <row r="14" s="58" customFormat="1" ht="20" customHeight="1" spans="1:9">
      <c r="A14" s="43">
        <v>13</v>
      </c>
      <c r="B14" s="39" t="s">
        <v>175</v>
      </c>
      <c r="C14" s="43"/>
      <c r="D14" s="43" t="s">
        <v>15</v>
      </c>
      <c r="E14" s="43">
        <v>5</v>
      </c>
      <c r="F14" s="21">
        <v>10</v>
      </c>
      <c r="G14" s="22">
        <v>0.9</v>
      </c>
      <c r="H14" s="23">
        <f t="shared" si="0"/>
        <v>9</v>
      </c>
      <c r="I14" s="23">
        <f t="shared" si="1"/>
        <v>45</v>
      </c>
    </row>
    <row r="15" s="58" customFormat="1" ht="20" customHeight="1" spans="1:9">
      <c r="A15" s="43">
        <v>14</v>
      </c>
      <c r="B15" s="39" t="s">
        <v>150</v>
      </c>
      <c r="C15" s="43"/>
      <c r="D15" s="43" t="s">
        <v>41</v>
      </c>
      <c r="E15" s="43">
        <v>40</v>
      </c>
      <c r="F15" s="21">
        <v>4.15</v>
      </c>
      <c r="G15" s="22">
        <v>0.9</v>
      </c>
      <c r="H15" s="23">
        <f t="shared" si="0"/>
        <v>3.735</v>
      </c>
      <c r="I15" s="23">
        <f t="shared" si="1"/>
        <v>149.4</v>
      </c>
    </row>
    <row r="16" s="58" customFormat="1" ht="20" customHeight="1" spans="1:9">
      <c r="A16" s="43">
        <v>15</v>
      </c>
      <c r="B16" s="39" t="s">
        <v>176</v>
      </c>
      <c r="C16" s="43"/>
      <c r="D16" s="43" t="s">
        <v>15</v>
      </c>
      <c r="E16" s="43">
        <v>10</v>
      </c>
      <c r="F16" s="21">
        <v>8</v>
      </c>
      <c r="G16" s="22">
        <v>0.9</v>
      </c>
      <c r="H16" s="23">
        <f t="shared" si="0"/>
        <v>7.2</v>
      </c>
      <c r="I16" s="23">
        <f t="shared" si="1"/>
        <v>72</v>
      </c>
    </row>
    <row r="17" s="58" customFormat="1" ht="20" customHeight="1" spans="1:9">
      <c r="A17" s="43">
        <v>16</v>
      </c>
      <c r="B17" s="39" t="s">
        <v>177</v>
      </c>
      <c r="C17" s="43"/>
      <c r="D17" s="43" t="s">
        <v>15</v>
      </c>
      <c r="E17" s="43">
        <v>5</v>
      </c>
      <c r="F17" s="21">
        <v>28.8</v>
      </c>
      <c r="G17" s="22">
        <v>0.9</v>
      </c>
      <c r="H17" s="23">
        <f t="shared" si="0"/>
        <v>25.92</v>
      </c>
      <c r="I17" s="23">
        <f t="shared" si="1"/>
        <v>129.6</v>
      </c>
    </row>
    <row r="18" s="58" customFormat="1" ht="20" customHeight="1" spans="1:9">
      <c r="A18" s="43">
        <v>17</v>
      </c>
      <c r="B18" s="39" t="s">
        <v>178</v>
      </c>
      <c r="C18" s="43"/>
      <c r="D18" s="43" t="s">
        <v>15</v>
      </c>
      <c r="E18" s="43">
        <v>2</v>
      </c>
      <c r="F18" s="21">
        <v>59</v>
      </c>
      <c r="G18" s="22">
        <v>0.9</v>
      </c>
      <c r="H18" s="23">
        <f t="shared" si="0"/>
        <v>53.1</v>
      </c>
      <c r="I18" s="23">
        <f t="shared" si="1"/>
        <v>106.2</v>
      </c>
    </row>
    <row r="19" s="58" customFormat="1" ht="20" customHeight="1" spans="1:9">
      <c r="A19" s="43">
        <v>18</v>
      </c>
      <c r="B19" s="39" t="s">
        <v>179</v>
      </c>
      <c r="C19" s="43"/>
      <c r="D19" s="43" t="s">
        <v>15</v>
      </c>
      <c r="E19" s="43">
        <v>2</v>
      </c>
      <c r="F19" s="21">
        <v>56</v>
      </c>
      <c r="G19" s="22">
        <v>0.9</v>
      </c>
      <c r="H19" s="23">
        <f t="shared" si="0"/>
        <v>50.4</v>
      </c>
      <c r="I19" s="23">
        <f t="shared" si="1"/>
        <v>100.8</v>
      </c>
    </row>
    <row r="20" s="58" customFormat="1" ht="20" customHeight="1" spans="1:9">
      <c r="A20" s="43">
        <v>19</v>
      </c>
      <c r="B20" s="39" t="s">
        <v>180</v>
      </c>
      <c r="C20" s="43"/>
      <c r="D20" s="43" t="s">
        <v>15</v>
      </c>
      <c r="E20" s="43">
        <v>1.184</v>
      </c>
      <c r="F20" s="21">
        <v>13.2</v>
      </c>
      <c r="G20" s="22">
        <v>0.9</v>
      </c>
      <c r="H20" s="23">
        <f t="shared" si="0"/>
        <v>11.88</v>
      </c>
      <c r="I20" s="23">
        <f t="shared" si="1"/>
        <v>14.06592</v>
      </c>
    </row>
    <row r="21" s="58" customFormat="1" ht="20" customHeight="1" spans="1:9">
      <c r="A21" s="43">
        <v>20</v>
      </c>
      <c r="B21" s="39" t="s">
        <v>102</v>
      </c>
      <c r="C21" s="43"/>
      <c r="D21" s="43" t="s">
        <v>15</v>
      </c>
      <c r="E21" s="43">
        <v>4</v>
      </c>
      <c r="F21" s="21">
        <v>6.44</v>
      </c>
      <c r="G21" s="22">
        <v>0.9</v>
      </c>
      <c r="H21" s="23">
        <f t="shared" si="0"/>
        <v>5.796</v>
      </c>
      <c r="I21" s="23">
        <f t="shared" si="1"/>
        <v>23.184</v>
      </c>
    </row>
    <row r="22" s="58" customFormat="1" ht="20" customHeight="1" spans="1:9">
      <c r="A22" s="43">
        <v>21</v>
      </c>
      <c r="B22" s="39" t="s">
        <v>181</v>
      </c>
      <c r="C22" s="43"/>
      <c r="D22" s="43" t="s">
        <v>15</v>
      </c>
      <c r="E22" s="43">
        <v>6</v>
      </c>
      <c r="F22" s="21">
        <v>74.5</v>
      </c>
      <c r="G22" s="22">
        <v>0.9</v>
      </c>
      <c r="H22" s="23">
        <f t="shared" si="0"/>
        <v>67.05</v>
      </c>
      <c r="I22" s="23">
        <f t="shared" si="1"/>
        <v>402.3</v>
      </c>
    </row>
    <row r="23" s="58" customFormat="1" ht="20" customHeight="1" spans="1:9">
      <c r="A23" s="43">
        <v>22</v>
      </c>
      <c r="B23" s="39" t="s">
        <v>182</v>
      </c>
      <c r="C23" s="43"/>
      <c r="D23" s="43" t="s">
        <v>41</v>
      </c>
      <c r="E23" s="43">
        <v>20</v>
      </c>
      <c r="F23" s="21">
        <v>5</v>
      </c>
      <c r="G23" s="22">
        <v>0.9</v>
      </c>
      <c r="H23" s="23">
        <f t="shared" si="0"/>
        <v>4.5</v>
      </c>
      <c r="I23" s="23">
        <f t="shared" si="1"/>
        <v>90</v>
      </c>
    </row>
    <row r="24" s="58" customFormat="1" ht="20" customHeight="1" spans="1:9">
      <c r="A24" s="43">
        <v>23</v>
      </c>
      <c r="B24" s="39" t="s">
        <v>183</v>
      </c>
      <c r="C24" s="43"/>
      <c r="D24" s="43" t="s">
        <v>15</v>
      </c>
      <c r="E24" s="43">
        <v>6</v>
      </c>
      <c r="F24" s="21">
        <v>59.9</v>
      </c>
      <c r="G24" s="22">
        <v>0.9</v>
      </c>
      <c r="H24" s="23">
        <f t="shared" si="0"/>
        <v>53.91</v>
      </c>
      <c r="I24" s="23">
        <f t="shared" si="1"/>
        <v>323.46</v>
      </c>
    </row>
    <row r="25" s="58" customFormat="1" ht="20" customHeight="1" spans="1:9">
      <c r="A25" s="43">
        <v>24</v>
      </c>
      <c r="B25" s="39" t="s">
        <v>184</v>
      </c>
      <c r="C25" s="43"/>
      <c r="D25" s="43" t="s">
        <v>15</v>
      </c>
      <c r="E25" s="43">
        <v>6</v>
      </c>
      <c r="F25" s="21">
        <v>56</v>
      </c>
      <c r="G25" s="22">
        <v>0.9</v>
      </c>
      <c r="H25" s="23">
        <f t="shared" si="0"/>
        <v>50.4</v>
      </c>
      <c r="I25" s="23">
        <f t="shared" si="1"/>
        <v>302.4</v>
      </c>
    </row>
    <row r="26" s="58" customFormat="1" ht="20" customHeight="1" spans="1:9">
      <c r="A26" s="43">
        <v>25</v>
      </c>
      <c r="B26" s="39" t="s">
        <v>185</v>
      </c>
      <c r="C26" s="43"/>
      <c r="D26" s="43" t="s">
        <v>15</v>
      </c>
      <c r="E26" s="43">
        <v>7</v>
      </c>
      <c r="F26" s="21">
        <v>8.9</v>
      </c>
      <c r="G26" s="22">
        <v>0.9</v>
      </c>
      <c r="H26" s="23">
        <f t="shared" si="0"/>
        <v>8.01</v>
      </c>
      <c r="I26" s="23">
        <f t="shared" si="1"/>
        <v>56.07</v>
      </c>
    </row>
    <row r="27" s="58" customFormat="1" ht="20" customHeight="1" spans="1:9">
      <c r="A27" s="43">
        <v>26</v>
      </c>
      <c r="B27" s="39" t="s">
        <v>186</v>
      </c>
      <c r="C27" s="43"/>
      <c r="D27" s="43" t="s">
        <v>15</v>
      </c>
      <c r="E27" s="43">
        <v>1.5</v>
      </c>
      <c r="F27" s="21">
        <v>6.5</v>
      </c>
      <c r="G27" s="22">
        <v>0.9</v>
      </c>
      <c r="H27" s="23">
        <f t="shared" si="0"/>
        <v>5.85</v>
      </c>
      <c r="I27" s="23">
        <f t="shared" si="1"/>
        <v>8.775</v>
      </c>
    </row>
    <row r="28" s="58" customFormat="1" ht="20" customHeight="1" spans="1:9">
      <c r="A28" s="43">
        <v>27</v>
      </c>
      <c r="B28" s="39" t="s">
        <v>187</v>
      </c>
      <c r="C28" s="43"/>
      <c r="D28" s="43" t="s">
        <v>15</v>
      </c>
      <c r="E28" s="43">
        <v>1.5</v>
      </c>
      <c r="F28" s="21">
        <v>11.9</v>
      </c>
      <c r="G28" s="22">
        <v>0.9</v>
      </c>
      <c r="H28" s="23">
        <f t="shared" si="0"/>
        <v>10.71</v>
      </c>
      <c r="I28" s="23">
        <f t="shared" si="1"/>
        <v>16.065</v>
      </c>
    </row>
    <row r="29" s="58" customFormat="1" ht="20" customHeight="1" spans="1:9">
      <c r="A29" s="43">
        <v>28</v>
      </c>
      <c r="B29" s="39" t="s">
        <v>49</v>
      </c>
      <c r="C29" s="43"/>
      <c r="D29" s="43" t="s">
        <v>15</v>
      </c>
      <c r="E29" s="43">
        <v>5</v>
      </c>
      <c r="F29" s="21">
        <v>13.5</v>
      </c>
      <c r="G29" s="22">
        <v>0.9</v>
      </c>
      <c r="H29" s="23">
        <f t="shared" si="0"/>
        <v>12.15</v>
      </c>
      <c r="I29" s="23">
        <f t="shared" si="1"/>
        <v>60.75</v>
      </c>
    </row>
    <row r="30" s="58" customFormat="1" ht="20" customHeight="1" spans="1:9">
      <c r="A30" s="43">
        <v>29</v>
      </c>
      <c r="B30" s="33" t="s">
        <v>188</v>
      </c>
      <c r="C30" s="43"/>
      <c r="D30" s="43" t="s">
        <v>15</v>
      </c>
      <c r="E30" s="43">
        <v>3</v>
      </c>
      <c r="F30" s="21">
        <v>6.7</v>
      </c>
      <c r="G30" s="22">
        <v>0.9</v>
      </c>
      <c r="H30" s="23">
        <f t="shared" si="0"/>
        <v>6.03</v>
      </c>
      <c r="I30" s="23">
        <f t="shared" si="1"/>
        <v>18.09</v>
      </c>
    </row>
    <row r="31" s="59" customFormat="1" ht="20" customHeight="1" spans="1:9">
      <c r="A31" s="60"/>
      <c r="B31" s="60" t="s">
        <v>127</v>
      </c>
      <c r="C31" s="60"/>
      <c r="D31" s="60"/>
      <c r="E31" s="60"/>
      <c r="F31" s="35"/>
      <c r="G31" s="36"/>
      <c r="H31" s="37"/>
      <c r="I31" s="37">
        <f>SUM(I2:I30)</f>
        <v>4429.90782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C9" workbookViewId="0">
      <selection activeCell="A1" sqref="$A1:$XFD1048576"/>
    </sheetView>
  </sheetViews>
  <sheetFormatPr defaultColWidth="9" defaultRowHeight="12"/>
  <cols>
    <col min="1" max="1" width="5.44166666666667" style="13" customWidth="1"/>
    <col min="2" max="2" width="19.775" style="13" customWidth="1"/>
    <col min="3" max="3" width="9.44166666666667" style="13" customWidth="1"/>
    <col min="4" max="4" width="5.44166666666667" style="13" customWidth="1"/>
    <col min="5" max="5" width="5.44166666666667" style="19" customWidth="1"/>
    <col min="6" max="6" width="9.66666666666667" style="51" customWidth="1"/>
    <col min="7" max="7" width="7.33333333333333" style="18" customWidth="1"/>
    <col min="8" max="8" width="9.66666666666667" style="19" customWidth="1"/>
    <col min="9" max="9" width="13.1083333333333" style="19" customWidth="1"/>
    <col min="10" max="16384" width="9" style="13"/>
  </cols>
  <sheetData>
    <row r="1" s="13" customFormat="1" ht="20" customHeight="1" spans="1:9">
      <c r="A1" s="20" t="s">
        <v>4</v>
      </c>
      <c r="B1" s="20" t="s">
        <v>128</v>
      </c>
      <c r="C1" s="20" t="s">
        <v>6</v>
      </c>
      <c r="D1" s="20" t="s">
        <v>7</v>
      </c>
      <c r="E1" s="20" t="s">
        <v>8</v>
      </c>
      <c r="F1" s="52" t="s">
        <v>129</v>
      </c>
      <c r="G1" s="22" t="s">
        <v>10</v>
      </c>
      <c r="H1" s="23" t="s">
        <v>11</v>
      </c>
      <c r="I1" s="23" t="s">
        <v>126</v>
      </c>
    </row>
    <row r="2" s="13" customFormat="1" ht="20" customHeight="1" spans="1:9">
      <c r="A2" s="20">
        <v>1</v>
      </c>
      <c r="B2" s="24" t="s">
        <v>189</v>
      </c>
      <c r="C2" s="20"/>
      <c r="D2" s="20" t="s">
        <v>15</v>
      </c>
      <c r="E2" s="20">
        <v>4</v>
      </c>
      <c r="F2" s="41">
        <v>7.56</v>
      </c>
      <c r="G2" s="22">
        <v>0.9</v>
      </c>
      <c r="H2" s="23">
        <f t="shared" ref="H2:H23" si="0">F2*G2</f>
        <v>6.804</v>
      </c>
      <c r="I2" s="23">
        <f t="shared" ref="I2:I23" si="1">H2*E2</f>
        <v>27.216</v>
      </c>
    </row>
    <row r="3" s="13" customFormat="1" ht="20" customHeight="1" spans="1:9">
      <c r="A3" s="20">
        <v>2</v>
      </c>
      <c r="B3" s="24" t="s">
        <v>190</v>
      </c>
      <c r="C3" s="20"/>
      <c r="D3" s="20" t="s">
        <v>15</v>
      </c>
      <c r="E3" s="20">
        <v>5</v>
      </c>
      <c r="F3" s="41">
        <v>2.3</v>
      </c>
      <c r="G3" s="22">
        <v>0.9</v>
      </c>
      <c r="H3" s="23">
        <f t="shared" si="0"/>
        <v>2.07</v>
      </c>
      <c r="I3" s="23">
        <f t="shared" si="1"/>
        <v>10.35</v>
      </c>
    </row>
    <row r="4" s="13" customFormat="1" ht="20" customHeight="1" spans="1:9">
      <c r="A4" s="20">
        <v>3</v>
      </c>
      <c r="B4" s="39" t="s">
        <v>191</v>
      </c>
      <c r="C4" s="20"/>
      <c r="D4" s="20" t="s">
        <v>15</v>
      </c>
      <c r="E4" s="20">
        <v>6</v>
      </c>
      <c r="F4" s="41">
        <v>20</v>
      </c>
      <c r="G4" s="22">
        <v>0.9</v>
      </c>
      <c r="H4" s="23">
        <f t="shared" si="0"/>
        <v>18</v>
      </c>
      <c r="I4" s="23">
        <f t="shared" si="1"/>
        <v>108</v>
      </c>
    </row>
    <row r="5" s="13" customFormat="1" ht="20" customHeight="1" spans="1:9">
      <c r="A5" s="20">
        <v>4</v>
      </c>
      <c r="B5" s="24" t="s">
        <v>116</v>
      </c>
      <c r="C5" s="20"/>
      <c r="D5" s="20" t="s">
        <v>15</v>
      </c>
      <c r="E5" s="20">
        <v>5</v>
      </c>
      <c r="F5" s="53">
        <v>5.5</v>
      </c>
      <c r="G5" s="22">
        <v>0.9</v>
      </c>
      <c r="H5" s="23">
        <f t="shared" si="0"/>
        <v>4.95</v>
      </c>
      <c r="I5" s="23">
        <f t="shared" si="1"/>
        <v>24.75</v>
      </c>
    </row>
    <row r="6" s="13" customFormat="1" ht="20" customHeight="1" spans="1:9">
      <c r="A6" s="20">
        <v>5</v>
      </c>
      <c r="B6" s="24" t="s">
        <v>90</v>
      </c>
      <c r="C6" s="20"/>
      <c r="D6" s="20" t="s">
        <v>15</v>
      </c>
      <c r="E6" s="20">
        <v>4</v>
      </c>
      <c r="F6" s="54">
        <v>3.3</v>
      </c>
      <c r="G6" s="22">
        <v>0.9</v>
      </c>
      <c r="H6" s="23">
        <f t="shared" si="0"/>
        <v>2.97</v>
      </c>
      <c r="I6" s="23">
        <f t="shared" si="1"/>
        <v>11.88</v>
      </c>
    </row>
    <row r="7" s="13" customFormat="1" ht="20" customHeight="1" spans="1:9">
      <c r="A7" s="20">
        <v>6</v>
      </c>
      <c r="B7" s="24" t="s">
        <v>69</v>
      </c>
      <c r="C7" s="20"/>
      <c r="D7" s="20" t="s">
        <v>15</v>
      </c>
      <c r="E7" s="20">
        <v>7</v>
      </c>
      <c r="F7" s="41">
        <v>5.33</v>
      </c>
      <c r="G7" s="22">
        <v>0.9</v>
      </c>
      <c r="H7" s="23">
        <f t="shared" si="0"/>
        <v>4.797</v>
      </c>
      <c r="I7" s="23">
        <f t="shared" si="1"/>
        <v>33.579</v>
      </c>
    </row>
    <row r="8" s="13" customFormat="1" ht="20" customHeight="1" spans="1:9">
      <c r="A8" s="20">
        <v>7</v>
      </c>
      <c r="B8" s="24" t="s">
        <v>102</v>
      </c>
      <c r="C8" s="20"/>
      <c r="D8" s="20" t="s">
        <v>15</v>
      </c>
      <c r="E8" s="20">
        <v>5</v>
      </c>
      <c r="F8" s="21">
        <v>6.44</v>
      </c>
      <c r="G8" s="22">
        <v>0.9</v>
      </c>
      <c r="H8" s="23">
        <f t="shared" si="0"/>
        <v>5.796</v>
      </c>
      <c r="I8" s="23">
        <f t="shared" si="1"/>
        <v>28.98</v>
      </c>
    </row>
    <row r="9" s="13" customFormat="1" ht="20" customHeight="1" spans="1:9">
      <c r="A9" s="20">
        <v>8</v>
      </c>
      <c r="B9" s="39" t="s">
        <v>185</v>
      </c>
      <c r="C9" s="20"/>
      <c r="D9" s="20" t="s">
        <v>15</v>
      </c>
      <c r="E9" s="20">
        <v>7</v>
      </c>
      <c r="F9" s="41">
        <v>8.9</v>
      </c>
      <c r="G9" s="22">
        <v>0.9</v>
      </c>
      <c r="H9" s="23">
        <f t="shared" si="0"/>
        <v>8.01</v>
      </c>
      <c r="I9" s="23">
        <f t="shared" si="1"/>
        <v>56.07</v>
      </c>
    </row>
    <row r="10" s="13" customFormat="1" ht="20" customHeight="1" spans="1:9">
      <c r="A10" s="20">
        <v>9</v>
      </c>
      <c r="B10" s="24" t="s">
        <v>192</v>
      </c>
      <c r="C10" s="20"/>
      <c r="D10" s="20" t="s">
        <v>15</v>
      </c>
      <c r="E10" s="20">
        <v>5</v>
      </c>
      <c r="F10" s="41">
        <v>4.8</v>
      </c>
      <c r="G10" s="22">
        <v>0.9</v>
      </c>
      <c r="H10" s="23">
        <f t="shared" si="0"/>
        <v>4.32</v>
      </c>
      <c r="I10" s="23">
        <f t="shared" si="1"/>
        <v>21.6</v>
      </c>
    </row>
    <row r="11" s="13" customFormat="1" ht="20" customHeight="1" spans="1:9">
      <c r="A11" s="20">
        <v>10</v>
      </c>
      <c r="B11" s="39" t="s">
        <v>138</v>
      </c>
      <c r="C11" s="20"/>
      <c r="D11" s="20" t="s">
        <v>15</v>
      </c>
      <c r="E11" s="20">
        <v>3</v>
      </c>
      <c r="F11" s="41">
        <v>20</v>
      </c>
      <c r="G11" s="22">
        <v>0.9</v>
      </c>
      <c r="H11" s="23">
        <f t="shared" si="0"/>
        <v>18</v>
      </c>
      <c r="I11" s="23">
        <f t="shared" si="1"/>
        <v>54</v>
      </c>
    </row>
    <row r="12" s="13" customFormat="1" ht="20" customHeight="1" spans="1:9">
      <c r="A12" s="20">
        <v>11</v>
      </c>
      <c r="B12" s="55" t="s">
        <v>155</v>
      </c>
      <c r="C12" s="20"/>
      <c r="D12" s="20" t="s">
        <v>22</v>
      </c>
      <c r="E12" s="20">
        <v>46</v>
      </c>
      <c r="F12" s="42">
        <v>5</v>
      </c>
      <c r="G12" s="22">
        <v>0.9</v>
      </c>
      <c r="H12" s="23">
        <f t="shared" si="0"/>
        <v>4.5</v>
      </c>
      <c r="I12" s="23">
        <f t="shared" si="1"/>
        <v>207</v>
      </c>
    </row>
    <row r="13" s="13" customFormat="1" ht="20" customHeight="1" spans="1:9">
      <c r="A13" s="20">
        <v>12</v>
      </c>
      <c r="B13" s="33" t="s">
        <v>193</v>
      </c>
      <c r="C13" s="20"/>
      <c r="D13" s="20" t="s">
        <v>15</v>
      </c>
      <c r="E13" s="20">
        <v>6</v>
      </c>
      <c r="F13" s="41">
        <v>18.8</v>
      </c>
      <c r="G13" s="22">
        <v>0.9</v>
      </c>
      <c r="H13" s="23">
        <f t="shared" si="0"/>
        <v>16.92</v>
      </c>
      <c r="I13" s="23">
        <f t="shared" si="1"/>
        <v>101.52</v>
      </c>
    </row>
    <row r="14" s="15" customFormat="1" ht="20" customHeight="1" spans="1:9">
      <c r="A14" s="20">
        <v>13</v>
      </c>
      <c r="B14" s="24" t="s">
        <v>194</v>
      </c>
      <c r="C14" s="28"/>
      <c r="D14" s="28" t="s">
        <v>15</v>
      </c>
      <c r="E14" s="28">
        <v>7</v>
      </c>
      <c r="F14" s="56">
        <v>35</v>
      </c>
      <c r="G14" s="30">
        <v>0.9</v>
      </c>
      <c r="H14" s="31">
        <f t="shared" si="0"/>
        <v>31.5</v>
      </c>
      <c r="I14" s="31">
        <f t="shared" si="1"/>
        <v>220.5</v>
      </c>
    </row>
    <row r="15" s="13" customFormat="1" ht="20" customHeight="1" spans="1:9">
      <c r="A15" s="20">
        <v>14</v>
      </c>
      <c r="B15" s="24" t="s">
        <v>69</v>
      </c>
      <c r="C15" s="20"/>
      <c r="D15" s="20" t="s">
        <v>15</v>
      </c>
      <c r="E15" s="20">
        <v>2</v>
      </c>
      <c r="F15" s="41">
        <v>5.33</v>
      </c>
      <c r="G15" s="22">
        <v>0.9</v>
      </c>
      <c r="H15" s="23">
        <f t="shared" si="0"/>
        <v>4.797</v>
      </c>
      <c r="I15" s="23">
        <f t="shared" si="1"/>
        <v>9.594</v>
      </c>
    </row>
    <row r="16" s="13" customFormat="1" ht="20" customHeight="1" spans="1:9">
      <c r="A16" s="20">
        <v>15</v>
      </c>
      <c r="B16" s="24" t="s">
        <v>195</v>
      </c>
      <c r="C16" s="20"/>
      <c r="D16" s="20" t="s">
        <v>15</v>
      </c>
      <c r="E16" s="20">
        <v>3</v>
      </c>
      <c r="F16" s="41">
        <v>10.89</v>
      </c>
      <c r="G16" s="22">
        <v>0.9</v>
      </c>
      <c r="H16" s="23">
        <f t="shared" si="0"/>
        <v>9.801</v>
      </c>
      <c r="I16" s="23">
        <f t="shared" si="1"/>
        <v>29.403</v>
      </c>
    </row>
    <row r="17" s="13" customFormat="1" ht="20" customHeight="1" spans="1:9">
      <c r="A17" s="20">
        <v>16</v>
      </c>
      <c r="B17" s="24" t="s">
        <v>74</v>
      </c>
      <c r="C17" s="20"/>
      <c r="D17" s="20" t="s">
        <v>15</v>
      </c>
      <c r="E17" s="20">
        <v>2</v>
      </c>
      <c r="F17" s="42">
        <v>3.8</v>
      </c>
      <c r="G17" s="22">
        <v>0.9</v>
      </c>
      <c r="H17" s="23">
        <f t="shared" si="0"/>
        <v>3.42</v>
      </c>
      <c r="I17" s="23">
        <f t="shared" si="1"/>
        <v>6.84</v>
      </c>
    </row>
    <row r="18" s="13" customFormat="1" ht="20" customHeight="1" spans="1:9">
      <c r="A18" s="20">
        <v>17</v>
      </c>
      <c r="B18" s="24" t="s">
        <v>147</v>
      </c>
      <c r="C18" s="20"/>
      <c r="D18" s="20" t="s">
        <v>15</v>
      </c>
      <c r="E18" s="20">
        <v>6</v>
      </c>
      <c r="F18" s="41">
        <v>3.3</v>
      </c>
      <c r="G18" s="22">
        <v>0.9</v>
      </c>
      <c r="H18" s="23">
        <f t="shared" si="0"/>
        <v>2.97</v>
      </c>
      <c r="I18" s="23">
        <f t="shared" si="1"/>
        <v>17.82</v>
      </c>
    </row>
    <row r="19" s="13" customFormat="1" ht="20" customHeight="1" spans="1:9">
      <c r="A19" s="20">
        <v>18</v>
      </c>
      <c r="B19" s="33" t="s">
        <v>17</v>
      </c>
      <c r="C19" s="20"/>
      <c r="D19" s="20" t="s">
        <v>15</v>
      </c>
      <c r="E19" s="20">
        <v>3</v>
      </c>
      <c r="F19" s="41">
        <v>3.8</v>
      </c>
      <c r="G19" s="22">
        <v>0.9</v>
      </c>
      <c r="H19" s="23">
        <f t="shared" si="0"/>
        <v>3.42</v>
      </c>
      <c r="I19" s="23">
        <f t="shared" si="1"/>
        <v>10.26</v>
      </c>
    </row>
    <row r="20" s="13" customFormat="1" ht="20" customHeight="1" spans="1:9">
      <c r="A20" s="20">
        <v>19</v>
      </c>
      <c r="B20" s="24" t="s">
        <v>196</v>
      </c>
      <c r="C20" s="20"/>
      <c r="D20" s="20" t="s">
        <v>15</v>
      </c>
      <c r="E20" s="20">
        <v>5</v>
      </c>
      <c r="F20" s="41">
        <v>4.99</v>
      </c>
      <c r="G20" s="22">
        <v>0.9</v>
      </c>
      <c r="H20" s="23">
        <f t="shared" si="0"/>
        <v>4.491</v>
      </c>
      <c r="I20" s="23">
        <f t="shared" si="1"/>
        <v>22.455</v>
      </c>
    </row>
    <row r="21" s="13" customFormat="1" ht="20" customHeight="1" spans="1:9">
      <c r="A21" s="20">
        <v>20</v>
      </c>
      <c r="B21" s="24" t="s">
        <v>197</v>
      </c>
      <c r="C21" s="20" t="s">
        <v>198</v>
      </c>
      <c r="D21" s="20" t="s">
        <v>133</v>
      </c>
      <c r="E21" s="20">
        <v>5</v>
      </c>
      <c r="F21" s="41">
        <v>15.9</v>
      </c>
      <c r="G21" s="22">
        <v>0.9</v>
      </c>
      <c r="H21" s="23">
        <f t="shared" si="0"/>
        <v>14.31</v>
      </c>
      <c r="I21" s="23">
        <f t="shared" si="1"/>
        <v>71.55</v>
      </c>
    </row>
    <row r="22" s="16" customFormat="1" ht="20" customHeight="1" spans="1:9">
      <c r="A22" s="20">
        <v>21</v>
      </c>
      <c r="B22" s="24" t="s">
        <v>199</v>
      </c>
      <c r="C22" s="28" t="s">
        <v>200</v>
      </c>
      <c r="D22" s="20" t="s">
        <v>56</v>
      </c>
      <c r="E22" s="20">
        <v>1</v>
      </c>
      <c r="F22" s="41">
        <v>166.67</v>
      </c>
      <c r="G22" s="22">
        <v>0.9</v>
      </c>
      <c r="H22" s="23">
        <f t="shared" si="0"/>
        <v>150.003</v>
      </c>
      <c r="I22" s="23">
        <f t="shared" si="1"/>
        <v>150.003</v>
      </c>
    </row>
    <row r="23" s="13" customFormat="1" ht="20" customHeight="1" spans="1:9">
      <c r="A23" s="20">
        <v>22</v>
      </c>
      <c r="B23" s="24" t="s">
        <v>115</v>
      </c>
      <c r="C23" s="20"/>
      <c r="D23" s="20" t="s">
        <v>15</v>
      </c>
      <c r="E23" s="20">
        <v>10</v>
      </c>
      <c r="F23" s="41">
        <v>48.89</v>
      </c>
      <c r="G23" s="22">
        <v>0.9</v>
      </c>
      <c r="H23" s="23">
        <f t="shared" si="0"/>
        <v>44.001</v>
      </c>
      <c r="I23" s="23">
        <f t="shared" si="1"/>
        <v>440.01</v>
      </c>
    </row>
    <row r="24" s="16" customFormat="1" ht="20" customHeight="1" spans="1:9">
      <c r="A24" s="34"/>
      <c r="B24" s="34" t="s">
        <v>127</v>
      </c>
      <c r="C24" s="34"/>
      <c r="D24" s="34"/>
      <c r="E24" s="37"/>
      <c r="F24" s="57"/>
      <c r="G24" s="36"/>
      <c r="H24" s="37"/>
      <c r="I24" s="37">
        <f>SUM(I2:I23)</f>
        <v>1663.38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opLeftCell="A7" workbookViewId="0">
      <selection activeCell="A1" sqref="$A1:$XFD1048576"/>
    </sheetView>
  </sheetViews>
  <sheetFormatPr defaultColWidth="10.775" defaultRowHeight="12"/>
  <cols>
    <col min="1" max="1" width="5.44166666666667" style="13" customWidth="1"/>
    <col min="2" max="2" width="15.5583333333333" style="13" customWidth="1"/>
    <col min="3" max="3" width="6.66666666666667" style="13" customWidth="1"/>
    <col min="4" max="4" width="5.44166666666667" style="13" customWidth="1"/>
    <col min="5" max="5" width="7.66666666666667" style="13" customWidth="1"/>
    <col min="6" max="6" width="7.66666666666667" style="17" customWidth="1"/>
    <col min="7" max="7" width="7.33333333333333" style="18" customWidth="1"/>
    <col min="8" max="8" width="9.33333333333333" style="19" customWidth="1"/>
    <col min="9" max="9" width="13.1083333333333" style="19" customWidth="1"/>
    <col min="10" max="16380" width="10.775" style="13" customWidth="1"/>
    <col min="16381" max="16384" width="10.775" style="13"/>
  </cols>
  <sheetData>
    <row r="1" s="13" customFormat="1" ht="20" customHeight="1" spans="1:9">
      <c r="A1" s="20" t="s">
        <v>4</v>
      </c>
      <c r="B1" s="20" t="s">
        <v>128</v>
      </c>
      <c r="C1" s="20" t="s">
        <v>6</v>
      </c>
      <c r="D1" s="20" t="s">
        <v>7</v>
      </c>
      <c r="E1" s="20" t="s">
        <v>8</v>
      </c>
      <c r="F1" s="21" t="s">
        <v>129</v>
      </c>
      <c r="G1" s="22" t="s">
        <v>10</v>
      </c>
      <c r="H1" s="23" t="s">
        <v>11</v>
      </c>
      <c r="I1" s="23" t="s">
        <v>126</v>
      </c>
    </row>
    <row r="2" s="13" customFormat="1" ht="20" customHeight="1" spans="1:9">
      <c r="A2" s="20">
        <v>1</v>
      </c>
      <c r="B2" s="24" t="s">
        <v>201</v>
      </c>
      <c r="C2" s="20"/>
      <c r="D2" s="20" t="s">
        <v>15</v>
      </c>
      <c r="E2" s="20">
        <v>8</v>
      </c>
      <c r="F2" s="21">
        <v>49</v>
      </c>
      <c r="G2" s="22">
        <v>0.9</v>
      </c>
      <c r="H2" s="23">
        <f t="shared" ref="H2:H19" si="0">G2*F2</f>
        <v>44.1</v>
      </c>
      <c r="I2" s="23">
        <f t="shared" ref="I2:I19" si="1">H2*E2</f>
        <v>352.8</v>
      </c>
    </row>
    <row r="3" s="13" customFormat="1" ht="20" customHeight="1" spans="1:9">
      <c r="A3" s="20">
        <v>2</v>
      </c>
      <c r="B3" s="24" t="s">
        <v>202</v>
      </c>
      <c r="C3" s="20"/>
      <c r="D3" s="20" t="s">
        <v>15</v>
      </c>
      <c r="E3" s="20">
        <v>14</v>
      </c>
      <c r="F3" s="21">
        <v>12.5</v>
      </c>
      <c r="G3" s="22">
        <v>0.9</v>
      </c>
      <c r="H3" s="23">
        <f t="shared" si="0"/>
        <v>11.25</v>
      </c>
      <c r="I3" s="23">
        <f t="shared" si="1"/>
        <v>157.5</v>
      </c>
    </row>
    <row r="4" s="13" customFormat="1" ht="20" customHeight="1" spans="1:9">
      <c r="A4" s="20">
        <v>3</v>
      </c>
      <c r="B4" s="24" t="s">
        <v>203</v>
      </c>
      <c r="C4" s="20"/>
      <c r="D4" s="20" t="s">
        <v>33</v>
      </c>
      <c r="E4" s="20">
        <v>7</v>
      </c>
      <c r="F4" s="21">
        <v>30</v>
      </c>
      <c r="G4" s="22">
        <v>0.9</v>
      </c>
      <c r="H4" s="23">
        <f t="shared" si="0"/>
        <v>27</v>
      </c>
      <c r="I4" s="23">
        <f t="shared" si="1"/>
        <v>189</v>
      </c>
    </row>
    <row r="5" s="13" customFormat="1" ht="20" customHeight="1" spans="1:9">
      <c r="A5" s="20">
        <v>4</v>
      </c>
      <c r="B5" s="24" t="s">
        <v>137</v>
      </c>
      <c r="C5" s="20"/>
      <c r="D5" s="20" t="s">
        <v>15</v>
      </c>
      <c r="E5" s="20">
        <v>15</v>
      </c>
      <c r="F5" s="29">
        <v>5.3</v>
      </c>
      <c r="G5" s="22">
        <v>0.9</v>
      </c>
      <c r="H5" s="23">
        <f t="shared" si="0"/>
        <v>4.77</v>
      </c>
      <c r="I5" s="23">
        <f t="shared" si="1"/>
        <v>71.55</v>
      </c>
    </row>
    <row r="6" s="13" customFormat="1" ht="20" customHeight="1" spans="1:9">
      <c r="A6" s="20">
        <v>5</v>
      </c>
      <c r="B6" s="33" t="s">
        <v>188</v>
      </c>
      <c r="C6" s="20"/>
      <c r="D6" s="20" t="s">
        <v>15</v>
      </c>
      <c r="E6" s="20">
        <v>4</v>
      </c>
      <c r="F6" s="21">
        <v>6.7</v>
      </c>
      <c r="G6" s="22">
        <v>0.9</v>
      </c>
      <c r="H6" s="23">
        <f t="shared" si="0"/>
        <v>6.03</v>
      </c>
      <c r="I6" s="23">
        <f t="shared" si="1"/>
        <v>24.12</v>
      </c>
    </row>
    <row r="7" s="13" customFormat="1" ht="20" customHeight="1" spans="1:9">
      <c r="A7" s="20">
        <v>6</v>
      </c>
      <c r="B7" s="24" t="s">
        <v>25</v>
      </c>
      <c r="C7" s="20"/>
      <c r="D7" s="20" t="s">
        <v>15</v>
      </c>
      <c r="E7" s="20">
        <v>14</v>
      </c>
      <c r="F7" s="21">
        <v>5.9</v>
      </c>
      <c r="G7" s="22">
        <v>0.9</v>
      </c>
      <c r="H7" s="23">
        <f t="shared" si="0"/>
        <v>5.31</v>
      </c>
      <c r="I7" s="23">
        <f t="shared" si="1"/>
        <v>74.34</v>
      </c>
    </row>
    <row r="8" s="13" customFormat="1" ht="20" customHeight="1" spans="1:9">
      <c r="A8" s="20">
        <v>7</v>
      </c>
      <c r="B8" s="24" t="s">
        <v>91</v>
      </c>
      <c r="C8" s="20"/>
      <c r="D8" s="20" t="s">
        <v>15</v>
      </c>
      <c r="E8" s="20">
        <v>9</v>
      </c>
      <c r="F8" s="21">
        <v>2.78</v>
      </c>
      <c r="G8" s="22">
        <v>0.9</v>
      </c>
      <c r="H8" s="23">
        <f t="shared" si="0"/>
        <v>2.502</v>
      </c>
      <c r="I8" s="23">
        <f t="shared" si="1"/>
        <v>22.518</v>
      </c>
    </row>
    <row r="9" s="13" customFormat="1" ht="20" customHeight="1" spans="1:9">
      <c r="A9" s="20">
        <v>8</v>
      </c>
      <c r="B9" s="24" t="s">
        <v>136</v>
      </c>
      <c r="C9" s="20"/>
      <c r="D9" s="20" t="s">
        <v>15</v>
      </c>
      <c r="E9" s="20">
        <v>10</v>
      </c>
      <c r="F9" s="29">
        <v>31</v>
      </c>
      <c r="G9" s="22">
        <v>0.9</v>
      </c>
      <c r="H9" s="23">
        <f t="shared" si="0"/>
        <v>27.9</v>
      </c>
      <c r="I9" s="23">
        <f t="shared" si="1"/>
        <v>279</v>
      </c>
    </row>
    <row r="10" s="47" customFormat="1" ht="20" customHeight="1" spans="1:9">
      <c r="A10" s="20">
        <v>9</v>
      </c>
      <c r="B10" s="26" t="s">
        <v>204</v>
      </c>
      <c r="C10" s="48" t="s">
        <v>205</v>
      </c>
      <c r="D10" s="48" t="s">
        <v>15</v>
      </c>
      <c r="E10" s="48">
        <v>28.672</v>
      </c>
      <c r="F10" s="42">
        <v>9.44</v>
      </c>
      <c r="G10" s="49">
        <v>0.9</v>
      </c>
      <c r="H10" s="50">
        <f t="shared" si="0"/>
        <v>8.496</v>
      </c>
      <c r="I10" s="50">
        <f t="shared" si="1"/>
        <v>243.597312</v>
      </c>
    </row>
    <row r="11" s="13" customFormat="1" ht="20" customHeight="1" spans="1:9">
      <c r="A11" s="20">
        <v>10</v>
      </c>
      <c r="B11" s="24" t="s">
        <v>19</v>
      </c>
      <c r="C11" s="20"/>
      <c r="D11" s="20" t="s">
        <v>15</v>
      </c>
      <c r="E11" s="20">
        <v>7</v>
      </c>
      <c r="F11" s="42">
        <v>2.22</v>
      </c>
      <c r="G11" s="22">
        <v>0.9</v>
      </c>
      <c r="H11" s="23">
        <f t="shared" si="0"/>
        <v>1.998</v>
      </c>
      <c r="I11" s="23">
        <f t="shared" si="1"/>
        <v>13.986</v>
      </c>
    </row>
    <row r="12" s="13" customFormat="1" ht="20" customHeight="1" spans="1:9">
      <c r="A12" s="20">
        <v>11</v>
      </c>
      <c r="B12" s="24" t="s">
        <v>115</v>
      </c>
      <c r="C12" s="20"/>
      <c r="D12" s="20" t="s">
        <v>15</v>
      </c>
      <c r="E12" s="20">
        <v>5</v>
      </c>
      <c r="F12" s="41">
        <v>48.89</v>
      </c>
      <c r="G12" s="22">
        <v>0.9</v>
      </c>
      <c r="H12" s="23">
        <f t="shared" si="0"/>
        <v>44.001</v>
      </c>
      <c r="I12" s="23">
        <f t="shared" si="1"/>
        <v>220.005</v>
      </c>
    </row>
    <row r="13" s="13" customFormat="1" ht="20" customHeight="1" spans="1:9">
      <c r="A13" s="20">
        <v>12</v>
      </c>
      <c r="B13" s="24" t="s">
        <v>144</v>
      </c>
      <c r="C13" s="20"/>
      <c r="D13" s="20" t="s">
        <v>145</v>
      </c>
      <c r="E13" s="20">
        <v>12</v>
      </c>
      <c r="F13" s="29">
        <v>5</v>
      </c>
      <c r="G13" s="22">
        <v>0.9</v>
      </c>
      <c r="H13" s="23">
        <f t="shared" si="0"/>
        <v>4.5</v>
      </c>
      <c r="I13" s="23">
        <f t="shared" si="1"/>
        <v>54</v>
      </c>
    </row>
    <row r="14" s="13" customFormat="1" ht="20" customHeight="1" spans="1:9">
      <c r="A14" s="20">
        <v>13</v>
      </c>
      <c r="B14" s="24" t="s">
        <v>206</v>
      </c>
      <c r="C14" s="20" t="s">
        <v>207</v>
      </c>
      <c r="D14" s="20" t="s">
        <v>41</v>
      </c>
      <c r="E14" s="20">
        <v>60</v>
      </c>
      <c r="F14" s="21">
        <v>4.15</v>
      </c>
      <c r="G14" s="22">
        <v>0.9</v>
      </c>
      <c r="H14" s="23">
        <f t="shared" si="0"/>
        <v>3.735</v>
      </c>
      <c r="I14" s="23">
        <f t="shared" si="1"/>
        <v>224.1</v>
      </c>
    </row>
    <row r="15" s="13" customFormat="1" ht="20" customHeight="1" spans="1:9">
      <c r="A15" s="20">
        <v>14</v>
      </c>
      <c r="B15" s="33" t="s">
        <v>17</v>
      </c>
      <c r="C15" s="20"/>
      <c r="D15" s="20" t="s">
        <v>15</v>
      </c>
      <c r="E15" s="20">
        <v>13</v>
      </c>
      <c r="F15" s="29">
        <v>3.8</v>
      </c>
      <c r="G15" s="22">
        <v>0.9</v>
      </c>
      <c r="H15" s="23">
        <f t="shared" si="0"/>
        <v>3.42</v>
      </c>
      <c r="I15" s="23">
        <f t="shared" si="1"/>
        <v>44.46</v>
      </c>
    </row>
    <row r="16" s="13" customFormat="1" ht="20" customHeight="1" spans="1:9">
      <c r="A16" s="20">
        <v>15</v>
      </c>
      <c r="B16" s="24" t="s">
        <v>147</v>
      </c>
      <c r="C16" s="20"/>
      <c r="D16" s="20" t="s">
        <v>15</v>
      </c>
      <c r="E16" s="20">
        <v>8</v>
      </c>
      <c r="F16" s="29">
        <v>3.3</v>
      </c>
      <c r="G16" s="22">
        <v>0.9</v>
      </c>
      <c r="H16" s="23">
        <f t="shared" si="0"/>
        <v>2.97</v>
      </c>
      <c r="I16" s="23">
        <f t="shared" si="1"/>
        <v>23.76</v>
      </c>
    </row>
    <row r="17" s="13" customFormat="1" ht="20" customHeight="1" spans="1:9">
      <c r="A17" s="20">
        <v>16</v>
      </c>
      <c r="B17" s="39" t="s">
        <v>143</v>
      </c>
      <c r="C17" s="20"/>
      <c r="D17" s="20" t="s">
        <v>15</v>
      </c>
      <c r="E17" s="20">
        <v>10</v>
      </c>
      <c r="F17" s="21">
        <v>18</v>
      </c>
      <c r="G17" s="22">
        <v>0.9</v>
      </c>
      <c r="H17" s="23">
        <f t="shared" si="0"/>
        <v>16.2</v>
      </c>
      <c r="I17" s="23">
        <f t="shared" si="1"/>
        <v>162</v>
      </c>
    </row>
    <row r="18" s="13" customFormat="1" ht="20" customHeight="1" spans="1:9">
      <c r="A18" s="20">
        <v>17</v>
      </c>
      <c r="B18" s="24" t="s">
        <v>208</v>
      </c>
      <c r="C18" s="20"/>
      <c r="D18" s="20" t="s">
        <v>15</v>
      </c>
      <c r="E18" s="20">
        <v>10</v>
      </c>
      <c r="F18" s="21">
        <v>12</v>
      </c>
      <c r="G18" s="22">
        <v>0.9</v>
      </c>
      <c r="H18" s="23">
        <f t="shared" si="0"/>
        <v>10.8</v>
      </c>
      <c r="I18" s="23">
        <f t="shared" si="1"/>
        <v>108</v>
      </c>
    </row>
    <row r="19" s="13" customFormat="1" ht="20" customHeight="1" spans="1:9">
      <c r="A19" s="20">
        <v>18</v>
      </c>
      <c r="B19" s="24" t="s">
        <v>209</v>
      </c>
      <c r="C19" s="20"/>
      <c r="D19" s="20" t="s">
        <v>15</v>
      </c>
      <c r="E19" s="20">
        <v>2</v>
      </c>
      <c r="F19" s="21">
        <v>7</v>
      </c>
      <c r="G19" s="22">
        <v>0.9</v>
      </c>
      <c r="H19" s="23">
        <f t="shared" si="0"/>
        <v>6.3</v>
      </c>
      <c r="I19" s="23">
        <f t="shared" si="1"/>
        <v>12.6</v>
      </c>
    </row>
    <row r="20" s="16" customFormat="1" ht="20" customHeight="1" spans="1:9">
      <c r="A20" s="34"/>
      <c r="B20" s="34" t="s">
        <v>127</v>
      </c>
      <c r="C20" s="34"/>
      <c r="D20" s="34"/>
      <c r="E20" s="34"/>
      <c r="F20" s="35"/>
      <c r="G20" s="36"/>
      <c r="H20" s="37"/>
      <c r="I20" s="37">
        <f>SUM(I2:I19)</f>
        <v>2277.336312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opLeftCell="A7" workbookViewId="0">
      <selection activeCell="A1" sqref="$A1:$XFD1048576"/>
    </sheetView>
  </sheetViews>
  <sheetFormatPr defaultColWidth="10.775" defaultRowHeight="12"/>
  <cols>
    <col min="1" max="1" width="5.44166666666667" style="13" customWidth="1"/>
    <col min="2" max="2" width="19.775" style="13" customWidth="1"/>
    <col min="3" max="3" width="6.66666666666667" style="13" customWidth="1"/>
    <col min="4" max="5" width="5.44166666666667" style="13" customWidth="1"/>
    <col min="6" max="6" width="7.66666666666667" style="17" customWidth="1"/>
    <col min="7" max="7" width="7.33333333333333" style="18" customWidth="1"/>
    <col min="8" max="8" width="9.33333333333333" style="19" customWidth="1"/>
    <col min="9" max="9" width="13.1083333333333" style="19" customWidth="1"/>
    <col min="10" max="16380" width="10.775" style="13" customWidth="1"/>
    <col min="16381" max="16384" width="10.775" style="13"/>
  </cols>
  <sheetData>
    <row r="1" s="13" customFormat="1" ht="20" customHeight="1" spans="1:9">
      <c r="A1" s="20" t="s">
        <v>4</v>
      </c>
      <c r="B1" s="20" t="s">
        <v>128</v>
      </c>
      <c r="C1" s="20" t="s">
        <v>6</v>
      </c>
      <c r="D1" s="20" t="s">
        <v>7</v>
      </c>
      <c r="E1" s="20" t="s">
        <v>8</v>
      </c>
      <c r="F1" s="21" t="s">
        <v>129</v>
      </c>
      <c r="G1" s="22" t="s">
        <v>10</v>
      </c>
      <c r="H1" s="23" t="s">
        <v>11</v>
      </c>
      <c r="I1" s="23" t="s">
        <v>126</v>
      </c>
    </row>
    <row r="2" s="13" customFormat="1" ht="20" customHeight="1" spans="1:9">
      <c r="A2" s="20">
        <v>1</v>
      </c>
      <c r="B2" s="24" t="s">
        <v>210</v>
      </c>
      <c r="C2" s="20" t="s">
        <v>211</v>
      </c>
      <c r="D2" s="20" t="s">
        <v>212</v>
      </c>
      <c r="E2" s="20">
        <v>1</v>
      </c>
      <c r="F2" s="21">
        <v>53.8</v>
      </c>
      <c r="G2" s="22">
        <v>0.9</v>
      </c>
      <c r="H2" s="23">
        <f t="shared" ref="H2:H22" si="0">G2*F2</f>
        <v>48.42</v>
      </c>
      <c r="I2" s="23">
        <f t="shared" ref="I2:I22" si="1">H2*E2</f>
        <v>48.42</v>
      </c>
    </row>
    <row r="3" s="13" customFormat="1" ht="20" customHeight="1" spans="1:9">
      <c r="A3" s="20">
        <v>2</v>
      </c>
      <c r="B3" s="24" t="s">
        <v>213</v>
      </c>
      <c r="C3" s="20" t="s">
        <v>214</v>
      </c>
      <c r="D3" s="20" t="s">
        <v>33</v>
      </c>
      <c r="E3" s="20">
        <v>3</v>
      </c>
      <c r="F3" s="21">
        <v>19.9</v>
      </c>
      <c r="G3" s="22">
        <v>0.9</v>
      </c>
      <c r="H3" s="23">
        <f t="shared" si="0"/>
        <v>17.91</v>
      </c>
      <c r="I3" s="23">
        <f t="shared" si="1"/>
        <v>53.73</v>
      </c>
    </row>
    <row r="4" s="13" customFormat="1" ht="20" customHeight="1" spans="1:9">
      <c r="A4" s="20">
        <v>3</v>
      </c>
      <c r="B4" s="24" t="s">
        <v>136</v>
      </c>
      <c r="C4" s="20"/>
      <c r="D4" s="20" t="s">
        <v>15</v>
      </c>
      <c r="E4" s="20">
        <v>9</v>
      </c>
      <c r="F4" s="29">
        <v>31</v>
      </c>
      <c r="G4" s="22">
        <v>0.9</v>
      </c>
      <c r="H4" s="23">
        <f t="shared" si="0"/>
        <v>27.9</v>
      </c>
      <c r="I4" s="23">
        <f t="shared" si="1"/>
        <v>251.1</v>
      </c>
    </row>
    <row r="5" s="13" customFormat="1" ht="20" customHeight="1" spans="1:9">
      <c r="A5" s="20">
        <v>4</v>
      </c>
      <c r="B5" s="24" t="s">
        <v>215</v>
      </c>
      <c r="C5" s="20" t="s">
        <v>216</v>
      </c>
      <c r="D5" s="20" t="s">
        <v>33</v>
      </c>
      <c r="E5" s="20">
        <v>1</v>
      </c>
      <c r="F5" s="21">
        <v>39</v>
      </c>
      <c r="G5" s="22">
        <v>0.9</v>
      </c>
      <c r="H5" s="23">
        <f t="shared" si="0"/>
        <v>35.1</v>
      </c>
      <c r="I5" s="23">
        <f t="shared" si="1"/>
        <v>35.1</v>
      </c>
    </row>
    <row r="6" s="13" customFormat="1" ht="20" customHeight="1" spans="1:9">
      <c r="A6" s="20">
        <v>5</v>
      </c>
      <c r="B6" s="24" t="s">
        <v>217</v>
      </c>
      <c r="C6" s="20"/>
      <c r="D6" s="20" t="s">
        <v>15</v>
      </c>
      <c r="E6" s="20">
        <v>15</v>
      </c>
      <c r="F6" s="21">
        <v>3.9</v>
      </c>
      <c r="G6" s="22">
        <v>0.9</v>
      </c>
      <c r="H6" s="23">
        <f t="shared" si="0"/>
        <v>3.51</v>
      </c>
      <c r="I6" s="23">
        <f t="shared" si="1"/>
        <v>52.65</v>
      </c>
    </row>
    <row r="7" s="13" customFormat="1" ht="20" customHeight="1" spans="1:9">
      <c r="A7" s="20">
        <v>6</v>
      </c>
      <c r="B7" s="24" t="s">
        <v>26</v>
      </c>
      <c r="C7" s="20" t="s">
        <v>218</v>
      </c>
      <c r="D7" s="20" t="s">
        <v>15</v>
      </c>
      <c r="E7" s="20">
        <v>20</v>
      </c>
      <c r="F7" s="21">
        <v>6.8</v>
      </c>
      <c r="G7" s="22">
        <v>0.9</v>
      </c>
      <c r="H7" s="23">
        <f t="shared" si="0"/>
        <v>6.12</v>
      </c>
      <c r="I7" s="23">
        <f t="shared" si="1"/>
        <v>122.4</v>
      </c>
    </row>
    <row r="8" s="13" customFormat="1" ht="20" customHeight="1" spans="1:9">
      <c r="A8" s="20">
        <v>7</v>
      </c>
      <c r="B8" s="24" t="s">
        <v>219</v>
      </c>
      <c r="C8" s="20"/>
      <c r="D8" s="20" t="s">
        <v>15</v>
      </c>
      <c r="E8" s="20">
        <v>8</v>
      </c>
      <c r="F8" s="21">
        <v>10.9</v>
      </c>
      <c r="G8" s="22">
        <v>0.9</v>
      </c>
      <c r="H8" s="23">
        <f t="shared" si="0"/>
        <v>9.81</v>
      </c>
      <c r="I8" s="23">
        <f t="shared" si="1"/>
        <v>78.48</v>
      </c>
    </row>
    <row r="9" s="13" customFormat="1" ht="20" customHeight="1" spans="1:9">
      <c r="A9" s="20">
        <v>8</v>
      </c>
      <c r="B9" s="24" t="s">
        <v>92</v>
      </c>
      <c r="C9" s="20"/>
      <c r="D9" s="20" t="s">
        <v>15</v>
      </c>
      <c r="E9" s="20">
        <v>14</v>
      </c>
      <c r="F9" s="42">
        <v>5.3</v>
      </c>
      <c r="G9" s="22">
        <v>0.9</v>
      </c>
      <c r="H9" s="23">
        <f t="shared" si="0"/>
        <v>4.77</v>
      </c>
      <c r="I9" s="23">
        <f t="shared" si="1"/>
        <v>66.78</v>
      </c>
    </row>
    <row r="10" s="13" customFormat="1" ht="20" customHeight="1" spans="1:9">
      <c r="A10" s="20">
        <v>9</v>
      </c>
      <c r="B10" s="39" t="s">
        <v>138</v>
      </c>
      <c r="C10" s="20"/>
      <c r="D10" s="20" t="s">
        <v>15</v>
      </c>
      <c r="E10" s="20">
        <v>5</v>
      </c>
      <c r="F10" s="21">
        <v>20</v>
      </c>
      <c r="G10" s="22">
        <v>0.9</v>
      </c>
      <c r="H10" s="23">
        <f t="shared" si="0"/>
        <v>18</v>
      </c>
      <c r="I10" s="23">
        <f t="shared" si="1"/>
        <v>90</v>
      </c>
    </row>
    <row r="11" s="13" customFormat="1" ht="20" customHeight="1" spans="1:9">
      <c r="A11" s="20">
        <v>10</v>
      </c>
      <c r="B11" s="24" t="s">
        <v>152</v>
      </c>
      <c r="C11" s="20"/>
      <c r="D11" s="20" t="s">
        <v>15</v>
      </c>
      <c r="E11" s="20">
        <v>6</v>
      </c>
      <c r="F11" s="42">
        <v>52</v>
      </c>
      <c r="G11" s="22">
        <v>0.9</v>
      </c>
      <c r="H11" s="23">
        <f t="shared" si="0"/>
        <v>46.8</v>
      </c>
      <c r="I11" s="23">
        <f t="shared" si="1"/>
        <v>280.8</v>
      </c>
    </row>
    <row r="12" s="13" customFormat="1" ht="20" customHeight="1" spans="1:9">
      <c r="A12" s="20">
        <v>11</v>
      </c>
      <c r="B12" s="24" t="s">
        <v>220</v>
      </c>
      <c r="C12" s="20"/>
      <c r="D12" s="20" t="s">
        <v>15</v>
      </c>
      <c r="E12" s="20">
        <v>5</v>
      </c>
      <c r="F12" s="21">
        <v>12.8</v>
      </c>
      <c r="G12" s="22">
        <v>0.9</v>
      </c>
      <c r="H12" s="23">
        <f t="shared" si="0"/>
        <v>11.52</v>
      </c>
      <c r="I12" s="23">
        <f t="shared" si="1"/>
        <v>57.6</v>
      </c>
    </row>
    <row r="13" s="13" customFormat="1" ht="20" customHeight="1" spans="1:9">
      <c r="A13" s="20">
        <v>12</v>
      </c>
      <c r="B13" s="24" t="s">
        <v>61</v>
      </c>
      <c r="C13" s="20"/>
      <c r="D13" s="20" t="s">
        <v>15</v>
      </c>
      <c r="E13" s="20">
        <v>6</v>
      </c>
      <c r="F13" s="29">
        <v>90</v>
      </c>
      <c r="G13" s="22">
        <v>0.9</v>
      </c>
      <c r="H13" s="23">
        <f t="shared" si="0"/>
        <v>81</v>
      </c>
      <c r="I13" s="23">
        <f t="shared" si="1"/>
        <v>486</v>
      </c>
    </row>
    <row r="14" s="13" customFormat="1" ht="20" customHeight="1" spans="1:9">
      <c r="A14" s="20">
        <v>13</v>
      </c>
      <c r="B14" s="24" t="s">
        <v>45</v>
      </c>
      <c r="C14" s="20"/>
      <c r="D14" s="20" t="s">
        <v>15</v>
      </c>
      <c r="E14" s="20">
        <v>2</v>
      </c>
      <c r="F14" s="29">
        <v>3.8</v>
      </c>
      <c r="G14" s="22">
        <v>0.9</v>
      </c>
      <c r="H14" s="23">
        <f t="shared" si="0"/>
        <v>3.42</v>
      </c>
      <c r="I14" s="23">
        <f t="shared" si="1"/>
        <v>6.84</v>
      </c>
    </row>
    <row r="15" s="13" customFormat="1" ht="20" customHeight="1" spans="1:9">
      <c r="A15" s="20">
        <v>14</v>
      </c>
      <c r="B15" s="39" t="s">
        <v>143</v>
      </c>
      <c r="C15" s="20"/>
      <c r="D15" s="20" t="s">
        <v>15</v>
      </c>
      <c r="E15" s="20">
        <v>2</v>
      </c>
      <c r="F15" s="29">
        <v>18</v>
      </c>
      <c r="G15" s="22">
        <v>0.9</v>
      </c>
      <c r="H15" s="23">
        <f t="shared" si="0"/>
        <v>16.2</v>
      </c>
      <c r="I15" s="23">
        <f t="shared" si="1"/>
        <v>32.4</v>
      </c>
    </row>
    <row r="16" s="13" customFormat="1" ht="20" customHeight="1" spans="1:9">
      <c r="A16" s="20">
        <v>15</v>
      </c>
      <c r="B16" s="24" t="s">
        <v>144</v>
      </c>
      <c r="C16" s="20"/>
      <c r="D16" s="20" t="s">
        <v>145</v>
      </c>
      <c r="E16" s="20">
        <v>10</v>
      </c>
      <c r="F16" s="29">
        <v>5</v>
      </c>
      <c r="G16" s="22">
        <v>0.9</v>
      </c>
      <c r="H16" s="23">
        <f t="shared" si="0"/>
        <v>4.5</v>
      </c>
      <c r="I16" s="23">
        <f t="shared" si="1"/>
        <v>45</v>
      </c>
    </row>
    <row r="17" s="13" customFormat="1" ht="20" customHeight="1" spans="1:9">
      <c r="A17" s="20">
        <v>16</v>
      </c>
      <c r="B17" s="24" t="s">
        <v>150</v>
      </c>
      <c r="C17" s="20" t="s">
        <v>207</v>
      </c>
      <c r="D17" s="20" t="s">
        <v>41</v>
      </c>
      <c r="E17" s="20">
        <v>40</v>
      </c>
      <c r="F17" s="21">
        <v>4.15</v>
      </c>
      <c r="G17" s="22">
        <v>0.9</v>
      </c>
      <c r="H17" s="23">
        <f t="shared" si="0"/>
        <v>3.735</v>
      </c>
      <c r="I17" s="23">
        <f t="shared" si="1"/>
        <v>149.4</v>
      </c>
    </row>
    <row r="18" s="13" customFormat="1" ht="20" customHeight="1" spans="1:9">
      <c r="A18" s="20">
        <v>17</v>
      </c>
      <c r="B18" s="33" t="s">
        <v>17</v>
      </c>
      <c r="C18" s="20"/>
      <c r="D18" s="20" t="s">
        <v>15</v>
      </c>
      <c r="E18" s="20">
        <v>10</v>
      </c>
      <c r="F18" s="29">
        <v>3.8</v>
      </c>
      <c r="G18" s="22">
        <v>0.9</v>
      </c>
      <c r="H18" s="23">
        <f t="shared" si="0"/>
        <v>3.42</v>
      </c>
      <c r="I18" s="23">
        <f t="shared" si="1"/>
        <v>34.2</v>
      </c>
    </row>
    <row r="19" s="13" customFormat="1" ht="20" customHeight="1" spans="1:9">
      <c r="A19" s="20">
        <v>18</v>
      </c>
      <c r="B19" s="24" t="s">
        <v>147</v>
      </c>
      <c r="C19" s="20"/>
      <c r="D19" s="20" t="s">
        <v>15</v>
      </c>
      <c r="E19" s="20">
        <v>6</v>
      </c>
      <c r="F19" s="29">
        <v>3.3</v>
      </c>
      <c r="G19" s="22">
        <v>0.9</v>
      </c>
      <c r="H19" s="23">
        <f t="shared" si="0"/>
        <v>2.97</v>
      </c>
      <c r="I19" s="23">
        <f t="shared" si="1"/>
        <v>17.82</v>
      </c>
    </row>
    <row r="20" s="13" customFormat="1" ht="20" customHeight="1" spans="1:9">
      <c r="A20" s="20">
        <v>19</v>
      </c>
      <c r="B20" s="24" t="s">
        <v>221</v>
      </c>
      <c r="C20" s="20"/>
      <c r="D20" s="20" t="s">
        <v>15</v>
      </c>
      <c r="E20" s="20">
        <v>2</v>
      </c>
      <c r="F20" s="21">
        <v>6.6</v>
      </c>
      <c r="G20" s="22">
        <v>0.9</v>
      </c>
      <c r="H20" s="23">
        <f t="shared" si="0"/>
        <v>5.94</v>
      </c>
      <c r="I20" s="23">
        <f t="shared" si="1"/>
        <v>11.88</v>
      </c>
    </row>
    <row r="21" s="13" customFormat="1" ht="20" customHeight="1" spans="1:9">
      <c r="A21" s="20">
        <v>20</v>
      </c>
      <c r="B21" s="24" t="s">
        <v>137</v>
      </c>
      <c r="C21" s="20"/>
      <c r="D21" s="20" t="s">
        <v>15</v>
      </c>
      <c r="E21" s="20">
        <v>2</v>
      </c>
      <c r="F21" s="29">
        <v>5.3</v>
      </c>
      <c r="G21" s="22">
        <v>0.9</v>
      </c>
      <c r="H21" s="23">
        <f t="shared" si="0"/>
        <v>4.77</v>
      </c>
      <c r="I21" s="23">
        <f t="shared" si="1"/>
        <v>9.54</v>
      </c>
    </row>
    <row r="22" s="13" customFormat="1" ht="20" customHeight="1" spans="1:9">
      <c r="A22" s="20">
        <v>21</v>
      </c>
      <c r="B22" s="24" t="s">
        <v>20</v>
      </c>
      <c r="C22" s="20"/>
      <c r="D22" s="20" t="s">
        <v>15</v>
      </c>
      <c r="E22" s="20">
        <v>2</v>
      </c>
      <c r="F22" s="29">
        <v>9</v>
      </c>
      <c r="G22" s="22">
        <v>0.9</v>
      </c>
      <c r="H22" s="23">
        <f t="shared" si="0"/>
        <v>8.1</v>
      </c>
      <c r="I22" s="23">
        <f t="shared" si="1"/>
        <v>16.2</v>
      </c>
    </row>
    <row r="23" s="16" customFormat="1" ht="20" customHeight="1" spans="1:9">
      <c r="A23" s="34"/>
      <c r="B23" s="34" t="s">
        <v>127</v>
      </c>
      <c r="C23" s="34"/>
      <c r="D23" s="34"/>
      <c r="E23" s="34"/>
      <c r="F23" s="35"/>
      <c r="G23" s="36"/>
      <c r="H23" s="37"/>
      <c r="I23" s="38">
        <f>SUM(I2:I22)</f>
        <v>1946.34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7" workbookViewId="0">
      <selection activeCell="B21" sqref="B21"/>
    </sheetView>
  </sheetViews>
  <sheetFormatPr defaultColWidth="10.775" defaultRowHeight="12"/>
  <cols>
    <col min="1" max="1" width="5.66666666666667" style="13" customWidth="1"/>
    <col min="2" max="2" width="12.1083333333333" style="13" customWidth="1"/>
    <col min="3" max="3" width="9.66666666666667" style="13" customWidth="1"/>
    <col min="4" max="5" width="5.66666666666667" style="13" customWidth="1"/>
    <col min="6" max="6" width="7.66666666666667" style="17" customWidth="1"/>
    <col min="7" max="7" width="7.66666666666667" style="18" customWidth="1"/>
    <col min="8" max="8" width="9.66666666666667" style="19" customWidth="1"/>
    <col min="9" max="9" width="13.1083333333333" style="19" customWidth="1"/>
    <col min="10" max="16380" width="10.775" style="13" customWidth="1"/>
    <col min="16381" max="16384" width="10.775" style="13"/>
  </cols>
  <sheetData>
    <row r="1" s="13" customFormat="1" ht="20" customHeight="1" spans="1:9">
      <c r="A1" s="20" t="s">
        <v>4</v>
      </c>
      <c r="B1" s="20" t="s">
        <v>128</v>
      </c>
      <c r="C1" s="20" t="s">
        <v>6</v>
      </c>
      <c r="D1" s="20" t="s">
        <v>7</v>
      </c>
      <c r="E1" s="20" t="s">
        <v>8</v>
      </c>
      <c r="F1" s="21" t="s">
        <v>129</v>
      </c>
      <c r="G1" s="22" t="s">
        <v>10</v>
      </c>
      <c r="H1" s="23" t="s">
        <v>11</v>
      </c>
      <c r="I1" s="23" t="s">
        <v>126</v>
      </c>
    </row>
    <row r="2" s="13" customFormat="1" ht="20" customHeight="1" spans="1:9">
      <c r="A2" s="20">
        <v>1</v>
      </c>
      <c r="B2" s="24" t="s">
        <v>100</v>
      </c>
      <c r="C2" s="20"/>
      <c r="D2" s="20" t="s">
        <v>133</v>
      </c>
      <c r="E2" s="20">
        <v>2</v>
      </c>
      <c r="F2" s="21">
        <v>8.67</v>
      </c>
      <c r="G2" s="22">
        <v>0.9</v>
      </c>
      <c r="H2" s="23">
        <f t="shared" ref="H2:H21" si="0">G2*F2</f>
        <v>7.803</v>
      </c>
      <c r="I2" s="23">
        <f t="shared" ref="I2:I21" si="1">H2*E2</f>
        <v>15.606</v>
      </c>
    </row>
    <row r="3" s="13" customFormat="1" ht="20" customHeight="1" spans="1:9">
      <c r="A3" s="20">
        <v>2</v>
      </c>
      <c r="B3" s="24" t="s">
        <v>222</v>
      </c>
      <c r="C3" s="20" t="s">
        <v>223</v>
      </c>
      <c r="D3" s="20" t="s">
        <v>15</v>
      </c>
      <c r="E3" s="20">
        <v>19.7</v>
      </c>
      <c r="F3" s="21">
        <v>18.8</v>
      </c>
      <c r="G3" s="22">
        <v>0.9</v>
      </c>
      <c r="H3" s="23">
        <f t="shared" si="0"/>
        <v>16.92</v>
      </c>
      <c r="I3" s="23">
        <f t="shared" si="1"/>
        <v>333.324</v>
      </c>
    </row>
    <row r="4" s="13" customFormat="1" ht="20" customHeight="1" spans="1:9">
      <c r="A4" s="20">
        <v>3</v>
      </c>
      <c r="B4" s="24" t="s">
        <v>224</v>
      </c>
      <c r="C4" s="20"/>
      <c r="D4" s="20" t="s">
        <v>15</v>
      </c>
      <c r="E4" s="20">
        <v>10</v>
      </c>
      <c r="F4" s="21">
        <v>7.56</v>
      </c>
      <c r="G4" s="22">
        <v>0.9</v>
      </c>
      <c r="H4" s="23">
        <f t="shared" si="0"/>
        <v>6.804</v>
      </c>
      <c r="I4" s="23">
        <f t="shared" si="1"/>
        <v>68.04</v>
      </c>
    </row>
    <row r="5" s="13" customFormat="1" ht="20" customHeight="1" spans="1:9">
      <c r="A5" s="20">
        <v>4</v>
      </c>
      <c r="B5" s="24" t="s">
        <v>137</v>
      </c>
      <c r="C5" s="20"/>
      <c r="D5" s="20" t="s">
        <v>15</v>
      </c>
      <c r="E5" s="20">
        <v>17</v>
      </c>
      <c r="F5" s="29">
        <v>5.3</v>
      </c>
      <c r="G5" s="22">
        <v>0.9</v>
      </c>
      <c r="H5" s="23">
        <f t="shared" si="0"/>
        <v>4.77</v>
      </c>
      <c r="I5" s="23">
        <f t="shared" si="1"/>
        <v>81.09</v>
      </c>
    </row>
    <row r="6" s="13" customFormat="1" ht="20" customHeight="1" spans="1:9">
      <c r="A6" s="20">
        <v>5</v>
      </c>
      <c r="B6" s="26" t="s">
        <v>225</v>
      </c>
      <c r="C6" s="20" t="s">
        <v>226</v>
      </c>
      <c r="D6" s="20" t="s">
        <v>15</v>
      </c>
      <c r="E6" s="20">
        <v>14</v>
      </c>
      <c r="F6" s="21">
        <v>10.8</v>
      </c>
      <c r="G6" s="22">
        <v>0.9</v>
      </c>
      <c r="H6" s="23">
        <f t="shared" si="0"/>
        <v>9.72</v>
      </c>
      <c r="I6" s="23">
        <f t="shared" si="1"/>
        <v>136.08</v>
      </c>
    </row>
    <row r="7" s="13" customFormat="1" ht="20" customHeight="1" spans="1:9">
      <c r="A7" s="20">
        <v>6</v>
      </c>
      <c r="B7" s="24" t="s">
        <v>91</v>
      </c>
      <c r="C7" s="20"/>
      <c r="D7" s="20" t="s">
        <v>15</v>
      </c>
      <c r="E7" s="20">
        <v>7</v>
      </c>
      <c r="F7" s="21">
        <v>2.78</v>
      </c>
      <c r="G7" s="22">
        <v>0.9</v>
      </c>
      <c r="H7" s="23">
        <f t="shared" si="0"/>
        <v>2.502</v>
      </c>
      <c r="I7" s="23">
        <f t="shared" si="1"/>
        <v>17.514</v>
      </c>
    </row>
    <row r="8" s="13" customFormat="1" ht="20" customHeight="1" spans="1:9">
      <c r="A8" s="20">
        <v>7</v>
      </c>
      <c r="B8" s="24" t="s">
        <v>155</v>
      </c>
      <c r="C8" s="20"/>
      <c r="D8" s="20" t="s">
        <v>41</v>
      </c>
      <c r="E8" s="20">
        <v>60</v>
      </c>
      <c r="F8" s="42">
        <v>5</v>
      </c>
      <c r="G8" s="22">
        <v>0.9</v>
      </c>
      <c r="H8" s="23">
        <f t="shared" si="0"/>
        <v>4.5</v>
      </c>
      <c r="I8" s="23">
        <f t="shared" si="1"/>
        <v>270</v>
      </c>
    </row>
    <row r="9" s="13" customFormat="1" ht="20" customHeight="1" spans="1:9">
      <c r="A9" s="20">
        <v>8</v>
      </c>
      <c r="B9" s="24" t="s">
        <v>20</v>
      </c>
      <c r="C9" s="20"/>
      <c r="D9" s="20" t="s">
        <v>15</v>
      </c>
      <c r="E9" s="20">
        <v>2</v>
      </c>
      <c r="F9" s="29">
        <v>9</v>
      </c>
      <c r="G9" s="22">
        <v>0.9</v>
      </c>
      <c r="H9" s="23">
        <f t="shared" si="0"/>
        <v>8.1</v>
      </c>
      <c r="I9" s="23">
        <f t="shared" si="1"/>
        <v>16.2</v>
      </c>
    </row>
    <row r="10" s="13" customFormat="1" ht="20" customHeight="1" spans="1:9">
      <c r="A10" s="20">
        <v>9</v>
      </c>
      <c r="B10" s="24" t="s">
        <v>227</v>
      </c>
      <c r="C10" s="20" t="s">
        <v>228</v>
      </c>
      <c r="D10" s="20" t="s">
        <v>15</v>
      </c>
      <c r="E10" s="20">
        <v>3</v>
      </c>
      <c r="F10" s="21">
        <v>6</v>
      </c>
      <c r="G10" s="22">
        <v>0.9</v>
      </c>
      <c r="H10" s="23">
        <f t="shared" si="0"/>
        <v>5.4</v>
      </c>
      <c r="I10" s="23">
        <f t="shared" si="1"/>
        <v>16.2</v>
      </c>
    </row>
    <row r="11" s="13" customFormat="1" ht="20" customHeight="1" spans="1:9">
      <c r="A11" s="20">
        <v>10</v>
      </c>
      <c r="B11" s="24" t="s">
        <v>90</v>
      </c>
      <c r="C11" s="20"/>
      <c r="D11" s="20" t="s">
        <v>15</v>
      </c>
      <c r="E11" s="20">
        <v>5</v>
      </c>
      <c r="F11" s="42">
        <v>3.3</v>
      </c>
      <c r="G11" s="22">
        <v>0.9</v>
      </c>
      <c r="H11" s="23">
        <f t="shared" si="0"/>
        <v>2.97</v>
      </c>
      <c r="I11" s="23">
        <f t="shared" si="1"/>
        <v>14.85</v>
      </c>
    </row>
    <row r="12" s="13" customFormat="1" ht="20" customHeight="1" spans="1:9">
      <c r="A12" s="20">
        <v>11</v>
      </c>
      <c r="B12" s="24" t="s">
        <v>104</v>
      </c>
      <c r="C12" s="20"/>
      <c r="D12" s="20" t="s">
        <v>15</v>
      </c>
      <c r="E12" s="20">
        <v>9</v>
      </c>
      <c r="F12" s="21">
        <v>2.8</v>
      </c>
      <c r="G12" s="22">
        <v>0.9</v>
      </c>
      <c r="H12" s="23">
        <f t="shared" si="0"/>
        <v>2.52</v>
      </c>
      <c r="I12" s="23">
        <f t="shared" si="1"/>
        <v>22.68</v>
      </c>
    </row>
    <row r="13" s="13" customFormat="1" ht="20" customHeight="1" spans="1:9">
      <c r="A13" s="20">
        <v>12</v>
      </c>
      <c r="B13" s="39" t="s">
        <v>143</v>
      </c>
      <c r="C13" s="20"/>
      <c r="D13" s="20" t="s">
        <v>15</v>
      </c>
      <c r="E13" s="20">
        <v>2</v>
      </c>
      <c r="F13" s="29">
        <v>18</v>
      </c>
      <c r="G13" s="22">
        <v>0.9</v>
      </c>
      <c r="H13" s="23">
        <f t="shared" si="0"/>
        <v>16.2</v>
      </c>
      <c r="I13" s="23">
        <f t="shared" si="1"/>
        <v>32.4</v>
      </c>
    </row>
    <row r="14" s="13" customFormat="1" ht="20" customHeight="1" spans="1:9">
      <c r="A14" s="20">
        <v>13</v>
      </c>
      <c r="B14" s="26" t="s">
        <v>195</v>
      </c>
      <c r="C14" s="20"/>
      <c r="D14" s="20" t="s">
        <v>15</v>
      </c>
      <c r="E14" s="20">
        <v>3</v>
      </c>
      <c r="F14" s="21">
        <v>10.89</v>
      </c>
      <c r="G14" s="22">
        <v>0.9</v>
      </c>
      <c r="H14" s="23">
        <f t="shared" si="0"/>
        <v>9.801</v>
      </c>
      <c r="I14" s="23">
        <f t="shared" si="1"/>
        <v>29.403</v>
      </c>
    </row>
    <row r="15" s="13" customFormat="1" ht="20" customHeight="1" spans="1:9">
      <c r="A15" s="20">
        <v>14</v>
      </c>
      <c r="B15" s="24" t="s">
        <v>146</v>
      </c>
      <c r="C15" s="20"/>
      <c r="D15" s="20" t="s">
        <v>15</v>
      </c>
      <c r="E15" s="20">
        <v>5</v>
      </c>
      <c r="F15" s="21">
        <v>3.9</v>
      </c>
      <c r="G15" s="22">
        <v>0.9</v>
      </c>
      <c r="H15" s="23">
        <f t="shared" si="0"/>
        <v>3.51</v>
      </c>
      <c r="I15" s="23">
        <f t="shared" si="1"/>
        <v>17.55</v>
      </c>
    </row>
    <row r="16" s="13" customFormat="1" ht="20" customHeight="1" spans="1:9">
      <c r="A16" s="20">
        <v>15</v>
      </c>
      <c r="B16" s="24" t="s">
        <v>72</v>
      </c>
      <c r="C16" s="20"/>
      <c r="D16" s="20" t="s">
        <v>15</v>
      </c>
      <c r="E16" s="20">
        <v>5</v>
      </c>
      <c r="F16" s="21">
        <v>8</v>
      </c>
      <c r="G16" s="22">
        <v>0.9</v>
      </c>
      <c r="H16" s="23">
        <f t="shared" si="0"/>
        <v>7.2</v>
      </c>
      <c r="I16" s="23">
        <f t="shared" si="1"/>
        <v>36</v>
      </c>
    </row>
    <row r="17" s="13" customFormat="1" ht="20" customHeight="1" spans="1:9">
      <c r="A17" s="20">
        <v>16</v>
      </c>
      <c r="B17" s="33" t="s">
        <v>17</v>
      </c>
      <c r="C17" s="20"/>
      <c r="D17" s="20" t="s">
        <v>15</v>
      </c>
      <c r="E17" s="20">
        <v>5</v>
      </c>
      <c r="F17" s="29">
        <v>3.8</v>
      </c>
      <c r="G17" s="22">
        <v>0.9</v>
      </c>
      <c r="H17" s="23">
        <f t="shared" si="0"/>
        <v>3.42</v>
      </c>
      <c r="I17" s="23">
        <f t="shared" si="1"/>
        <v>17.1</v>
      </c>
    </row>
    <row r="18" s="13" customFormat="1" ht="20" customHeight="1" spans="1:9">
      <c r="A18" s="20">
        <v>17</v>
      </c>
      <c r="B18" s="24" t="s">
        <v>147</v>
      </c>
      <c r="C18" s="20"/>
      <c r="D18" s="20" t="s">
        <v>15</v>
      </c>
      <c r="E18" s="20">
        <v>12</v>
      </c>
      <c r="F18" s="21">
        <v>3.3</v>
      </c>
      <c r="G18" s="22">
        <v>0.9</v>
      </c>
      <c r="H18" s="23">
        <f t="shared" si="0"/>
        <v>2.97</v>
      </c>
      <c r="I18" s="23">
        <f t="shared" si="1"/>
        <v>35.64</v>
      </c>
    </row>
    <row r="19" s="13" customFormat="1" ht="20" customHeight="1" spans="1:9">
      <c r="A19" s="20">
        <v>18</v>
      </c>
      <c r="B19" s="24" t="s">
        <v>74</v>
      </c>
      <c r="C19" s="20"/>
      <c r="D19" s="20" t="s">
        <v>15</v>
      </c>
      <c r="E19" s="20">
        <v>2</v>
      </c>
      <c r="F19" s="42">
        <v>3.8</v>
      </c>
      <c r="G19" s="22">
        <v>0.9</v>
      </c>
      <c r="H19" s="23">
        <f t="shared" si="0"/>
        <v>3.42</v>
      </c>
      <c r="I19" s="23">
        <f t="shared" si="1"/>
        <v>6.84</v>
      </c>
    </row>
    <row r="20" s="13" customFormat="1" ht="20" customHeight="1" spans="1:9">
      <c r="A20" s="20">
        <v>19</v>
      </c>
      <c r="B20" s="24" t="s">
        <v>196</v>
      </c>
      <c r="C20" s="20"/>
      <c r="D20" s="20" t="s">
        <v>15</v>
      </c>
      <c r="E20" s="20">
        <v>4</v>
      </c>
      <c r="F20" s="41">
        <v>4.99</v>
      </c>
      <c r="G20" s="22">
        <v>0.9</v>
      </c>
      <c r="H20" s="23">
        <f t="shared" si="0"/>
        <v>4.491</v>
      </c>
      <c r="I20" s="23">
        <f t="shared" si="1"/>
        <v>17.964</v>
      </c>
    </row>
    <row r="21" s="13" customFormat="1" ht="20" customHeight="1" spans="1:9">
      <c r="A21" s="20">
        <v>20</v>
      </c>
      <c r="B21" s="24" t="s">
        <v>64</v>
      </c>
      <c r="C21" s="20" t="s">
        <v>65</v>
      </c>
      <c r="D21" s="20" t="s">
        <v>15</v>
      </c>
      <c r="E21" s="20">
        <v>50</v>
      </c>
      <c r="F21" s="21">
        <v>3.95</v>
      </c>
      <c r="G21" s="22">
        <v>0.9</v>
      </c>
      <c r="H21" s="23">
        <f t="shared" si="0"/>
        <v>3.555</v>
      </c>
      <c r="I21" s="23">
        <f t="shared" si="1"/>
        <v>177.75</v>
      </c>
    </row>
    <row r="22" s="16" customFormat="1" ht="20" customHeight="1" spans="1:9">
      <c r="A22" s="34"/>
      <c r="B22" s="34" t="s">
        <v>127</v>
      </c>
      <c r="C22" s="34"/>
      <c r="D22" s="34"/>
      <c r="E22" s="34"/>
      <c r="F22" s="35"/>
      <c r="G22" s="36"/>
      <c r="H22" s="37"/>
      <c r="I22" s="37">
        <f>SUM(I2:I21)</f>
        <v>1362.231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opLeftCell="D8" workbookViewId="0">
      <selection activeCell="A2" sqref="$A1:$XFD1048576"/>
    </sheetView>
  </sheetViews>
  <sheetFormatPr defaultColWidth="10.775" defaultRowHeight="12"/>
  <cols>
    <col min="1" max="1" width="7" style="13" customWidth="1"/>
    <col min="2" max="2" width="16.775" style="13" customWidth="1"/>
    <col min="3" max="5" width="6.89166666666667" style="13" customWidth="1"/>
    <col min="6" max="6" width="13.1083333333333" style="17" customWidth="1"/>
    <col min="7" max="7" width="10.5583333333333" style="18" customWidth="1"/>
    <col min="8" max="9" width="13.1083333333333" style="19" customWidth="1"/>
    <col min="10" max="16380" width="10.775" style="13" customWidth="1"/>
    <col min="16381" max="16384" width="10.775" style="13"/>
  </cols>
  <sheetData>
    <row r="1" s="13" customFormat="1" ht="20" customHeight="1" spans="1:9">
      <c r="A1" s="20" t="s">
        <v>4</v>
      </c>
      <c r="B1" s="20" t="s">
        <v>128</v>
      </c>
      <c r="C1" s="20" t="s">
        <v>6</v>
      </c>
      <c r="D1" s="20" t="s">
        <v>7</v>
      </c>
      <c r="E1" s="20" t="s">
        <v>8</v>
      </c>
      <c r="F1" s="21" t="s">
        <v>129</v>
      </c>
      <c r="G1" s="22" t="s">
        <v>10</v>
      </c>
      <c r="H1" s="23" t="s">
        <v>11</v>
      </c>
      <c r="I1" s="23" t="s">
        <v>126</v>
      </c>
    </row>
    <row r="2" s="13" customFormat="1" ht="20" customHeight="1" spans="1:9">
      <c r="A2" s="20">
        <v>1</v>
      </c>
      <c r="B2" s="24" t="s">
        <v>229</v>
      </c>
      <c r="C2" s="20"/>
      <c r="D2" s="20" t="s">
        <v>15</v>
      </c>
      <c r="E2" s="20">
        <v>10</v>
      </c>
      <c r="F2" s="21">
        <v>18</v>
      </c>
      <c r="G2" s="22">
        <v>0.9</v>
      </c>
      <c r="H2" s="23">
        <f t="shared" ref="H2:H20" si="0">G2*F2</f>
        <v>16.2</v>
      </c>
      <c r="I2" s="23">
        <f t="shared" ref="I2:I20" si="1">H2*E2</f>
        <v>162</v>
      </c>
    </row>
    <row r="3" s="13" customFormat="1" ht="20" customHeight="1" spans="1:9">
      <c r="A3" s="20">
        <v>2</v>
      </c>
      <c r="B3" s="39" t="s">
        <v>143</v>
      </c>
      <c r="C3" s="20"/>
      <c r="D3" s="20" t="s">
        <v>15</v>
      </c>
      <c r="E3" s="20">
        <v>2.5</v>
      </c>
      <c r="F3" s="21">
        <v>18</v>
      </c>
      <c r="G3" s="22">
        <v>0.9</v>
      </c>
      <c r="H3" s="23">
        <f t="shared" si="0"/>
        <v>16.2</v>
      </c>
      <c r="I3" s="23">
        <f t="shared" si="1"/>
        <v>40.5</v>
      </c>
    </row>
    <row r="4" s="13" customFormat="1" ht="20" customHeight="1" spans="1:9">
      <c r="A4" s="20">
        <v>3</v>
      </c>
      <c r="B4" s="24" t="s">
        <v>227</v>
      </c>
      <c r="C4" s="20"/>
      <c r="D4" s="20" t="s">
        <v>15</v>
      </c>
      <c r="E4" s="20">
        <v>5</v>
      </c>
      <c r="F4" s="21">
        <v>6</v>
      </c>
      <c r="G4" s="22">
        <v>0.9</v>
      </c>
      <c r="H4" s="23">
        <f t="shared" si="0"/>
        <v>5.4</v>
      </c>
      <c r="I4" s="23">
        <f t="shared" si="1"/>
        <v>27</v>
      </c>
    </row>
    <row r="5" s="13" customFormat="1" ht="20" customHeight="1" spans="1:9">
      <c r="A5" s="20">
        <v>4</v>
      </c>
      <c r="B5" s="24" t="s">
        <v>91</v>
      </c>
      <c r="C5" s="20"/>
      <c r="D5" s="20" t="s">
        <v>15</v>
      </c>
      <c r="E5" s="20">
        <v>18</v>
      </c>
      <c r="F5" s="21">
        <v>2.78</v>
      </c>
      <c r="G5" s="22">
        <v>0.9</v>
      </c>
      <c r="H5" s="23">
        <f t="shared" si="0"/>
        <v>2.502</v>
      </c>
      <c r="I5" s="23">
        <f t="shared" si="1"/>
        <v>45.036</v>
      </c>
    </row>
    <row r="6" s="13" customFormat="1" ht="20" customHeight="1" spans="1:9">
      <c r="A6" s="20">
        <v>5</v>
      </c>
      <c r="B6" s="24" t="s">
        <v>230</v>
      </c>
      <c r="C6" s="20"/>
      <c r="D6" s="20" t="s">
        <v>15</v>
      </c>
      <c r="E6" s="20">
        <v>15</v>
      </c>
      <c r="F6" s="21">
        <v>11.8</v>
      </c>
      <c r="G6" s="22">
        <v>0.9</v>
      </c>
      <c r="H6" s="23">
        <f t="shared" si="0"/>
        <v>10.62</v>
      </c>
      <c r="I6" s="23">
        <f t="shared" si="1"/>
        <v>159.3</v>
      </c>
    </row>
    <row r="7" s="13" customFormat="1" ht="20" customHeight="1" spans="1:9">
      <c r="A7" s="20">
        <v>6</v>
      </c>
      <c r="B7" s="24" t="s">
        <v>231</v>
      </c>
      <c r="C7" s="20"/>
      <c r="D7" s="20" t="s">
        <v>15</v>
      </c>
      <c r="E7" s="20">
        <v>16</v>
      </c>
      <c r="F7" s="21">
        <v>9</v>
      </c>
      <c r="G7" s="22">
        <v>0.9</v>
      </c>
      <c r="H7" s="23">
        <f t="shared" si="0"/>
        <v>8.1</v>
      </c>
      <c r="I7" s="23">
        <f t="shared" si="1"/>
        <v>129.6</v>
      </c>
    </row>
    <row r="8" s="13" customFormat="1" ht="20" customHeight="1" spans="1:9">
      <c r="A8" s="20">
        <v>7</v>
      </c>
      <c r="B8" s="24" t="s">
        <v>105</v>
      </c>
      <c r="C8" s="20" t="s">
        <v>232</v>
      </c>
      <c r="D8" s="20" t="s">
        <v>15</v>
      </c>
      <c r="E8" s="20">
        <v>4.57</v>
      </c>
      <c r="F8" s="29">
        <v>5</v>
      </c>
      <c r="G8" s="22">
        <v>0.9</v>
      </c>
      <c r="H8" s="23">
        <f t="shared" si="0"/>
        <v>4.5</v>
      </c>
      <c r="I8" s="23">
        <f t="shared" si="1"/>
        <v>20.565</v>
      </c>
    </row>
    <row r="9" s="13" customFormat="1" ht="20" customHeight="1" spans="1:9">
      <c r="A9" s="20">
        <v>8</v>
      </c>
      <c r="B9" s="39" t="s">
        <v>77</v>
      </c>
      <c r="C9" s="20"/>
      <c r="D9" s="20" t="s">
        <v>56</v>
      </c>
      <c r="E9" s="20">
        <v>1</v>
      </c>
      <c r="F9" s="21">
        <v>333</v>
      </c>
      <c r="G9" s="22">
        <v>0.9</v>
      </c>
      <c r="H9" s="23">
        <f t="shared" si="0"/>
        <v>299.7</v>
      </c>
      <c r="I9" s="23">
        <f t="shared" si="1"/>
        <v>299.7</v>
      </c>
    </row>
    <row r="10" s="13" customFormat="1" ht="20" customHeight="1" spans="1:9">
      <c r="A10" s="20">
        <v>9</v>
      </c>
      <c r="B10" s="24" t="s">
        <v>134</v>
      </c>
      <c r="C10" s="20"/>
      <c r="D10" s="20" t="s">
        <v>15</v>
      </c>
      <c r="E10" s="20">
        <v>5</v>
      </c>
      <c r="F10" s="29">
        <v>5.6</v>
      </c>
      <c r="G10" s="22">
        <v>0.9</v>
      </c>
      <c r="H10" s="23">
        <f t="shared" si="0"/>
        <v>5.04</v>
      </c>
      <c r="I10" s="23">
        <f t="shared" si="1"/>
        <v>25.2</v>
      </c>
    </row>
    <row r="11" s="13" customFormat="1" ht="20" customHeight="1" spans="1:9">
      <c r="A11" s="20">
        <v>10</v>
      </c>
      <c r="B11" s="24" t="s">
        <v>217</v>
      </c>
      <c r="C11" s="20"/>
      <c r="D11" s="20" t="s">
        <v>15</v>
      </c>
      <c r="E11" s="20">
        <v>15</v>
      </c>
      <c r="F11" s="21">
        <v>3.9</v>
      </c>
      <c r="G11" s="22">
        <v>0.9</v>
      </c>
      <c r="H11" s="23">
        <f t="shared" si="0"/>
        <v>3.51</v>
      </c>
      <c r="I11" s="23">
        <f t="shared" si="1"/>
        <v>52.65</v>
      </c>
    </row>
    <row r="12" s="13" customFormat="1" ht="20" customHeight="1" spans="1:9">
      <c r="A12" s="20">
        <v>11</v>
      </c>
      <c r="B12" s="24" t="s">
        <v>20</v>
      </c>
      <c r="C12" s="20"/>
      <c r="D12" s="20" t="s">
        <v>15</v>
      </c>
      <c r="E12" s="20">
        <v>2</v>
      </c>
      <c r="F12" s="29">
        <v>9</v>
      </c>
      <c r="G12" s="22">
        <v>0.9</v>
      </c>
      <c r="H12" s="23">
        <f t="shared" si="0"/>
        <v>8.1</v>
      </c>
      <c r="I12" s="23">
        <f t="shared" si="1"/>
        <v>16.2</v>
      </c>
    </row>
    <row r="13" s="13" customFormat="1" ht="20" customHeight="1" spans="1:9">
      <c r="A13" s="20">
        <v>12</v>
      </c>
      <c r="B13" s="24" t="s">
        <v>233</v>
      </c>
      <c r="C13" s="20">
        <v>3</v>
      </c>
      <c r="D13" s="20" t="s">
        <v>15</v>
      </c>
      <c r="E13" s="20">
        <v>4.8</v>
      </c>
      <c r="F13" s="21">
        <v>16.9</v>
      </c>
      <c r="G13" s="22">
        <v>0.9</v>
      </c>
      <c r="H13" s="23">
        <f t="shared" si="0"/>
        <v>15.21</v>
      </c>
      <c r="I13" s="23">
        <f t="shared" si="1"/>
        <v>73.008</v>
      </c>
    </row>
    <row r="14" s="13" customFormat="1" ht="20" customHeight="1" spans="1:9">
      <c r="A14" s="20">
        <v>13</v>
      </c>
      <c r="B14" s="39" t="s">
        <v>164</v>
      </c>
      <c r="C14" s="20"/>
      <c r="D14" s="20" t="s">
        <v>15</v>
      </c>
      <c r="E14" s="20">
        <v>2</v>
      </c>
      <c r="F14" s="21">
        <v>3.8</v>
      </c>
      <c r="G14" s="22">
        <v>0.9</v>
      </c>
      <c r="H14" s="23">
        <f t="shared" si="0"/>
        <v>3.42</v>
      </c>
      <c r="I14" s="23">
        <f t="shared" si="1"/>
        <v>6.84</v>
      </c>
    </row>
    <row r="15" s="13" customFormat="1" ht="20" customHeight="1" spans="1:9">
      <c r="A15" s="20">
        <v>14</v>
      </c>
      <c r="B15" s="24" t="s">
        <v>195</v>
      </c>
      <c r="C15" s="20"/>
      <c r="D15" s="20" t="s">
        <v>15</v>
      </c>
      <c r="E15" s="20">
        <v>3</v>
      </c>
      <c r="F15" s="21">
        <v>10.89</v>
      </c>
      <c r="G15" s="22">
        <v>0.9</v>
      </c>
      <c r="H15" s="23">
        <f t="shared" si="0"/>
        <v>9.801</v>
      </c>
      <c r="I15" s="23">
        <f t="shared" si="1"/>
        <v>29.403</v>
      </c>
    </row>
    <row r="16" s="13" customFormat="1" ht="20" customHeight="1" spans="1:9">
      <c r="A16" s="20">
        <v>15</v>
      </c>
      <c r="B16" s="39" t="s">
        <v>175</v>
      </c>
      <c r="C16" s="20"/>
      <c r="D16" s="20" t="s">
        <v>15</v>
      </c>
      <c r="E16" s="20">
        <v>6</v>
      </c>
      <c r="F16" s="21">
        <v>10</v>
      </c>
      <c r="G16" s="22">
        <v>0.9</v>
      </c>
      <c r="H16" s="23">
        <f t="shared" si="0"/>
        <v>9</v>
      </c>
      <c r="I16" s="23">
        <f t="shared" si="1"/>
        <v>54</v>
      </c>
    </row>
    <row r="17" s="13" customFormat="1" ht="20" customHeight="1" spans="1:9">
      <c r="A17" s="20">
        <v>16</v>
      </c>
      <c r="B17" s="24" t="s">
        <v>234</v>
      </c>
      <c r="C17" s="20"/>
      <c r="D17" s="20" t="s">
        <v>41</v>
      </c>
      <c r="E17" s="20">
        <v>40</v>
      </c>
      <c r="F17" s="21">
        <v>4.15</v>
      </c>
      <c r="G17" s="22">
        <v>0.9</v>
      </c>
      <c r="H17" s="23">
        <f t="shared" si="0"/>
        <v>3.735</v>
      </c>
      <c r="I17" s="23">
        <f t="shared" si="1"/>
        <v>149.4</v>
      </c>
    </row>
    <row r="18" s="13" customFormat="1" ht="20" customHeight="1" spans="1:9">
      <c r="A18" s="20">
        <v>17</v>
      </c>
      <c r="B18" s="24" t="s">
        <v>147</v>
      </c>
      <c r="C18" s="20"/>
      <c r="D18" s="20" t="s">
        <v>15</v>
      </c>
      <c r="E18" s="20">
        <v>2</v>
      </c>
      <c r="F18" s="41">
        <v>3.3</v>
      </c>
      <c r="G18" s="22">
        <v>0.9</v>
      </c>
      <c r="H18" s="23">
        <f t="shared" si="0"/>
        <v>2.97</v>
      </c>
      <c r="I18" s="23">
        <f t="shared" si="1"/>
        <v>5.94</v>
      </c>
    </row>
    <row r="19" s="13" customFormat="1" ht="20" customHeight="1" spans="1:9">
      <c r="A19" s="20">
        <v>18</v>
      </c>
      <c r="B19" s="33" t="s">
        <v>17</v>
      </c>
      <c r="C19" s="20"/>
      <c r="D19" s="20" t="s">
        <v>15</v>
      </c>
      <c r="E19" s="20">
        <v>8</v>
      </c>
      <c r="F19" s="41">
        <v>3.8</v>
      </c>
      <c r="G19" s="22">
        <v>0.9</v>
      </c>
      <c r="H19" s="23">
        <f t="shared" si="0"/>
        <v>3.42</v>
      </c>
      <c r="I19" s="23">
        <f t="shared" si="1"/>
        <v>27.36</v>
      </c>
    </row>
    <row r="20" s="13" customFormat="1" ht="20" customHeight="1" spans="1:9">
      <c r="A20" s="20">
        <v>19</v>
      </c>
      <c r="B20" s="39" t="s">
        <v>143</v>
      </c>
      <c r="C20" s="20"/>
      <c r="D20" s="20" t="s">
        <v>15</v>
      </c>
      <c r="E20" s="20">
        <v>10</v>
      </c>
      <c r="F20" s="29">
        <v>18</v>
      </c>
      <c r="G20" s="22">
        <v>0.9</v>
      </c>
      <c r="H20" s="23">
        <f t="shared" si="0"/>
        <v>16.2</v>
      </c>
      <c r="I20" s="23">
        <f t="shared" si="1"/>
        <v>162</v>
      </c>
    </row>
    <row r="21" s="16" customFormat="1" ht="20" customHeight="1" spans="1:9">
      <c r="A21" s="34"/>
      <c r="B21" s="34" t="s">
        <v>127</v>
      </c>
      <c r="C21" s="34"/>
      <c r="D21" s="34"/>
      <c r="E21" s="34"/>
      <c r="F21" s="35"/>
      <c r="G21" s="36"/>
      <c r="H21" s="37"/>
      <c r="I21" s="37">
        <f>SUM(I2:I20)</f>
        <v>1485.702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opLeftCell="A7" workbookViewId="0">
      <selection activeCell="A1" sqref="$A1:$XFD1048576"/>
    </sheetView>
  </sheetViews>
  <sheetFormatPr defaultColWidth="10.775" defaultRowHeight="20" customHeight="1"/>
  <cols>
    <col min="1" max="1" width="5.66666666666667" style="13" customWidth="1"/>
    <col min="2" max="2" width="14.1083333333333" style="13" customWidth="1"/>
    <col min="3" max="5" width="5.66666666666667" style="13" customWidth="1"/>
    <col min="6" max="6" width="7.66666666666667" style="17" customWidth="1"/>
    <col min="7" max="7" width="7.66666666666667" style="18" customWidth="1"/>
    <col min="8" max="8" width="9.33333333333333" style="19" customWidth="1"/>
    <col min="9" max="9" width="13.1083333333333" style="19" customWidth="1"/>
    <col min="10" max="16380" width="10.775" style="13" customWidth="1"/>
    <col min="16381" max="16384" width="10.775" style="13"/>
  </cols>
  <sheetData>
    <row r="1" s="13" customFormat="1" customHeight="1" spans="1:9">
      <c r="A1" s="20" t="s">
        <v>4</v>
      </c>
      <c r="B1" s="20" t="s">
        <v>128</v>
      </c>
      <c r="C1" s="20" t="s">
        <v>6</v>
      </c>
      <c r="D1" s="20" t="s">
        <v>7</v>
      </c>
      <c r="E1" s="20" t="s">
        <v>8</v>
      </c>
      <c r="F1" s="21" t="s">
        <v>129</v>
      </c>
      <c r="G1" s="22" t="s">
        <v>10</v>
      </c>
      <c r="H1" s="23" t="s">
        <v>11</v>
      </c>
      <c r="I1" s="23" t="s">
        <v>126</v>
      </c>
    </row>
    <row r="2" s="13" customFormat="1" customHeight="1" spans="1:9">
      <c r="A2" s="20">
        <v>1</v>
      </c>
      <c r="B2" s="39" t="s">
        <v>171</v>
      </c>
      <c r="C2" s="20">
        <v>13</v>
      </c>
      <c r="D2" s="20" t="s">
        <v>15</v>
      </c>
      <c r="E2" s="20">
        <v>18</v>
      </c>
      <c r="F2" s="21">
        <v>15.33</v>
      </c>
      <c r="G2" s="22">
        <v>0.9</v>
      </c>
      <c r="H2" s="23">
        <f t="shared" ref="H2:H21" si="0">G2*F2</f>
        <v>13.797</v>
      </c>
      <c r="I2" s="23">
        <f t="shared" ref="I2:I21" si="1">H2*E2</f>
        <v>248.346</v>
      </c>
    </row>
    <row r="3" s="13" customFormat="1" customHeight="1" spans="1:9">
      <c r="A3" s="20">
        <v>2</v>
      </c>
      <c r="B3" s="24" t="s">
        <v>69</v>
      </c>
      <c r="C3" s="20"/>
      <c r="D3" s="20" t="s">
        <v>15</v>
      </c>
      <c r="E3" s="20">
        <v>6</v>
      </c>
      <c r="F3" s="41">
        <v>5.33</v>
      </c>
      <c r="G3" s="22">
        <v>0.9</v>
      </c>
      <c r="H3" s="23">
        <f t="shared" si="0"/>
        <v>4.797</v>
      </c>
      <c r="I3" s="23">
        <f t="shared" si="1"/>
        <v>28.782</v>
      </c>
    </row>
    <row r="4" s="13" customFormat="1" customHeight="1" spans="1:9">
      <c r="A4" s="20">
        <v>3</v>
      </c>
      <c r="B4" s="24" t="s">
        <v>235</v>
      </c>
      <c r="C4" s="20"/>
      <c r="D4" s="20" t="s">
        <v>15</v>
      </c>
      <c r="E4" s="20">
        <v>17</v>
      </c>
      <c r="F4" s="21">
        <v>6</v>
      </c>
      <c r="G4" s="22">
        <v>0.9</v>
      </c>
      <c r="H4" s="23">
        <f t="shared" si="0"/>
        <v>5.4</v>
      </c>
      <c r="I4" s="23">
        <f t="shared" si="1"/>
        <v>91.8</v>
      </c>
    </row>
    <row r="5" s="13" customFormat="1" customHeight="1" spans="1:9">
      <c r="A5" s="20">
        <v>4</v>
      </c>
      <c r="B5" s="24" t="s">
        <v>217</v>
      </c>
      <c r="C5" s="20"/>
      <c r="D5" s="20" t="s">
        <v>15</v>
      </c>
      <c r="E5" s="20">
        <v>8</v>
      </c>
      <c r="F5" s="21">
        <v>3.9</v>
      </c>
      <c r="G5" s="22">
        <v>0.9</v>
      </c>
      <c r="H5" s="23">
        <f t="shared" si="0"/>
        <v>3.51</v>
      </c>
      <c r="I5" s="23">
        <f t="shared" si="1"/>
        <v>28.08</v>
      </c>
    </row>
    <row r="6" s="13" customFormat="1" customHeight="1" spans="1:9">
      <c r="A6" s="20">
        <v>5</v>
      </c>
      <c r="B6" s="24" t="s">
        <v>165</v>
      </c>
      <c r="C6" s="20"/>
      <c r="D6" s="20" t="s">
        <v>15</v>
      </c>
      <c r="E6" s="20">
        <v>15</v>
      </c>
      <c r="F6" s="21">
        <v>2.8</v>
      </c>
      <c r="G6" s="22">
        <v>0.9</v>
      </c>
      <c r="H6" s="23">
        <f t="shared" si="0"/>
        <v>2.52</v>
      </c>
      <c r="I6" s="23">
        <f t="shared" si="1"/>
        <v>37.8</v>
      </c>
    </row>
    <row r="7" s="13" customFormat="1" customHeight="1" spans="1:9">
      <c r="A7" s="20">
        <v>6</v>
      </c>
      <c r="B7" s="24" t="s">
        <v>236</v>
      </c>
      <c r="C7" s="20" t="s">
        <v>60</v>
      </c>
      <c r="D7" s="20" t="s">
        <v>38</v>
      </c>
      <c r="E7" s="20">
        <v>60</v>
      </c>
      <c r="F7" s="21">
        <v>3.89</v>
      </c>
      <c r="G7" s="22">
        <v>0.9</v>
      </c>
      <c r="H7" s="23">
        <f t="shared" si="0"/>
        <v>3.501</v>
      </c>
      <c r="I7" s="23">
        <f t="shared" si="1"/>
        <v>210.06</v>
      </c>
    </row>
    <row r="8" s="13" customFormat="1" customHeight="1" spans="1:9">
      <c r="A8" s="20">
        <v>7</v>
      </c>
      <c r="B8" s="24" t="s">
        <v>195</v>
      </c>
      <c r="C8" s="20"/>
      <c r="D8" s="20" t="s">
        <v>15</v>
      </c>
      <c r="E8" s="20">
        <v>5</v>
      </c>
      <c r="F8" s="41">
        <v>10.89</v>
      </c>
      <c r="G8" s="22">
        <v>0.9</v>
      </c>
      <c r="H8" s="23">
        <f t="shared" si="0"/>
        <v>9.801</v>
      </c>
      <c r="I8" s="23">
        <f t="shared" si="1"/>
        <v>49.005</v>
      </c>
    </row>
    <row r="9" s="13" customFormat="1" customHeight="1" spans="1:9">
      <c r="A9" s="20">
        <v>8</v>
      </c>
      <c r="B9" s="27" t="s">
        <v>143</v>
      </c>
      <c r="C9" s="20"/>
      <c r="D9" s="20" t="s">
        <v>15</v>
      </c>
      <c r="E9" s="20">
        <v>2</v>
      </c>
      <c r="F9" s="42">
        <v>18</v>
      </c>
      <c r="G9" s="22">
        <v>0.9</v>
      </c>
      <c r="H9" s="23">
        <f t="shared" si="0"/>
        <v>16.2</v>
      </c>
      <c r="I9" s="23">
        <f t="shared" si="1"/>
        <v>32.4</v>
      </c>
    </row>
    <row r="10" s="13" customFormat="1" customHeight="1" spans="1:9">
      <c r="A10" s="20">
        <v>9</v>
      </c>
      <c r="B10" s="24" t="s">
        <v>137</v>
      </c>
      <c r="C10" s="20"/>
      <c r="D10" s="20" t="s">
        <v>15</v>
      </c>
      <c r="E10" s="20">
        <v>5</v>
      </c>
      <c r="F10" s="45">
        <v>5.3</v>
      </c>
      <c r="G10" s="22">
        <v>0.9</v>
      </c>
      <c r="H10" s="23">
        <f t="shared" si="0"/>
        <v>4.77</v>
      </c>
      <c r="I10" s="23">
        <f t="shared" si="1"/>
        <v>23.85</v>
      </c>
    </row>
    <row r="11" s="13" customFormat="1" customHeight="1" spans="1:9">
      <c r="A11" s="20">
        <v>10</v>
      </c>
      <c r="B11" s="24" t="s">
        <v>20</v>
      </c>
      <c r="C11" s="20"/>
      <c r="D11" s="20" t="s">
        <v>15</v>
      </c>
      <c r="E11" s="20">
        <v>5</v>
      </c>
      <c r="F11" s="45">
        <v>9</v>
      </c>
      <c r="G11" s="22">
        <v>0.9</v>
      </c>
      <c r="H11" s="23">
        <f t="shared" si="0"/>
        <v>8.1</v>
      </c>
      <c r="I11" s="23">
        <f t="shared" si="1"/>
        <v>40.5</v>
      </c>
    </row>
    <row r="12" s="13" customFormat="1" customHeight="1" spans="1:9">
      <c r="A12" s="20">
        <v>11</v>
      </c>
      <c r="B12" s="24" t="s">
        <v>237</v>
      </c>
      <c r="C12" s="20" t="s">
        <v>83</v>
      </c>
      <c r="D12" s="20" t="s">
        <v>133</v>
      </c>
      <c r="E12" s="20">
        <v>12</v>
      </c>
      <c r="F12" s="21">
        <v>12</v>
      </c>
      <c r="G12" s="22">
        <v>0.9</v>
      </c>
      <c r="H12" s="23">
        <f t="shared" si="0"/>
        <v>10.8</v>
      </c>
      <c r="I12" s="23">
        <f t="shared" si="1"/>
        <v>129.6</v>
      </c>
    </row>
    <row r="13" s="13" customFormat="1" customHeight="1" spans="1:9">
      <c r="A13" s="20">
        <v>12</v>
      </c>
      <c r="B13" s="24" t="s">
        <v>69</v>
      </c>
      <c r="C13" s="20"/>
      <c r="D13" s="20" t="s">
        <v>15</v>
      </c>
      <c r="E13" s="20">
        <v>4</v>
      </c>
      <c r="F13" s="41">
        <v>5.33</v>
      </c>
      <c r="G13" s="22">
        <v>0.9</v>
      </c>
      <c r="H13" s="23">
        <f t="shared" si="0"/>
        <v>4.797</v>
      </c>
      <c r="I13" s="23">
        <f t="shared" si="1"/>
        <v>19.188</v>
      </c>
    </row>
    <row r="14" s="13" customFormat="1" customHeight="1" spans="1:9">
      <c r="A14" s="20">
        <v>13</v>
      </c>
      <c r="B14" s="26" t="s">
        <v>195</v>
      </c>
      <c r="C14" s="20"/>
      <c r="D14" s="20" t="s">
        <v>15</v>
      </c>
      <c r="E14" s="20">
        <v>5</v>
      </c>
      <c r="F14" s="46">
        <v>10.89</v>
      </c>
      <c r="G14" s="22">
        <v>0.9</v>
      </c>
      <c r="H14" s="23">
        <f t="shared" si="0"/>
        <v>9.801</v>
      </c>
      <c r="I14" s="23">
        <f t="shared" si="1"/>
        <v>49.005</v>
      </c>
    </row>
    <row r="15" s="13" customFormat="1" customHeight="1" spans="1:9">
      <c r="A15" s="20">
        <v>14</v>
      </c>
      <c r="B15" s="24" t="s">
        <v>147</v>
      </c>
      <c r="C15" s="20"/>
      <c r="D15" s="20" t="s">
        <v>15</v>
      </c>
      <c r="E15" s="20">
        <v>4</v>
      </c>
      <c r="F15" s="21">
        <v>3.3</v>
      </c>
      <c r="G15" s="22">
        <v>0.9</v>
      </c>
      <c r="H15" s="23">
        <f t="shared" si="0"/>
        <v>2.97</v>
      </c>
      <c r="I15" s="23">
        <f t="shared" si="1"/>
        <v>11.88</v>
      </c>
    </row>
    <row r="16" s="13" customFormat="1" customHeight="1" spans="1:9">
      <c r="A16" s="20">
        <v>15</v>
      </c>
      <c r="B16" s="33" t="s">
        <v>17</v>
      </c>
      <c r="C16" s="20"/>
      <c r="D16" s="20" t="s">
        <v>15</v>
      </c>
      <c r="E16" s="20">
        <v>13</v>
      </c>
      <c r="F16" s="21">
        <v>3.8</v>
      </c>
      <c r="G16" s="22">
        <v>0.9</v>
      </c>
      <c r="H16" s="23">
        <f t="shared" si="0"/>
        <v>3.42</v>
      </c>
      <c r="I16" s="23">
        <f t="shared" si="1"/>
        <v>44.46</v>
      </c>
    </row>
    <row r="17" s="13" customFormat="1" customHeight="1" spans="1:9">
      <c r="A17" s="20">
        <v>16</v>
      </c>
      <c r="B17" s="24" t="s">
        <v>74</v>
      </c>
      <c r="C17" s="20"/>
      <c r="D17" s="20" t="s">
        <v>15</v>
      </c>
      <c r="E17" s="20">
        <v>2</v>
      </c>
      <c r="F17" s="42">
        <v>3.8</v>
      </c>
      <c r="G17" s="22">
        <v>0.9</v>
      </c>
      <c r="H17" s="23">
        <f t="shared" si="0"/>
        <v>3.42</v>
      </c>
      <c r="I17" s="23">
        <f t="shared" si="1"/>
        <v>6.84</v>
      </c>
    </row>
    <row r="18" s="13" customFormat="1" customHeight="1" spans="1:9">
      <c r="A18" s="20">
        <v>17</v>
      </c>
      <c r="B18" s="27" t="s">
        <v>143</v>
      </c>
      <c r="C18" s="20"/>
      <c r="D18" s="20" t="s">
        <v>15</v>
      </c>
      <c r="E18" s="20">
        <v>4</v>
      </c>
      <c r="F18" s="42">
        <v>18</v>
      </c>
      <c r="G18" s="22">
        <v>0.9</v>
      </c>
      <c r="H18" s="23">
        <f t="shared" si="0"/>
        <v>16.2</v>
      </c>
      <c r="I18" s="23">
        <f t="shared" si="1"/>
        <v>64.8</v>
      </c>
    </row>
    <row r="19" s="13" customFormat="1" customHeight="1" spans="1:9">
      <c r="A19" s="20">
        <v>18</v>
      </c>
      <c r="B19" s="24" t="s">
        <v>18</v>
      </c>
      <c r="C19" s="20"/>
      <c r="D19" s="20" t="s">
        <v>15</v>
      </c>
      <c r="E19" s="20">
        <v>4</v>
      </c>
      <c r="F19" s="21">
        <v>4.95</v>
      </c>
      <c r="G19" s="22">
        <v>0.9</v>
      </c>
      <c r="H19" s="23">
        <f t="shared" si="0"/>
        <v>4.455</v>
      </c>
      <c r="I19" s="23">
        <f t="shared" si="1"/>
        <v>17.82</v>
      </c>
    </row>
    <row r="20" s="13" customFormat="1" customHeight="1" spans="1:9">
      <c r="A20" s="20">
        <v>19</v>
      </c>
      <c r="B20" s="24" t="s">
        <v>16</v>
      </c>
      <c r="C20" s="20"/>
      <c r="D20" s="20" t="s">
        <v>15</v>
      </c>
      <c r="E20" s="20">
        <v>6</v>
      </c>
      <c r="F20" s="21">
        <v>4</v>
      </c>
      <c r="G20" s="22">
        <v>0.9</v>
      </c>
      <c r="H20" s="23">
        <f t="shared" si="0"/>
        <v>3.6</v>
      </c>
      <c r="I20" s="23">
        <f t="shared" si="1"/>
        <v>21.6</v>
      </c>
    </row>
    <row r="21" s="44" customFormat="1" customHeight="1" spans="1:9">
      <c r="A21" s="20">
        <v>20</v>
      </c>
      <c r="B21" s="24" t="s">
        <v>176</v>
      </c>
      <c r="C21" s="28"/>
      <c r="D21" s="28" t="s">
        <v>15</v>
      </c>
      <c r="E21" s="28">
        <v>10</v>
      </c>
      <c r="F21" s="29">
        <v>8</v>
      </c>
      <c r="G21" s="30">
        <v>0.9</v>
      </c>
      <c r="H21" s="31">
        <f t="shared" si="0"/>
        <v>7.2</v>
      </c>
      <c r="I21" s="31">
        <f t="shared" si="1"/>
        <v>72</v>
      </c>
    </row>
    <row r="22" s="44" customFormat="1" customHeight="1" spans="1:9">
      <c r="A22" s="20"/>
      <c r="B22" s="24"/>
      <c r="C22" s="28"/>
      <c r="D22" s="28"/>
      <c r="E22" s="28"/>
      <c r="F22" s="29"/>
      <c r="G22" s="30"/>
      <c r="H22" s="31"/>
      <c r="I22" s="31"/>
    </row>
    <row r="23" s="16" customFormat="1" customHeight="1" spans="1:9">
      <c r="A23" s="34"/>
      <c r="B23" s="34" t="s">
        <v>127</v>
      </c>
      <c r="C23" s="34"/>
      <c r="D23" s="34"/>
      <c r="E23" s="34"/>
      <c r="F23" s="35"/>
      <c r="G23" s="36"/>
      <c r="H23" s="37"/>
      <c r="I23" s="37">
        <f>SUM(I2:I21)</f>
        <v>1227.816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opLeftCell="A7" workbookViewId="0">
      <selection activeCell="A1" sqref="$A1:$XFD1048576"/>
    </sheetView>
  </sheetViews>
  <sheetFormatPr defaultColWidth="10.775" defaultRowHeight="12"/>
  <cols>
    <col min="1" max="1" width="5.66666666666667" style="13" customWidth="1"/>
    <col min="2" max="2" width="18.6666666666667" style="13" customWidth="1"/>
    <col min="3" max="5" width="5.66666666666667" style="13" customWidth="1"/>
    <col min="6" max="6" width="7.66666666666667" style="17" customWidth="1"/>
    <col min="7" max="7" width="7.66666666666667" style="18" customWidth="1"/>
    <col min="8" max="8" width="9.33333333333333" style="19" customWidth="1"/>
    <col min="9" max="9" width="13.1083333333333" style="19" customWidth="1"/>
    <col min="10" max="16381" width="10.775" style="13" customWidth="1"/>
    <col min="16382" max="16384" width="10.775" style="13"/>
  </cols>
  <sheetData>
    <row r="1" s="13" customFormat="1" ht="20" customHeight="1" spans="1:9">
      <c r="A1" s="20" t="s">
        <v>4</v>
      </c>
      <c r="B1" s="20" t="s">
        <v>128</v>
      </c>
      <c r="C1" s="20" t="s">
        <v>6</v>
      </c>
      <c r="D1" s="20" t="s">
        <v>7</v>
      </c>
      <c r="E1" s="20" t="s">
        <v>8</v>
      </c>
      <c r="F1" s="21" t="s">
        <v>129</v>
      </c>
      <c r="G1" s="22" t="s">
        <v>10</v>
      </c>
      <c r="H1" s="23" t="s">
        <v>11</v>
      </c>
      <c r="I1" s="23" t="s">
        <v>126</v>
      </c>
    </row>
    <row r="2" s="13" customFormat="1" ht="20" customHeight="1" spans="1:9">
      <c r="A2" s="20">
        <v>1</v>
      </c>
      <c r="B2" s="24" t="s">
        <v>130</v>
      </c>
      <c r="C2" s="20"/>
      <c r="D2" s="20" t="s">
        <v>15</v>
      </c>
      <c r="E2" s="20">
        <v>5</v>
      </c>
      <c r="F2" s="29">
        <v>8.4</v>
      </c>
      <c r="G2" s="22">
        <v>0.9</v>
      </c>
      <c r="H2" s="23">
        <f t="shared" ref="H2:H19" si="0">G2*F2</f>
        <v>7.56</v>
      </c>
      <c r="I2" s="23">
        <f t="shared" ref="I2:I19" si="1">H2*E2</f>
        <v>37.8</v>
      </c>
    </row>
    <row r="3" s="13" customFormat="1" ht="20" customHeight="1" spans="1:9">
      <c r="A3" s="20">
        <v>2</v>
      </c>
      <c r="B3" s="24" t="s">
        <v>134</v>
      </c>
      <c r="C3" s="20"/>
      <c r="D3" s="20" t="s">
        <v>15</v>
      </c>
      <c r="E3" s="20">
        <v>19</v>
      </c>
      <c r="F3" s="29">
        <v>5.6</v>
      </c>
      <c r="G3" s="22">
        <v>0.9</v>
      </c>
      <c r="H3" s="23">
        <f t="shared" si="0"/>
        <v>5.04</v>
      </c>
      <c r="I3" s="23">
        <f t="shared" si="1"/>
        <v>95.76</v>
      </c>
    </row>
    <row r="4" s="13" customFormat="1" ht="20" customHeight="1" spans="1:9">
      <c r="A4" s="20">
        <v>3</v>
      </c>
      <c r="B4" s="24" t="s">
        <v>144</v>
      </c>
      <c r="C4" s="20"/>
      <c r="D4" s="20" t="s">
        <v>145</v>
      </c>
      <c r="E4" s="20">
        <v>8</v>
      </c>
      <c r="F4" s="29">
        <v>5</v>
      </c>
      <c r="G4" s="22">
        <v>0.9</v>
      </c>
      <c r="H4" s="23">
        <f t="shared" si="0"/>
        <v>4.5</v>
      </c>
      <c r="I4" s="23">
        <f t="shared" si="1"/>
        <v>36</v>
      </c>
    </row>
    <row r="5" s="13" customFormat="1" ht="20" customHeight="1" spans="1:9">
      <c r="A5" s="20">
        <v>4</v>
      </c>
      <c r="B5" s="27" t="s">
        <v>136</v>
      </c>
      <c r="C5" s="20"/>
      <c r="D5" s="20" t="s">
        <v>15</v>
      </c>
      <c r="E5" s="20">
        <v>10</v>
      </c>
      <c r="F5" s="40">
        <v>31</v>
      </c>
      <c r="G5" s="22">
        <v>0.9</v>
      </c>
      <c r="H5" s="23">
        <f t="shared" si="0"/>
        <v>27.9</v>
      </c>
      <c r="I5" s="23">
        <f t="shared" si="1"/>
        <v>279</v>
      </c>
    </row>
    <row r="6" s="13" customFormat="1" ht="20" customHeight="1" spans="1:9">
      <c r="A6" s="20">
        <v>5</v>
      </c>
      <c r="B6" s="33" t="s">
        <v>188</v>
      </c>
      <c r="C6" s="20"/>
      <c r="D6" s="20" t="s">
        <v>15</v>
      </c>
      <c r="E6" s="20">
        <v>10</v>
      </c>
      <c r="F6" s="21">
        <v>6.7</v>
      </c>
      <c r="G6" s="22">
        <v>0.9</v>
      </c>
      <c r="H6" s="23">
        <f t="shared" si="0"/>
        <v>6.03</v>
      </c>
      <c r="I6" s="23">
        <f t="shared" si="1"/>
        <v>60.3</v>
      </c>
    </row>
    <row r="7" s="13" customFormat="1" ht="20" customHeight="1" spans="1:9">
      <c r="A7" s="20">
        <v>6</v>
      </c>
      <c r="B7" s="27" t="s">
        <v>138</v>
      </c>
      <c r="C7" s="20"/>
      <c r="D7" s="20" t="s">
        <v>15</v>
      </c>
      <c r="E7" s="20">
        <v>5</v>
      </c>
      <c r="F7" s="40">
        <v>20</v>
      </c>
      <c r="G7" s="22">
        <v>0.9</v>
      </c>
      <c r="H7" s="23">
        <f t="shared" si="0"/>
        <v>18</v>
      </c>
      <c r="I7" s="23">
        <f t="shared" si="1"/>
        <v>90</v>
      </c>
    </row>
    <row r="8" s="13" customFormat="1" ht="20" customHeight="1" spans="1:9">
      <c r="A8" s="20">
        <v>7</v>
      </c>
      <c r="B8" s="24" t="s">
        <v>25</v>
      </c>
      <c r="C8" s="20"/>
      <c r="D8" s="20" t="s">
        <v>15</v>
      </c>
      <c r="E8" s="20">
        <v>14</v>
      </c>
      <c r="F8" s="21">
        <v>5.9</v>
      </c>
      <c r="G8" s="22">
        <v>0.9</v>
      </c>
      <c r="H8" s="23">
        <f t="shared" si="0"/>
        <v>5.31</v>
      </c>
      <c r="I8" s="23">
        <f t="shared" si="1"/>
        <v>74.34</v>
      </c>
    </row>
    <row r="9" s="13" customFormat="1" ht="20" customHeight="1" spans="1:9">
      <c r="A9" s="20">
        <v>8</v>
      </c>
      <c r="B9" s="24" t="s">
        <v>19</v>
      </c>
      <c r="C9" s="20"/>
      <c r="D9" s="20" t="s">
        <v>15</v>
      </c>
      <c r="E9" s="20">
        <v>7</v>
      </c>
      <c r="F9" s="42">
        <v>2.22</v>
      </c>
      <c r="G9" s="22">
        <v>0.9</v>
      </c>
      <c r="H9" s="23">
        <f t="shared" si="0"/>
        <v>1.998</v>
      </c>
      <c r="I9" s="23">
        <f t="shared" si="1"/>
        <v>13.986</v>
      </c>
    </row>
    <row r="10" s="13" customFormat="1" ht="20" customHeight="1" spans="1:9">
      <c r="A10" s="20">
        <v>9</v>
      </c>
      <c r="B10" s="24" t="s">
        <v>238</v>
      </c>
      <c r="C10" s="20"/>
      <c r="D10" s="20" t="s">
        <v>15</v>
      </c>
      <c r="E10" s="20">
        <v>9.1</v>
      </c>
      <c r="F10" s="21">
        <v>35</v>
      </c>
      <c r="G10" s="22">
        <v>0.9</v>
      </c>
      <c r="H10" s="23">
        <f t="shared" si="0"/>
        <v>31.5</v>
      </c>
      <c r="I10" s="23">
        <f t="shared" si="1"/>
        <v>286.65</v>
      </c>
    </row>
    <row r="11" s="13" customFormat="1" ht="20" customHeight="1" spans="1:9">
      <c r="A11" s="20">
        <v>10</v>
      </c>
      <c r="B11" s="24" t="s">
        <v>76</v>
      </c>
      <c r="C11" s="20" t="s">
        <v>205</v>
      </c>
      <c r="D11" s="20" t="s">
        <v>15</v>
      </c>
      <c r="E11" s="20">
        <v>21.8</v>
      </c>
      <c r="F11" s="21">
        <v>6.9</v>
      </c>
      <c r="G11" s="22">
        <v>0.9</v>
      </c>
      <c r="H11" s="23">
        <f t="shared" si="0"/>
        <v>6.21</v>
      </c>
      <c r="I11" s="23">
        <f t="shared" si="1"/>
        <v>135.378</v>
      </c>
    </row>
    <row r="12" s="13" customFormat="1" ht="20" customHeight="1" spans="1:9">
      <c r="A12" s="20">
        <v>11</v>
      </c>
      <c r="B12" s="24" t="s">
        <v>153</v>
      </c>
      <c r="C12" s="20"/>
      <c r="D12" s="20" t="s">
        <v>15</v>
      </c>
      <c r="E12" s="20">
        <v>3</v>
      </c>
      <c r="F12" s="42">
        <v>10</v>
      </c>
      <c r="G12" s="22">
        <v>0.9</v>
      </c>
      <c r="H12" s="23">
        <f t="shared" si="0"/>
        <v>9</v>
      </c>
      <c r="I12" s="23">
        <f t="shared" si="1"/>
        <v>27</v>
      </c>
    </row>
    <row r="13" s="13" customFormat="1" ht="20" customHeight="1" spans="1:9">
      <c r="A13" s="20">
        <v>12</v>
      </c>
      <c r="B13" s="24" t="s">
        <v>115</v>
      </c>
      <c r="C13" s="20"/>
      <c r="D13" s="20" t="s">
        <v>15</v>
      </c>
      <c r="E13" s="20">
        <v>6</v>
      </c>
      <c r="F13" s="41">
        <v>48.89</v>
      </c>
      <c r="G13" s="22">
        <v>0.9</v>
      </c>
      <c r="H13" s="23">
        <f t="shared" si="0"/>
        <v>44.001</v>
      </c>
      <c r="I13" s="23">
        <f t="shared" si="1"/>
        <v>264.006</v>
      </c>
    </row>
    <row r="14" s="13" customFormat="1" ht="20" customHeight="1" spans="1:9">
      <c r="A14" s="20">
        <v>13</v>
      </c>
      <c r="B14" s="24" t="s">
        <v>36</v>
      </c>
      <c r="C14" s="20"/>
      <c r="D14" s="20" t="s">
        <v>41</v>
      </c>
      <c r="E14" s="20">
        <v>45</v>
      </c>
      <c r="F14" s="21">
        <v>3.56</v>
      </c>
      <c r="G14" s="22">
        <v>0.9</v>
      </c>
      <c r="H14" s="23">
        <f t="shared" si="0"/>
        <v>3.204</v>
      </c>
      <c r="I14" s="23">
        <f t="shared" si="1"/>
        <v>144.18</v>
      </c>
    </row>
    <row r="15" s="13" customFormat="1" ht="20" customHeight="1" spans="1:9">
      <c r="A15" s="20">
        <v>14</v>
      </c>
      <c r="B15" s="33" t="s">
        <v>17</v>
      </c>
      <c r="C15" s="20"/>
      <c r="D15" s="20" t="s">
        <v>15</v>
      </c>
      <c r="E15" s="20">
        <v>8</v>
      </c>
      <c r="F15" s="21">
        <v>3.8</v>
      </c>
      <c r="G15" s="22">
        <v>0.9</v>
      </c>
      <c r="H15" s="23">
        <f t="shared" si="0"/>
        <v>3.42</v>
      </c>
      <c r="I15" s="23">
        <f t="shared" si="1"/>
        <v>27.36</v>
      </c>
    </row>
    <row r="16" s="13" customFormat="1" ht="20" customHeight="1" spans="1:9">
      <c r="A16" s="20">
        <v>15</v>
      </c>
      <c r="B16" s="24" t="s">
        <v>239</v>
      </c>
      <c r="C16" s="20"/>
      <c r="D16" s="20" t="s">
        <v>15</v>
      </c>
      <c r="E16" s="20">
        <v>3</v>
      </c>
      <c r="F16" s="42">
        <v>3.3</v>
      </c>
      <c r="G16" s="22">
        <v>0.9</v>
      </c>
      <c r="H16" s="23">
        <f t="shared" si="0"/>
        <v>2.97</v>
      </c>
      <c r="I16" s="23">
        <f t="shared" si="1"/>
        <v>8.91</v>
      </c>
    </row>
    <row r="17" s="13" customFormat="1" ht="20" customHeight="1" spans="1:9">
      <c r="A17" s="20">
        <v>16</v>
      </c>
      <c r="B17" s="24" t="s">
        <v>158</v>
      </c>
      <c r="C17" s="20"/>
      <c r="D17" s="20" t="s">
        <v>15</v>
      </c>
      <c r="E17" s="20">
        <v>1</v>
      </c>
      <c r="F17" s="42">
        <v>7.5</v>
      </c>
      <c r="G17" s="22">
        <v>0.9</v>
      </c>
      <c r="H17" s="23">
        <f t="shared" si="0"/>
        <v>6.75</v>
      </c>
      <c r="I17" s="23">
        <f t="shared" si="1"/>
        <v>6.75</v>
      </c>
    </row>
    <row r="18" s="13" customFormat="1" ht="20" customHeight="1" spans="1:9">
      <c r="A18" s="20">
        <v>17</v>
      </c>
      <c r="B18" s="24" t="s">
        <v>221</v>
      </c>
      <c r="C18" s="20"/>
      <c r="D18" s="20" t="s">
        <v>15</v>
      </c>
      <c r="E18" s="20">
        <v>5</v>
      </c>
      <c r="F18" s="21">
        <v>6.6</v>
      </c>
      <c r="G18" s="22">
        <v>0.9</v>
      </c>
      <c r="H18" s="23">
        <f t="shared" si="0"/>
        <v>5.94</v>
      </c>
      <c r="I18" s="23">
        <f t="shared" si="1"/>
        <v>29.7</v>
      </c>
    </row>
    <row r="19" s="13" customFormat="1" ht="20" customHeight="1" spans="1:9">
      <c r="A19" s="20">
        <v>18</v>
      </c>
      <c r="B19" s="24" t="s">
        <v>19</v>
      </c>
      <c r="C19" s="20"/>
      <c r="D19" s="20" t="s">
        <v>15</v>
      </c>
      <c r="E19" s="20">
        <v>4</v>
      </c>
      <c r="F19" s="42">
        <v>2.22</v>
      </c>
      <c r="G19" s="22">
        <v>0.9</v>
      </c>
      <c r="H19" s="23">
        <f t="shared" si="0"/>
        <v>1.998</v>
      </c>
      <c r="I19" s="23">
        <f t="shared" si="1"/>
        <v>7.992</v>
      </c>
    </row>
    <row r="20" s="16" customFormat="1" ht="20" customHeight="1" spans="1:9">
      <c r="A20" s="34"/>
      <c r="B20" s="34" t="s">
        <v>127</v>
      </c>
      <c r="C20" s="34"/>
      <c r="D20" s="34"/>
      <c r="E20" s="34"/>
      <c r="F20" s="35"/>
      <c r="G20" s="36"/>
      <c r="H20" s="37"/>
      <c r="I20" s="37">
        <f>SUM(I2:I19)</f>
        <v>1625.112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13" workbookViewId="0">
      <selection activeCell="A1" sqref="$A1:$XFD1048576"/>
    </sheetView>
  </sheetViews>
  <sheetFormatPr defaultColWidth="10.775" defaultRowHeight="12"/>
  <cols>
    <col min="1" max="1" width="5.44166666666667" style="13" customWidth="1"/>
    <col min="2" max="2" width="17.6666666666667" style="13" customWidth="1"/>
    <col min="3" max="3" width="8.66666666666667" style="13" customWidth="1"/>
    <col min="4" max="4" width="5.44166666666667" style="13" customWidth="1"/>
    <col min="5" max="5" width="5.66666666666667" style="13" customWidth="1"/>
    <col min="6" max="6" width="8.66666666666667" style="17" customWidth="1"/>
    <col min="7" max="7" width="7.33333333333333" style="18" customWidth="1"/>
    <col min="8" max="8" width="9.66666666666667" style="19" customWidth="1"/>
    <col min="9" max="9" width="13.1083333333333" style="19" customWidth="1"/>
    <col min="10" max="16381" width="10.775" style="13" customWidth="1"/>
    <col min="16382" max="16384" width="10.775" style="13"/>
  </cols>
  <sheetData>
    <row r="1" s="13" customFormat="1" ht="20" customHeight="1" spans="1:9">
      <c r="A1" s="20" t="s">
        <v>4</v>
      </c>
      <c r="B1" s="20" t="s">
        <v>128</v>
      </c>
      <c r="C1" s="20" t="s">
        <v>6</v>
      </c>
      <c r="D1" s="20" t="s">
        <v>7</v>
      </c>
      <c r="E1" s="20" t="s">
        <v>8</v>
      </c>
      <c r="F1" s="21" t="s">
        <v>129</v>
      </c>
      <c r="G1" s="22" t="s">
        <v>10</v>
      </c>
      <c r="H1" s="23" t="s">
        <v>11</v>
      </c>
      <c r="I1" s="23" t="s">
        <v>126</v>
      </c>
    </row>
    <row r="2" s="13" customFormat="1" ht="20" customHeight="1" spans="1:9">
      <c r="A2" s="20">
        <v>1</v>
      </c>
      <c r="B2" s="24" t="s">
        <v>240</v>
      </c>
      <c r="C2" s="20" t="s">
        <v>241</v>
      </c>
      <c r="D2" s="20" t="s">
        <v>56</v>
      </c>
      <c r="E2" s="20">
        <v>1</v>
      </c>
      <c r="F2" s="21">
        <v>240</v>
      </c>
      <c r="G2" s="22">
        <v>0.9</v>
      </c>
      <c r="H2" s="23">
        <f t="shared" ref="H2:H20" si="0">G2*F2</f>
        <v>216</v>
      </c>
      <c r="I2" s="23">
        <f t="shared" ref="I2:I27" si="1">H2*E2</f>
        <v>216</v>
      </c>
    </row>
    <row r="3" s="13" customFormat="1" ht="20" customHeight="1" spans="1:9">
      <c r="A3" s="20">
        <v>2</v>
      </c>
      <c r="B3" s="24" t="s">
        <v>242</v>
      </c>
      <c r="C3" s="21" t="s">
        <v>243</v>
      </c>
      <c r="D3" s="20" t="s">
        <v>56</v>
      </c>
      <c r="E3" s="20">
        <v>1</v>
      </c>
      <c r="F3" s="21">
        <v>156</v>
      </c>
      <c r="G3" s="22">
        <v>0.9</v>
      </c>
      <c r="H3" s="23">
        <f t="shared" si="0"/>
        <v>140.4</v>
      </c>
      <c r="I3" s="23">
        <f t="shared" si="1"/>
        <v>140.4</v>
      </c>
    </row>
    <row r="4" s="13" customFormat="1" ht="20" customHeight="1" spans="1:9">
      <c r="A4" s="20">
        <v>3</v>
      </c>
      <c r="B4" s="24" t="s">
        <v>244</v>
      </c>
      <c r="C4" s="20" t="s">
        <v>245</v>
      </c>
      <c r="D4" s="20" t="s">
        <v>56</v>
      </c>
      <c r="E4" s="20">
        <v>1</v>
      </c>
      <c r="F4" s="21">
        <v>108</v>
      </c>
      <c r="G4" s="22">
        <v>0.9</v>
      </c>
      <c r="H4" s="23">
        <f t="shared" si="0"/>
        <v>97.2</v>
      </c>
      <c r="I4" s="23">
        <f t="shared" si="1"/>
        <v>97.2</v>
      </c>
    </row>
    <row r="5" s="13" customFormat="1" ht="20" customHeight="1" spans="1:9">
      <c r="A5" s="20">
        <v>4</v>
      </c>
      <c r="B5" s="24" t="s">
        <v>217</v>
      </c>
      <c r="C5" s="20"/>
      <c r="D5" s="20" t="s">
        <v>15</v>
      </c>
      <c r="E5" s="20">
        <v>11</v>
      </c>
      <c r="F5" s="21">
        <v>3.9</v>
      </c>
      <c r="G5" s="22">
        <v>0.9</v>
      </c>
      <c r="H5" s="23">
        <f t="shared" si="0"/>
        <v>3.51</v>
      </c>
      <c r="I5" s="23">
        <f t="shared" si="1"/>
        <v>38.61</v>
      </c>
    </row>
    <row r="6" s="13" customFormat="1" ht="20" customHeight="1" spans="1:9">
      <c r="A6" s="20">
        <v>5</v>
      </c>
      <c r="B6" s="24" t="s">
        <v>73</v>
      </c>
      <c r="C6" s="20" t="s">
        <v>246</v>
      </c>
      <c r="D6" s="20" t="s">
        <v>15</v>
      </c>
      <c r="E6" s="20">
        <v>6</v>
      </c>
      <c r="F6" s="21">
        <v>19.98</v>
      </c>
      <c r="G6" s="22">
        <v>0.9</v>
      </c>
      <c r="H6" s="23">
        <f t="shared" si="0"/>
        <v>17.982</v>
      </c>
      <c r="I6" s="23">
        <f t="shared" si="1"/>
        <v>107.892</v>
      </c>
    </row>
    <row r="7" s="13" customFormat="1" ht="20" customHeight="1" spans="1:9">
      <c r="A7" s="20">
        <v>6</v>
      </c>
      <c r="B7" s="27" t="s">
        <v>137</v>
      </c>
      <c r="C7" s="20"/>
      <c r="D7" s="20" t="s">
        <v>15</v>
      </c>
      <c r="E7" s="20">
        <v>2</v>
      </c>
      <c r="F7" s="40">
        <v>5.3</v>
      </c>
      <c r="G7" s="22">
        <v>0.9</v>
      </c>
      <c r="H7" s="23">
        <f t="shared" si="0"/>
        <v>4.77</v>
      </c>
      <c r="I7" s="23">
        <f t="shared" si="1"/>
        <v>9.54</v>
      </c>
    </row>
    <row r="8" s="13" customFormat="1" ht="20" customHeight="1" spans="1:9">
      <c r="A8" s="20">
        <v>7</v>
      </c>
      <c r="B8" s="27" t="s">
        <v>20</v>
      </c>
      <c r="C8" s="20"/>
      <c r="D8" s="20" t="s">
        <v>15</v>
      </c>
      <c r="E8" s="20">
        <v>2</v>
      </c>
      <c r="F8" s="40">
        <v>9</v>
      </c>
      <c r="G8" s="22">
        <v>0.9</v>
      </c>
      <c r="H8" s="23">
        <f t="shared" si="0"/>
        <v>8.1</v>
      </c>
      <c r="I8" s="23">
        <f t="shared" si="1"/>
        <v>16.2</v>
      </c>
    </row>
    <row r="9" s="13" customFormat="1" ht="20" customHeight="1" spans="1:9">
      <c r="A9" s="20">
        <v>8</v>
      </c>
      <c r="B9" s="24" t="s">
        <v>90</v>
      </c>
      <c r="C9" s="20"/>
      <c r="D9" s="20" t="s">
        <v>15</v>
      </c>
      <c r="E9" s="20">
        <v>5</v>
      </c>
      <c r="F9" s="42">
        <v>3.3</v>
      </c>
      <c r="G9" s="22">
        <v>0.9</v>
      </c>
      <c r="H9" s="23">
        <f t="shared" si="0"/>
        <v>2.97</v>
      </c>
      <c r="I9" s="23">
        <f t="shared" si="1"/>
        <v>14.85</v>
      </c>
    </row>
    <row r="10" s="13" customFormat="1" ht="20" customHeight="1" spans="1:9">
      <c r="A10" s="20">
        <v>9</v>
      </c>
      <c r="B10" s="26" t="s">
        <v>247</v>
      </c>
      <c r="C10" s="20"/>
      <c r="D10" s="20" t="s">
        <v>15</v>
      </c>
      <c r="E10" s="20">
        <v>8</v>
      </c>
      <c r="F10" s="21">
        <v>18</v>
      </c>
      <c r="G10" s="22">
        <v>0.9</v>
      </c>
      <c r="H10" s="23">
        <f t="shared" si="0"/>
        <v>16.2</v>
      </c>
      <c r="I10" s="23">
        <f t="shared" si="1"/>
        <v>129.6</v>
      </c>
    </row>
    <row r="11" s="13" customFormat="1" ht="20" customHeight="1" spans="1:9">
      <c r="A11" s="20">
        <v>10</v>
      </c>
      <c r="B11" s="24" t="s">
        <v>102</v>
      </c>
      <c r="C11" s="20"/>
      <c r="D11" s="20" t="s">
        <v>15</v>
      </c>
      <c r="E11" s="20">
        <v>6</v>
      </c>
      <c r="F11" s="21">
        <v>6.44</v>
      </c>
      <c r="G11" s="22">
        <v>0.9</v>
      </c>
      <c r="H11" s="23">
        <f t="shared" si="0"/>
        <v>5.796</v>
      </c>
      <c r="I11" s="23">
        <f t="shared" si="1"/>
        <v>34.776</v>
      </c>
    </row>
    <row r="12" s="13" customFormat="1" ht="20" customHeight="1" spans="1:9">
      <c r="A12" s="20">
        <v>11</v>
      </c>
      <c r="B12" s="24" t="s">
        <v>68</v>
      </c>
      <c r="C12" s="20"/>
      <c r="D12" s="20" t="s">
        <v>15</v>
      </c>
      <c r="E12" s="20">
        <v>4</v>
      </c>
      <c r="F12" s="29">
        <v>9</v>
      </c>
      <c r="G12" s="22">
        <v>0.9</v>
      </c>
      <c r="H12" s="23">
        <f t="shared" si="0"/>
        <v>8.1</v>
      </c>
      <c r="I12" s="23">
        <f t="shared" si="1"/>
        <v>32.4</v>
      </c>
    </row>
    <row r="13" s="13" customFormat="1" ht="20" customHeight="1" spans="1:9">
      <c r="A13" s="20">
        <v>12</v>
      </c>
      <c r="B13" s="24" t="s">
        <v>75</v>
      </c>
      <c r="C13" s="20"/>
      <c r="D13" s="20" t="s">
        <v>15</v>
      </c>
      <c r="E13" s="20">
        <v>14</v>
      </c>
      <c r="F13" s="29">
        <v>5</v>
      </c>
      <c r="G13" s="22">
        <v>0.9</v>
      </c>
      <c r="H13" s="23">
        <f t="shared" si="0"/>
        <v>4.5</v>
      </c>
      <c r="I13" s="23">
        <f t="shared" si="1"/>
        <v>63</v>
      </c>
    </row>
    <row r="14" s="13" customFormat="1" ht="20" customHeight="1" spans="1:9">
      <c r="A14" s="20">
        <v>13</v>
      </c>
      <c r="B14" s="39" t="s">
        <v>166</v>
      </c>
      <c r="C14" s="20">
        <v>7</v>
      </c>
      <c r="D14" s="20" t="s">
        <v>15</v>
      </c>
      <c r="E14" s="20">
        <v>9</v>
      </c>
      <c r="F14" s="21">
        <v>25</v>
      </c>
      <c r="G14" s="22">
        <v>0.9</v>
      </c>
      <c r="H14" s="23">
        <f t="shared" si="0"/>
        <v>22.5</v>
      </c>
      <c r="I14" s="23">
        <f t="shared" si="1"/>
        <v>202.5</v>
      </c>
    </row>
    <row r="15" s="13" customFormat="1" ht="20" customHeight="1" spans="1:9">
      <c r="A15" s="20">
        <v>14</v>
      </c>
      <c r="B15" s="39" t="s">
        <v>164</v>
      </c>
      <c r="C15" s="20"/>
      <c r="D15" s="20" t="s">
        <v>15</v>
      </c>
      <c r="E15" s="20">
        <v>6</v>
      </c>
      <c r="F15" s="21">
        <v>3.8</v>
      </c>
      <c r="G15" s="22">
        <v>0.9</v>
      </c>
      <c r="H15" s="23">
        <f t="shared" si="0"/>
        <v>3.42</v>
      </c>
      <c r="I15" s="23">
        <f t="shared" si="1"/>
        <v>20.52</v>
      </c>
    </row>
    <row r="16" s="13" customFormat="1" ht="20" customHeight="1" spans="1:9">
      <c r="A16" s="20">
        <v>15</v>
      </c>
      <c r="B16" s="24" t="s">
        <v>105</v>
      </c>
      <c r="C16" s="20" t="s">
        <v>248</v>
      </c>
      <c r="D16" s="20" t="s">
        <v>15</v>
      </c>
      <c r="E16" s="20">
        <v>22.6</v>
      </c>
      <c r="F16" s="21">
        <v>5</v>
      </c>
      <c r="G16" s="22">
        <v>0.9</v>
      </c>
      <c r="H16" s="23">
        <f t="shared" si="0"/>
        <v>4.5</v>
      </c>
      <c r="I16" s="23">
        <f t="shared" si="1"/>
        <v>101.7</v>
      </c>
    </row>
    <row r="17" s="13" customFormat="1" ht="20" customHeight="1" spans="1:9">
      <c r="A17" s="20">
        <v>16</v>
      </c>
      <c r="B17" s="27" t="s">
        <v>143</v>
      </c>
      <c r="C17" s="20"/>
      <c r="D17" s="20" t="s">
        <v>15</v>
      </c>
      <c r="E17" s="20">
        <v>3</v>
      </c>
      <c r="F17" s="21">
        <v>18</v>
      </c>
      <c r="G17" s="22">
        <v>0.9</v>
      </c>
      <c r="H17" s="23">
        <f t="shared" si="0"/>
        <v>16.2</v>
      </c>
      <c r="I17" s="23">
        <f t="shared" si="1"/>
        <v>48.6</v>
      </c>
    </row>
    <row r="18" s="13" customFormat="1" ht="20" customHeight="1" spans="1:9">
      <c r="A18" s="20">
        <v>17</v>
      </c>
      <c r="B18" s="24" t="s">
        <v>66</v>
      </c>
      <c r="C18" s="20"/>
      <c r="D18" s="20" t="s">
        <v>15</v>
      </c>
      <c r="E18" s="20">
        <v>9</v>
      </c>
      <c r="F18" s="21">
        <v>10</v>
      </c>
      <c r="G18" s="22">
        <v>0.9</v>
      </c>
      <c r="H18" s="23">
        <f t="shared" si="0"/>
        <v>9</v>
      </c>
      <c r="I18" s="23">
        <f t="shared" si="1"/>
        <v>81</v>
      </c>
    </row>
    <row r="19" s="13" customFormat="1" ht="20" customHeight="1" spans="1:9">
      <c r="A19" s="20">
        <v>18</v>
      </c>
      <c r="B19" s="24" t="s">
        <v>249</v>
      </c>
      <c r="C19" s="28" t="s">
        <v>170</v>
      </c>
      <c r="D19" s="28" t="s">
        <v>56</v>
      </c>
      <c r="E19" s="28">
        <v>2</v>
      </c>
      <c r="F19" s="29">
        <v>360</v>
      </c>
      <c r="G19" s="30">
        <v>0.9</v>
      </c>
      <c r="H19" s="31">
        <f t="shared" si="0"/>
        <v>324</v>
      </c>
      <c r="I19" s="31">
        <f t="shared" si="1"/>
        <v>648</v>
      </c>
    </row>
    <row r="20" s="16" customFormat="1" ht="20" customHeight="1" spans="1:9">
      <c r="A20" s="20">
        <v>19</v>
      </c>
      <c r="B20" s="24" t="s">
        <v>61</v>
      </c>
      <c r="C20" s="28"/>
      <c r="D20" s="28" t="s">
        <v>15</v>
      </c>
      <c r="E20" s="28">
        <v>5</v>
      </c>
      <c r="F20" s="29">
        <v>90</v>
      </c>
      <c r="G20" s="30">
        <v>0.9</v>
      </c>
      <c r="H20" s="31">
        <f t="shared" si="0"/>
        <v>81</v>
      </c>
      <c r="I20" s="31">
        <f t="shared" si="1"/>
        <v>405</v>
      </c>
    </row>
    <row r="21" s="16" customFormat="1" ht="20" customHeight="1" spans="1:9">
      <c r="A21" s="20">
        <v>20</v>
      </c>
      <c r="B21" s="39" t="s">
        <v>184</v>
      </c>
      <c r="C21" s="43"/>
      <c r="D21" s="43" t="s">
        <v>15</v>
      </c>
      <c r="E21" s="43">
        <v>2</v>
      </c>
      <c r="F21" s="21">
        <v>56</v>
      </c>
      <c r="G21" s="22">
        <v>0.9</v>
      </c>
      <c r="H21" s="23">
        <f>F21*G21</f>
        <v>50.4</v>
      </c>
      <c r="I21" s="23">
        <f t="shared" si="1"/>
        <v>100.8</v>
      </c>
    </row>
    <row r="22" s="16" customFormat="1" ht="20" customHeight="1" spans="1:9">
      <c r="A22" s="20">
        <v>21</v>
      </c>
      <c r="B22" s="24" t="s">
        <v>45</v>
      </c>
      <c r="C22" s="28"/>
      <c r="D22" s="28" t="s">
        <v>15</v>
      </c>
      <c r="E22" s="28">
        <v>2</v>
      </c>
      <c r="F22" s="40">
        <v>3.8</v>
      </c>
      <c r="G22" s="30">
        <v>0.9</v>
      </c>
      <c r="H22" s="31">
        <f t="shared" ref="H22:H27" si="2">G22*F22</f>
        <v>3.42</v>
      </c>
      <c r="I22" s="31">
        <f t="shared" si="1"/>
        <v>6.84</v>
      </c>
    </row>
    <row r="23" s="16" customFormat="1" ht="20" customHeight="1" spans="1:9">
      <c r="A23" s="20">
        <v>22</v>
      </c>
      <c r="B23" s="27" t="s">
        <v>143</v>
      </c>
      <c r="C23" s="28"/>
      <c r="D23" s="28" t="s">
        <v>15</v>
      </c>
      <c r="E23" s="28">
        <v>2</v>
      </c>
      <c r="F23" s="29">
        <v>18</v>
      </c>
      <c r="G23" s="30">
        <v>0.9</v>
      </c>
      <c r="H23" s="31">
        <f t="shared" si="2"/>
        <v>16.2</v>
      </c>
      <c r="I23" s="31">
        <f t="shared" si="1"/>
        <v>32.4</v>
      </c>
    </row>
    <row r="24" s="16" customFormat="1" ht="20" customHeight="1" spans="1:9">
      <c r="A24" s="20">
        <v>23</v>
      </c>
      <c r="B24" s="24" t="s">
        <v>144</v>
      </c>
      <c r="C24" s="28"/>
      <c r="D24" s="28" t="s">
        <v>145</v>
      </c>
      <c r="E24" s="28">
        <v>8</v>
      </c>
      <c r="F24" s="29">
        <v>5</v>
      </c>
      <c r="G24" s="30">
        <v>0.9</v>
      </c>
      <c r="H24" s="31">
        <f t="shared" si="2"/>
        <v>4.5</v>
      </c>
      <c r="I24" s="31">
        <f t="shared" si="1"/>
        <v>36</v>
      </c>
    </row>
    <row r="25" s="16" customFormat="1" ht="20" customHeight="1" spans="1:9">
      <c r="A25" s="20">
        <v>24</v>
      </c>
      <c r="B25" s="24" t="s">
        <v>239</v>
      </c>
      <c r="C25" s="28"/>
      <c r="D25" s="28" t="s">
        <v>15</v>
      </c>
      <c r="E25" s="28">
        <v>5</v>
      </c>
      <c r="F25" s="29">
        <v>3.3</v>
      </c>
      <c r="G25" s="30">
        <v>0.9</v>
      </c>
      <c r="H25" s="31">
        <f t="shared" si="2"/>
        <v>2.97</v>
      </c>
      <c r="I25" s="31">
        <f t="shared" si="1"/>
        <v>14.85</v>
      </c>
    </row>
    <row r="26" s="16" customFormat="1" ht="20" customHeight="1" spans="1:9">
      <c r="A26" s="20">
        <v>25</v>
      </c>
      <c r="B26" s="33" t="s">
        <v>17</v>
      </c>
      <c r="C26" s="28"/>
      <c r="D26" s="28" t="s">
        <v>15</v>
      </c>
      <c r="E26" s="28">
        <v>9</v>
      </c>
      <c r="F26" s="29">
        <v>3.8</v>
      </c>
      <c r="G26" s="30">
        <v>0.9</v>
      </c>
      <c r="H26" s="31">
        <f t="shared" si="2"/>
        <v>3.42</v>
      </c>
      <c r="I26" s="31">
        <f t="shared" si="1"/>
        <v>30.78</v>
      </c>
    </row>
    <row r="27" s="16" customFormat="1" ht="20" customHeight="1" spans="1:9">
      <c r="A27" s="20">
        <v>26</v>
      </c>
      <c r="B27" s="24" t="s">
        <v>36</v>
      </c>
      <c r="C27" s="28"/>
      <c r="D27" s="28" t="s">
        <v>22</v>
      </c>
      <c r="E27" s="28">
        <v>45</v>
      </c>
      <c r="F27" s="29">
        <v>3.56</v>
      </c>
      <c r="G27" s="30">
        <v>0.9</v>
      </c>
      <c r="H27" s="31">
        <f t="shared" si="2"/>
        <v>3.204</v>
      </c>
      <c r="I27" s="31">
        <f t="shared" si="1"/>
        <v>144.18</v>
      </c>
    </row>
    <row r="28" s="16" customFormat="1" ht="20" customHeight="1" spans="1:9">
      <c r="A28" s="34"/>
      <c r="B28" s="34" t="s">
        <v>127</v>
      </c>
      <c r="C28" s="34"/>
      <c r="D28" s="34"/>
      <c r="E28" s="34"/>
      <c r="F28" s="35"/>
      <c r="G28" s="36"/>
      <c r="H28" s="37"/>
      <c r="I28" s="38">
        <f>SUM(I2:I27)</f>
        <v>2773.638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9" workbookViewId="0">
      <selection activeCell="K19" sqref="K19"/>
    </sheetView>
  </sheetViews>
  <sheetFormatPr defaultColWidth="10.775" defaultRowHeight="20" customHeight="1"/>
  <cols>
    <col min="1" max="1" width="5.44166666666667" style="13" customWidth="1"/>
    <col min="2" max="2" width="15.5583333333333" style="13" customWidth="1"/>
    <col min="3" max="3" width="5.66666666666667" style="13" customWidth="1"/>
    <col min="4" max="5" width="5.44166666666667" style="13" customWidth="1"/>
    <col min="6" max="6" width="8.66666666666667" style="17" customWidth="1"/>
    <col min="7" max="7" width="7.33333333333333" style="18" customWidth="1"/>
    <col min="8" max="8" width="9.66666666666667" style="19" customWidth="1"/>
    <col min="9" max="9" width="13.1083333333333" style="19" customWidth="1"/>
    <col min="10" max="16380" width="10.775" style="13" customWidth="1"/>
    <col min="16381" max="16384" width="10.775" style="13"/>
  </cols>
  <sheetData>
    <row r="1" s="13" customFormat="1" customHeight="1" spans="1:9">
      <c r="A1" s="20" t="s">
        <v>4</v>
      </c>
      <c r="B1" s="20" t="s">
        <v>128</v>
      </c>
      <c r="C1" s="20" t="s">
        <v>6</v>
      </c>
      <c r="D1" s="20" t="s">
        <v>7</v>
      </c>
      <c r="E1" s="20" t="s">
        <v>8</v>
      </c>
      <c r="F1" s="21" t="s">
        <v>129</v>
      </c>
      <c r="G1" s="22" t="s">
        <v>10</v>
      </c>
      <c r="H1" s="23" t="s">
        <v>11</v>
      </c>
      <c r="I1" s="23" t="s">
        <v>126</v>
      </c>
    </row>
    <row r="2" s="13" customFormat="1" customHeight="1" spans="1:9">
      <c r="A2" s="20">
        <v>1</v>
      </c>
      <c r="B2" s="24" t="s">
        <v>131</v>
      </c>
      <c r="C2" s="20" t="s">
        <v>132</v>
      </c>
      <c r="D2" s="20" t="s">
        <v>133</v>
      </c>
      <c r="E2" s="20">
        <v>10</v>
      </c>
      <c r="F2" s="29">
        <v>2.6</v>
      </c>
      <c r="G2" s="22">
        <v>0.9</v>
      </c>
      <c r="H2" s="23">
        <f t="shared" ref="H2:H24" si="0">G2*F2</f>
        <v>2.34</v>
      </c>
      <c r="I2" s="23">
        <f t="shared" ref="I2:I24" si="1">H2*E2</f>
        <v>23.4</v>
      </c>
    </row>
    <row r="3" s="13" customFormat="1" customHeight="1" spans="1:9">
      <c r="A3" s="20">
        <v>2</v>
      </c>
      <c r="B3" s="24" t="s">
        <v>250</v>
      </c>
      <c r="C3" s="20" t="s">
        <v>132</v>
      </c>
      <c r="D3" s="20" t="s">
        <v>41</v>
      </c>
      <c r="E3" s="20">
        <v>5</v>
      </c>
      <c r="F3" s="21">
        <v>14.5</v>
      </c>
      <c r="G3" s="22">
        <v>0.9</v>
      </c>
      <c r="H3" s="23">
        <f t="shared" si="0"/>
        <v>13.05</v>
      </c>
      <c r="I3" s="23">
        <f t="shared" si="1"/>
        <v>65.25</v>
      </c>
    </row>
    <row r="4" s="13" customFormat="1" customHeight="1" spans="1:9">
      <c r="A4" s="20">
        <v>3</v>
      </c>
      <c r="B4" s="24" t="s">
        <v>251</v>
      </c>
      <c r="C4" s="20" t="s">
        <v>252</v>
      </c>
      <c r="D4" s="20" t="s">
        <v>41</v>
      </c>
      <c r="E4" s="20">
        <v>3</v>
      </c>
      <c r="F4" s="21">
        <v>15.6</v>
      </c>
      <c r="G4" s="22">
        <v>0.9</v>
      </c>
      <c r="H4" s="23">
        <f t="shared" si="0"/>
        <v>14.04</v>
      </c>
      <c r="I4" s="23">
        <f t="shared" si="1"/>
        <v>42.12</v>
      </c>
    </row>
    <row r="5" s="13" customFormat="1" customHeight="1" spans="1:9">
      <c r="A5" s="20">
        <v>4</v>
      </c>
      <c r="B5" s="24" t="s">
        <v>253</v>
      </c>
      <c r="C5" s="20"/>
      <c r="D5" s="20" t="s">
        <v>15</v>
      </c>
      <c r="E5" s="20">
        <v>5</v>
      </c>
      <c r="F5" s="21">
        <v>23</v>
      </c>
      <c r="G5" s="22">
        <v>0.9</v>
      </c>
      <c r="H5" s="23">
        <f t="shared" si="0"/>
        <v>20.7</v>
      </c>
      <c r="I5" s="23">
        <f t="shared" si="1"/>
        <v>103.5</v>
      </c>
    </row>
    <row r="6" s="13" customFormat="1" customHeight="1" spans="1:9">
      <c r="A6" s="20">
        <v>5</v>
      </c>
      <c r="B6" s="24" t="s">
        <v>254</v>
      </c>
      <c r="C6" s="20"/>
      <c r="D6" s="20" t="s">
        <v>15</v>
      </c>
      <c r="E6" s="20">
        <v>14</v>
      </c>
      <c r="F6" s="21">
        <v>19.9</v>
      </c>
      <c r="G6" s="22">
        <v>0.9</v>
      </c>
      <c r="H6" s="23">
        <f t="shared" si="0"/>
        <v>17.91</v>
      </c>
      <c r="I6" s="23">
        <f t="shared" si="1"/>
        <v>250.74</v>
      </c>
    </row>
    <row r="7" s="13" customFormat="1" customHeight="1" spans="1:9">
      <c r="A7" s="20">
        <v>6</v>
      </c>
      <c r="B7" s="24" t="s">
        <v>69</v>
      </c>
      <c r="C7" s="20"/>
      <c r="D7" s="20" t="s">
        <v>15</v>
      </c>
      <c r="E7" s="20">
        <v>5</v>
      </c>
      <c r="F7" s="21">
        <v>5.33</v>
      </c>
      <c r="G7" s="22">
        <v>0.9</v>
      </c>
      <c r="H7" s="23">
        <f t="shared" si="0"/>
        <v>4.797</v>
      </c>
      <c r="I7" s="23">
        <f t="shared" si="1"/>
        <v>23.985</v>
      </c>
    </row>
    <row r="8" s="13" customFormat="1" customHeight="1" spans="1:9">
      <c r="A8" s="20">
        <v>7</v>
      </c>
      <c r="B8" s="24" t="s">
        <v>255</v>
      </c>
      <c r="C8" s="20"/>
      <c r="D8" s="20" t="s">
        <v>15</v>
      </c>
      <c r="E8" s="20">
        <v>3</v>
      </c>
      <c r="F8" s="21">
        <v>6.7</v>
      </c>
      <c r="G8" s="22">
        <v>0.9</v>
      </c>
      <c r="H8" s="23">
        <f t="shared" si="0"/>
        <v>6.03</v>
      </c>
      <c r="I8" s="23">
        <f t="shared" si="1"/>
        <v>18.09</v>
      </c>
    </row>
    <row r="9" s="13" customFormat="1" customHeight="1" spans="1:9">
      <c r="A9" s="20">
        <v>8</v>
      </c>
      <c r="B9" s="33" t="s">
        <v>188</v>
      </c>
      <c r="C9" s="20"/>
      <c r="D9" s="20" t="s">
        <v>15</v>
      </c>
      <c r="E9" s="20">
        <v>3</v>
      </c>
      <c r="F9" s="21">
        <v>6.7</v>
      </c>
      <c r="G9" s="22">
        <v>0.9</v>
      </c>
      <c r="H9" s="23">
        <f t="shared" si="0"/>
        <v>6.03</v>
      </c>
      <c r="I9" s="23">
        <f t="shared" si="1"/>
        <v>18.09</v>
      </c>
    </row>
    <row r="10" s="13" customFormat="1" customHeight="1" spans="1:9">
      <c r="A10" s="20">
        <v>9</v>
      </c>
      <c r="B10" s="24" t="s">
        <v>256</v>
      </c>
      <c r="C10" s="20"/>
      <c r="D10" s="20" t="s">
        <v>15</v>
      </c>
      <c r="E10" s="20">
        <v>8</v>
      </c>
      <c r="F10" s="21">
        <v>7</v>
      </c>
      <c r="G10" s="22">
        <v>0.9</v>
      </c>
      <c r="H10" s="23">
        <f t="shared" si="0"/>
        <v>6.3</v>
      </c>
      <c r="I10" s="23">
        <f t="shared" si="1"/>
        <v>50.4</v>
      </c>
    </row>
    <row r="11" s="13" customFormat="1" customHeight="1" spans="1:9">
      <c r="A11" s="20">
        <v>10</v>
      </c>
      <c r="B11" s="24" t="s">
        <v>137</v>
      </c>
      <c r="C11" s="20"/>
      <c r="D11" s="20" t="s">
        <v>15</v>
      </c>
      <c r="E11" s="20">
        <v>16</v>
      </c>
      <c r="F11" s="40">
        <v>5.3</v>
      </c>
      <c r="G11" s="22">
        <v>0.9</v>
      </c>
      <c r="H11" s="23">
        <f t="shared" si="0"/>
        <v>4.77</v>
      </c>
      <c r="I11" s="23">
        <f t="shared" si="1"/>
        <v>76.32</v>
      </c>
    </row>
    <row r="12" s="13" customFormat="1" customHeight="1" spans="1:9">
      <c r="A12" s="20">
        <v>11</v>
      </c>
      <c r="B12" s="24" t="s">
        <v>25</v>
      </c>
      <c r="C12" s="20"/>
      <c r="D12" s="20" t="s">
        <v>15</v>
      </c>
      <c r="E12" s="20">
        <v>14</v>
      </c>
      <c r="F12" s="21">
        <v>5.9</v>
      </c>
      <c r="G12" s="22">
        <v>0.9</v>
      </c>
      <c r="H12" s="23">
        <f t="shared" si="0"/>
        <v>5.31</v>
      </c>
      <c r="I12" s="23">
        <f t="shared" si="1"/>
        <v>74.34</v>
      </c>
    </row>
    <row r="13" s="13" customFormat="1" customHeight="1" spans="1:9">
      <c r="A13" s="20">
        <v>12</v>
      </c>
      <c r="B13" s="24" t="s">
        <v>192</v>
      </c>
      <c r="C13" s="20"/>
      <c r="D13" s="20" t="s">
        <v>15</v>
      </c>
      <c r="E13" s="20">
        <v>4</v>
      </c>
      <c r="F13" s="21">
        <v>4.8</v>
      </c>
      <c r="G13" s="22">
        <v>0.9</v>
      </c>
      <c r="H13" s="23">
        <f t="shared" si="0"/>
        <v>4.32</v>
      </c>
      <c r="I13" s="23">
        <f t="shared" si="1"/>
        <v>17.28</v>
      </c>
    </row>
    <row r="14" s="13" customFormat="1" customHeight="1" spans="1:9">
      <c r="A14" s="20">
        <v>13</v>
      </c>
      <c r="B14" s="24" t="s">
        <v>257</v>
      </c>
      <c r="C14" s="20"/>
      <c r="D14" s="20" t="s">
        <v>41</v>
      </c>
      <c r="E14" s="20">
        <v>50</v>
      </c>
      <c r="F14" s="21">
        <v>5</v>
      </c>
      <c r="G14" s="22">
        <v>0.9</v>
      </c>
      <c r="H14" s="23">
        <f t="shared" si="0"/>
        <v>4.5</v>
      </c>
      <c r="I14" s="23">
        <f t="shared" si="1"/>
        <v>225</v>
      </c>
    </row>
    <row r="15" s="13" customFormat="1" customHeight="1" spans="1:9">
      <c r="A15" s="20">
        <v>14</v>
      </c>
      <c r="B15" s="24" t="s">
        <v>167</v>
      </c>
      <c r="C15" s="20"/>
      <c r="D15" s="20" t="s">
        <v>33</v>
      </c>
      <c r="E15" s="20">
        <v>2</v>
      </c>
      <c r="F15" s="21">
        <v>155</v>
      </c>
      <c r="G15" s="22">
        <v>0.9</v>
      </c>
      <c r="H15" s="23">
        <f t="shared" si="0"/>
        <v>139.5</v>
      </c>
      <c r="I15" s="23">
        <f t="shared" si="1"/>
        <v>279</v>
      </c>
    </row>
    <row r="16" s="13" customFormat="1" customHeight="1" spans="1:9">
      <c r="A16" s="20">
        <v>15</v>
      </c>
      <c r="B16" s="24" t="s">
        <v>215</v>
      </c>
      <c r="C16" s="20"/>
      <c r="D16" s="20" t="s">
        <v>33</v>
      </c>
      <c r="E16" s="20">
        <v>1</v>
      </c>
      <c r="F16" s="21">
        <v>39</v>
      </c>
      <c r="G16" s="22">
        <v>0.9</v>
      </c>
      <c r="H16" s="23">
        <f t="shared" si="0"/>
        <v>35.1</v>
      </c>
      <c r="I16" s="23">
        <f t="shared" si="1"/>
        <v>35.1</v>
      </c>
    </row>
    <row r="17" s="13" customFormat="1" customHeight="1" spans="1:9">
      <c r="A17" s="20">
        <v>16</v>
      </c>
      <c r="B17" s="24" t="s">
        <v>258</v>
      </c>
      <c r="C17" s="20"/>
      <c r="D17" s="20" t="s">
        <v>15</v>
      </c>
      <c r="E17" s="20">
        <v>3</v>
      </c>
      <c r="F17" s="21">
        <v>15.33</v>
      </c>
      <c r="G17" s="22">
        <v>0.9</v>
      </c>
      <c r="H17" s="23">
        <f t="shared" si="0"/>
        <v>13.797</v>
      </c>
      <c r="I17" s="23">
        <f t="shared" si="1"/>
        <v>41.391</v>
      </c>
    </row>
    <row r="18" s="13" customFormat="1" customHeight="1" spans="1:9">
      <c r="A18" s="20">
        <v>17</v>
      </c>
      <c r="B18" s="24" t="s">
        <v>195</v>
      </c>
      <c r="C18" s="20"/>
      <c r="D18" s="20" t="s">
        <v>15</v>
      </c>
      <c r="E18" s="20">
        <v>3</v>
      </c>
      <c r="F18" s="21">
        <v>10.89</v>
      </c>
      <c r="G18" s="22">
        <v>0.9</v>
      </c>
      <c r="H18" s="23">
        <f t="shared" si="0"/>
        <v>9.801</v>
      </c>
      <c r="I18" s="23">
        <f t="shared" si="1"/>
        <v>29.403</v>
      </c>
    </row>
    <row r="19" s="15" customFormat="1" customHeight="1" spans="1:9">
      <c r="A19" s="20">
        <v>18</v>
      </c>
      <c r="B19" s="33" t="s">
        <v>17</v>
      </c>
      <c r="C19" s="28"/>
      <c r="D19" s="20" t="s">
        <v>15</v>
      </c>
      <c r="E19" s="28">
        <v>12</v>
      </c>
      <c r="F19" s="29">
        <v>3.8</v>
      </c>
      <c r="G19" s="30">
        <v>0.9</v>
      </c>
      <c r="H19" s="31">
        <f t="shared" si="0"/>
        <v>3.42</v>
      </c>
      <c r="I19" s="31">
        <f t="shared" si="1"/>
        <v>41.04</v>
      </c>
    </row>
    <row r="20" s="15" customFormat="1" customHeight="1" spans="1:9">
      <c r="A20" s="20">
        <v>19</v>
      </c>
      <c r="B20" s="24" t="s">
        <v>239</v>
      </c>
      <c r="C20" s="28"/>
      <c r="D20" s="20" t="s">
        <v>15</v>
      </c>
      <c r="E20" s="28">
        <v>6</v>
      </c>
      <c r="F20" s="29">
        <v>3.3</v>
      </c>
      <c r="G20" s="30">
        <v>0.9</v>
      </c>
      <c r="H20" s="31">
        <f t="shared" si="0"/>
        <v>2.97</v>
      </c>
      <c r="I20" s="31">
        <f t="shared" si="1"/>
        <v>17.82</v>
      </c>
    </row>
    <row r="21" s="15" customFormat="1" customHeight="1" spans="1:9">
      <c r="A21" s="20">
        <v>20</v>
      </c>
      <c r="B21" s="24" t="s">
        <v>74</v>
      </c>
      <c r="C21" s="28"/>
      <c r="D21" s="20" t="s">
        <v>15</v>
      </c>
      <c r="E21" s="28">
        <v>1</v>
      </c>
      <c r="F21" s="29">
        <v>3.8</v>
      </c>
      <c r="G21" s="30">
        <v>0.9</v>
      </c>
      <c r="H21" s="31">
        <f t="shared" si="0"/>
        <v>3.42</v>
      </c>
      <c r="I21" s="31">
        <f t="shared" si="1"/>
        <v>3.42</v>
      </c>
    </row>
    <row r="22" s="15" customFormat="1" customHeight="1" spans="1:9">
      <c r="A22" s="20">
        <v>21</v>
      </c>
      <c r="B22" s="24" t="s">
        <v>259</v>
      </c>
      <c r="C22" s="28"/>
      <c r="D22" s="20" t="s">
        <v>15</v>
      </c>
      <c r="E22" s="28">
        <v>1</v>
      </c>
      <c r="F22" s="29">
        <v>16.1</v>
      </c>
      <c r="G22" s="30">
        <v>0.9</v>
      </c>
      <c r="H22" s="31">
        <f t="shared" si="0"/>
        <v>14.49</v>
      </c>
      <c r="I22" s="31">
        <f t="shared" si="1"/>
        <v>14.49</v>
      </c>
    </row>
    <row r="23" s="15" customFormat="1" customHeight="1" spans="1:9">
      <c r="A23" s="20">
        <v>22</v>
      </c>
      <c r="B23" s="24" t="s">
        <v>146</v>
      </c>
      <c r="C23" s="28"/>
      <c r="D23" s="20" t="s">
        <v>15</v>
      </c>
      <c r="E23" s="28">
        <v>3</v>
      </c>
      <c r="F23" s="29">
        <v>3.9</v>
      </c>
      <c r="G23" s="30">
        <v>0.9</v>
      </c>
      <c r="H23" s="31">
        <f t="shared" si="0"/>
        <v>3.51</v>
      </c>
      <c r="I23" s="31">
        <f t="shared" si="1"/>
        <v>10.53</v>
      </c>
    </row>
    <row r="24" s="15" customFormat="1" customHeight="1" spans="1:9">
      <c r="A24" s="20">
        <v>23</v>
      </c>
      <c r="B24" s="24" t="s">
        <v>72</v>
      </c>
      <c r="C24" s="28"/>
      <c r="D24" s="20" t="s">
        <v>15</v>
      </c>
      <c r="E24" s="28">
        <v>3</v>
      </c>
      <c r="F24" s="29">
        <v>8</v>
      </c>
      <c r="G24" s="30">
        <v>0.9</v>
      </c>
      <c r="H24" s="31">
        <f t="shared" si="0"/>
        <v>7.2</v>
      </c>
      <c r="I24" s="31">
        <f t="shared" si="1"/>
        <v>21.6</v>
      </c>
    </row>
    <row r="25" s="16" customFormat="1" customHeight="1" spans="1:9">
      <c r="A25" s="34"/>
      <c r="B25" s="34" t="s">
        <v>127</v>
      </c>
      <c r="C25" s="34"/>
      <c r="D25" s="34"/>
      <c r="E25" s="34"/>
      <c r="F25" s="35"/>
      <c r="G25" s="36"/>
      <c r="H25" s="37"/>
      <c r="I25" s="38">
        <f>SUM(I2:I24)</f>
        <v>1482.309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opLeftCell="A11" workbookViewId="0">
      <selection activeCell="A1" sqref="$A1:$XFD1048576"/>
    </sheetView>
  </sheetViews>
  <sheetFormatPr defaultColWidth="10.775" defaultRowHeight="20" customHeight="1"/>
  <cols>
    <col min="1" max="1" width="5.44166666666667" style="13" customWidth="1"/>
    <col min="2" max="2" width="17.6666666666667" style="13" customWidth="1"/>
    <col min="3" max="3" width="5.66666666666667" style="13" customWidth="1"/>
    <col min="4" max="5" width="5.44166666666667" style="13" customWidth="1"/>
    <col min="6" max="6" width="8.66666666666667" style="17" customWidth="1"/>
    <col min="7" max="7" width="7.33333333333333" style="18" customWidth="1"/>
    <col min="8" max="8" width="9.66666666666667" style="19" customWidth="1"/>
    <col min="9" max="9" width="13.1083333333333" style="19" customWidth="1"/>
    <col min="10" max="16381" width="10.775" style="13" customWidth="1"/>
    <col min="16382" max="16384" width="10.775" style="13"/>
  </cols>
  <sheetData>
    <row r="1" s="13" customFormat="1" customHeight="1" spans="1:9">
      <c r="A1" s="20" t="s">
        <v>4</v>
      </c>
      <c r="B1" s="20" t="s">
        <v>128</v>
      </c>
      <c r="C1" s="20" t="s">
        <v>6</v>
      </c>
      <c r="D1" s="20" t="s">
        <v>7</v>
      </c>
      <c r="E1" s="20" t="s">
        <v>8</v>
      </c>
      <c r="F1" s="21" t="s">
        <v>129</v>
      </c>
      <c r="G1" s="22" t="s">
        <v>10</v>
      </c>
      <c r="H1" s="23" t="s">
        <v>11</v>
      </c>
      <c r="I1" s="23" t="s">
        <v>126</v>
      </c>
    </row>
    <row r="2" s="13" customFormat="1" customHeight="1" spans="1:9">
      <c r="A2" s="20">
        <v>1</v>
      </c>
      <c r="B2" s="24" t="s">
        <v>26</v>
      </c>
      <c r="C2" s="20" t="s">
        <v>260</v>
      </c>
      <c r="D2" s="20" t="s">
        <v>15</v>
      </c>
      <c r="E2" s="20">
        <v>16.06</v>
      </c>
      <c r="F2" s="21">
        <v>6.8</v>
      </c>
      <c r="G2" s="22">
        <v>0.9</v>
      </c>
      <c r="H2" s="23">
        <f t="shared" ref="H2:H19" si="0">G2*F2</f>
        <v>6.12</v>
      </c>
      <c r="I2" s="23">
        <f t="shared" ref="I2:I19" si="1">H2*E2</f>
        <v>98.2872</v>
      </c>
    </row>
    <row r="3" s="13" customFormat="1" customHeight="1" spans="1:9">
      <c r="A3" s="20">
        <v>2</v>
      </c>
      <c r="B3" s="24" t="s">
        <v>261</v>
      </c>
      <c r="C3" s="20"/>
      <c r="D3" s="20" t="s">
        <v>133</v>
      </c>
      <c r="E3" s="20">
        <v>1</v>
      </c>
      <c r="F3" s="21">
        <v>8</v>
      </c>
      <c r="G3" s="22">
        <v>0.9</v>
      </c>
      <c r="H3" s="23">
        <f t="shared" si="0"/>
        <v>7.2</v>
      </c>
      <c r="I3" s="23">
        <f t="shared" si="1"/>
        <v>7.2</v>
      </c>
    </row>
    <row r="4" s="13" customFormat="1" customHeight="1" spans="1:9">
      <c r="A4" s="20">
        <v>3</v>
      </c>
      <c r="B4" s="26" t="s">
        <v>229</v>
      </c>
      <c r="C4" s="20"/>
      <c r="D4" s="20" t="s">
        <v>15</v>
      </c>
      <c r="E4" s="20">
        <v>5</v>
      </c>
      <c r="F4" s="21">
        <v>18</v>
      </c>
      <c r="G4" s="22">
        <v>0.9</v>
      </c>
      <c r="H4" s="23">
        <f t="shared" si="0"/>
        <v>16.2</v>
      </c>
      <c r="I4" s="23">
        <f t="shared" si="1"/>
        <v>81</v>
      </c>
    </row>
    <row r="5" s="13" customFormat="1" customHeight="1" spans="1:9">
      <c r="A5" s="20">
        <v>4</v>
      </c>
      <c r="B5" s="24" t="s">
        <v>73</v>
      </c>
      <c r="C5" s="20"/>
      <c r="D5" s="20" t="s">
        <v>15</v>
      </c>
      <c r="E5" s="20">
        <v>8</v>
      </c>
      <c r="F5" s="21">
        <v>19.98</v>
      </c>
      <c r="G5" s="22">
        <v>0.9</v>
      </c>
      <c r="H5" s="23">
        <f t="shared" si="0"/>
        <v>17.982</v>
      </c>
      <c r="I5" s="23">
        <f t="shared" si="1"/>
        <v>143.856</v>
      </c>
    </row>
    <row r="6" s="13" customFormat="1" customHeight="1" spans="1:9">
      <c r="A6" s="20">
        <v>5</v>
      </c>
      <c r="B6" s="24" t="s">
        <v>137</v>
      </c>
      <c r="C6" s="20"/>
      <c r="D6" s="20" t="s">
        <v>15</v>
      </c>
      <c r="E6" s="20">
        <v>7</v>
      </c>
      <c r="F6" s="40">
        <v>5.3</v>
      </c>
      <c r="G6" s="22">
        <v>0.9</v>
      </c>
      <c r="H6" s="23">
        <f t="shared" si="0"/>
        <v>4.77</v>
      </c>
      <c r="I6" s="23">
        <f t="shared" si="1"/>
        <v>33.39</v>
      </c>
    </row>
    <row r="7" s="13" customFormat="1" customHeight="1" spans="1:9">
      <c r="A7" s="20">
        <v>6</v>
      </c>
      <c r="B7" s="24" t="s">
        <v>20</v>
      </c>
      <c r="C7" s="20"/>
      <c r="D7" s="20" t="s">
        <v>15</v>
      </c>
      <c r="E7" s="20">
        <v>2</v>
      </c>
      <c r="F7" s="40">
        <v>9</v>
      </c>
      <c r="G7" s="22">
        <v>0.9</v>
      </c>
      <c r="H7" s="23">
        <f t="shared" si="0"/>
        <v>8.1</v>
      </c>
      <c r="I7" s="23">
        <f t="shared" si="1"/>
        <v>16.2</v>
      </c>
    </row>
    <row r="8" s="13" customFormat="1" customHeight="1" spans="1:9">
      <c r="A8" s="20">
        <v>7</v>
      </c>
      <c r="B8" s="39" t="s">
        <v>164</v>
      </c>
      <c r="C8" s="20"/>
      <c r="D8" s="20" t="s">
        <v>15</v>
      </c>
      <c r="E8" s="20">
        <v>16</v>
      </c>
      <c r="F8" s="21">
        <v>3.8</v>
      </c>
      <c r="G8" s="22">
        <v>0.9</v>
      </c>
      <c r="H8" s="23">
        <f t="shared" si="0"/>
        <v>3.42</v>
      </c>
      <c r="I8" s="23">
        <f t="shared" si="1"/>
        <v>54.72</v>
      </c>
    </row>
    <row r="9" s="13" customFormat="1" customHeight="1" spans="1:9">
      <c r="A9" s="20">
        <v>8</v>
      </c>
      <c r="B9" s="24" t="s">
        <v>165</v>
      </c>
      <c r="C9" s="20"/>
      <c r="D9" s="20" t="s">
        <v>15</v>
      </c>
      <c r="E9" s="20">
        <v>14</v>
      </c>
      <c r="F9" s="21">
        <v>2.8</v>
      </c>
      <c r="G9" s="22">
        <v>0.9</v>
      </c>
      <c r="H9" s="23">
        <f t="shared" si="0"/>
        <v>2.52</v>
      </c>
      <c r="I9" s="23">
        <f t="shared" si="1"/>
        <v>35.28</v>
      </c>
    </row>
    <row r="10" s="13" customFormat="1" customHeight="1" spans="1:9">
      <c r="A10" s="20">
        <v>9</v>
      </c>
      <c r="B10" s="39" t="s">
        <v>77</v>
      </c>
      <c r="C10" s="20"/>
      <c r="D10" s="20" t="s">
        <v>56</v>
      </c>
      <c r="E10" s="20">
        <v>1</v>
      </c>
      <c r="F10" s="21">
        <v>333</v>
      </c>
      <c r="G10" s="22">
        <v>0.9</v>
      </c>
      <c r="H10" s="23">
        <f t="shared" si="0"/>
        <v>299.7</v>
      </c>
      <c r="I10" s="23">
        <f t="shared" si="1"/>
        <v>299.7</v>
      </c>
    </row>
    <row r="11" s="13" customFormat="1" customHeight="1" spans="1:9">
      <c r="A11" s="20">
        <v>10</v>
      </c>
      <c r="B11" s="24" t="s">
        <v>262</v>
      </c>
      <c r="C11" s="20"/>
      <c r="D11" s="20" t="s">
        <v>15</v>
      </c>
      <c r="E11" s="20">
        <v>5</v>
      </c>
      <c r="F11" s="21">
        <v>3.9</v>
      </c>
      <c r="G11" s="22">
        <v>0.9</v>
      </c>
      <c r="H11" s="23">
        <f t="shared" si="0"/>
        <v>3.51</v>
      </c>
      <c r="I11" s="23">
        <f t="shared" si="1"/>
        <v>17.55</v>
      </c>
    </row>
    <row r="12" s="13" customFormat="1" customHeight="1" spans="1:9">
      <c r="A12" s="20">
        <v>11</v>
      </c>
      <c r="B12" s="39" t="s">
        <v>175</v>
      </c>
      <c r="C12" s="20"/>
      <c r="D12" s="20" t="s">
        <v>15</v>
      </c>
      <c r="E12" s="20">
        <v>6</v>
      </c>
      <c r="F12" s="21">
        <v>10</v>
      </c>
      <c r="G12" s="22">
        <v>0.9</v>
      </c>
      <c r="H12" s="23">
        <f t="shared" si="0"/>
        <v>9</v>
      </c>
      <c r="I12" s="23">
        <f t="shared" si="1"/>
        <v>54</v>
      </c>
    </row>
    <row r="13" s="13" customFormat="1" customHeight="1" spans="1:9">
      <c r="A13" s="20">
        <v>12</v>
      </c>
      <c r="B13" s="27" t="s">
        <v>68</v>
      </c>
      <c r="C13" s="20"/>
      <c r="D13" s="20" t="s">
        <v>15</v>
      </c>
      <c r="E13" s="20">
        <v>3</v>
      </c>
      <c r="F13" s="21">
        <v>9</v>
      </c>
      <c r="G13" s="22">
        <v>0.9</v>
      </c>
      <c r="H13" s="23">
        <f t="shared" si="0"/>
        <v>8.1</v>
      </c>
      <c r="I13" s="23">
        <f t="shared" si="1"/>
        <v>24.3</v>
      </c>
    </row>
    <row r="14" s="13" customFormat="1" customHeight="1" spans="1:9">
      <c r="A14" s="20">
        <v>13</v>
      </c>
      <c r="B14" s="33" t="s">
        <v>17</v>
      </c>
      <c r="C14" s="20"/>
      <c r="D14" s="20" t="s">
        <v>15</v>
      </c>
      <c r="E14" s="20">
        <v>8</v>
      </c>
      <c r="F14" s="21">
        <v>3.8</v>
      </c>
      <c r="G14" s="22">
        <v>0.9</v>
      </c>
      <c r="H14" s="23">
        <f t="shared" si="0"/>
        <v>3.42</v>
      </c>
      <c r="I14" s="23">
        <f t="shared" si="1"/>
        <v>27.36</v>
      </c>
    </row>
    <row r="15" s="13" customFormat="1" customHeight="1" spans="1:9">
      <c r="A15" s="20">
        <v>14</v>
      </c>
      <c r="B15" s="24" t="s">
        <v>147</v>
      </c>
      <c r="C15" s="20"/>
      <c r="D15" s="20" t="s">
        <v>15</v>
      </c>
      <c r="E15" s="20">
        <v>5</v>
      </c>
      <c r="F15" s="21">
        <v>3.3</v>
      </c>
      <c r="G15" s="22">
        <v>0.9</v>
      </c>
      <c r="H15" s="23">
        <f t="shared" si="0"/>
        <v>2.97</v>
      </c>
      <c r="I15" s="23">
        <f t="shared" si="1"/>
        <v>14.85</v>
      </c>
    </row>
    <row r="16" s="13" customFormat="1" customHeight="1" spans="1:9">
      <c r="A16" s="20">
        <v>15</v>
      </c>
      <c r="B16" s="24" t="s">
        <v>36</v>
      </c>
      <c r="C16" s="20"/>
      <c r="D16" s="20" t="s">
        <v>41</v>
      </c>
      <c r="E16" s="20">
        <v>40</v>
      </c>
      <c r="F16" s="21">
        <v>3.56</v>
      </c>
      <c r="G16" s="22">
        <v>0.9</v>
      </c>
      <c r="H16" s="23">
        <f t="shared" si="0"/>
        <v>3.204</v>
      </c>
      <c r="I16" s="23">
        <f t="shared" si="1"/>
        <v>128.16</v>
      </c>
    </row>
    <row r="17" s="13" customFormat="1" customHeight="1" spans="1:9">
      <c r="A17" s="20">
        <v>16</v>
      </c>
      <c r="B17" s="20" t="s">
        <v>263</v>
      </c>
      <c r="C17" s="20"/>
      <c r="D17" s="20" t="s">
        <v>133</v>
      </c>
      <c r="E17" s="20">
        <v>5</v>
      </c>
      <c r="F17" s="21">
        <v>10</v>
      </c>
      <c r="G17" s="22">
        <v>0.9</v>
      </c>
      <c r="H17" s="23">
        <f t="shared" si="0"/>
        <v>9</v>
      </c>
      <c r="I17" s="23">
        <f t="shared" si="1"/>
        <v>45</v>
      </c>
    </row>
    <row r="18" s="13" customFormat="1" customHeight="1" spans="1:9">
      <c r="A18" s="20">
        <v>17</v>
      </c>
      <c r="B18" s="24" t="s">
        <v>74</v>
      </c>
      <c r="C18" s="28"/>
      <c r="D18" s="28" t="s">
        <v>15</v>
      </c>
      <c r="E18" s="28">
        <v>2</v>
      </c>
      <c r="F18" s="29">
        <v>3.8</v>
      </c>
      <c r="G18" s="30">
        <v>0.9</v>
      </c>
      <c r="H18" s="31">
        <f t="shared" si="0"/>
        <v>3.42</v>
      </c>
      <c r="I18" s="23">
        <f t="shared" si="1"/>
        <v>6.84</v>
      </c>
    </row>
    <row r="19" s="16" customFormat="1" customHeight="1" spans="1:9">
      <c r="A19" s="20">
        <v>18</v>
      </c>
      <c r="B19" s="24" t="s">
        <v>115</v>
      </c>
      <c r="C19" s="20"/>
      <c r="D19" s="20" t="s">
        <v>15</v>
      </c>
      <c r="E19" s="20">
        <v>3</v>
      </c>
      <c r="F19" s="41">
        <v>48.89</v>
      </c>
      <c r="G19" s="22">
        <v>0.9</v>
      </c>
      <c r="H19" s="23">
        <f t="shared" si="0"/>
        <v>44.001</v>
      </c>
      <c r="I19" s="23">
        <f t="shared" si="1"/>
        <v>132.003</v>
      </c>
    </row>
    <row r="20" s="16" customFormat="1" customHeight="1" spans="1:9">
      <c r="A20" s="34"/>
      <c r="B20" s="34" t="s">
        <v>127</v>
      </c>
      <c r="C20" s="34"/>
      <c r="D20" s="34"/>
      <c r="E20" s="34"/>
      <c r="F20" s="35"/>
      <c r="G20" s="36"/>
      <c r="H20" s="37"/>
      <c r="I20" s="38">
        <f>SUM(I2:I19)</f>
        <v>1219.6962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13" workbookViewId="0">
      <selection activeCell="A1" sqref="$A1:$XFD1048576"/>
    </sheetView>
  </sheetViews>
  <sheetFormatPr defaultColWidth="10.775" defaultRowHeight="20" customHeight="1"/>
  <cols>
    <col min="1" max="1" width="5.44166666666667" style="13" customWidth="1"/>
    <col min="2" max="2" width="17.6666666666667" style="13" customWidth="1"/>
    <col min="3" max="3" width="5.66666666666667" style="13" customWidth="1"/>
    <col min="4" max="5" width="5.44166666666667" style="13" customWidth="1"/>
    <col min="6" max="6" width="8.66666666666667" style="17" customWidth="1"/>
    <col min="7" max="7" width="7.33333333333333" style="18" customWidth="1"/>
    <col min="8" max="8" width="9.33333333333333" style="19" customWidth="1"/>
    <col min="9" max="9" width="13.1083333333333" style="19" customWidth="1"/>
    <col min="10" max="16380" width="10.775" style="13" customWidth="1"/>
    <col min="16381" max="16384" width="10.775" style="13"/>
  </cols>
  <sheetData>
    <row r="1" s="13" customFormat="1" customHeight="1" spans="1:9">
      <c r="A1" s="20" t="s">
        <v>4</v>
      </c>
      <c r="B1" s="20" t="s">
        <v>128</v>
      </c>
      <c r="C1" s="20" t="s">
        <v>6</v>
      </c>
      <c r="D1" s="20" t="s">
        <v>7</v>
      </c>
      <c r="E1" s="20" t="s">
        <v>8</v>
      </c>
      <c r="F1" s="21" t="s">
        <v>129</v>
      </c>
      <c r="G1" s="22" t="s">
        <v>10</v>
      </c>
      <c r="H1" s="23" t="s">
        <v>11</v>
      </c>
      <c r="I1" s="23" t="s">
        <v>126</v>
      </c>
    </row>
    <row r="2" s="13" customFormat="1" customHeight="1" spans="1:9">
      <c r="A2" s="20">
        <v>1</v>
      </c>
      <c r="B2" s="24" t="s">
        <v>217</v>
      </c>
      <c r="C2" s="20"/>
      <c r="D2" s="20" t="s">
        <v>15</v>
      </c>
      <c r="E2" s="20">
        <v>10</v>
      </c>
      <c r="F2" s="21">
        <v>3.9</v>
      </c>
      <c r="G2" s="22">
        <v>0.9</v>
      </c>
      <c r="H2" s="23">
        <f t="shared" ref="H2:H24" si="0">G2*F2</f>
        <v>3.51</v>
      </c>
      <c r="I2" s="23">
        <f t="shared" ref="I2:I24" si="1">H2*E2</f>
        <v>35.1</v>
      </c>
    </row>
    <row r="3" s="13" customFormat="1" customHeight="1" spans="1:9">
      <c r="A3" s="20">
        <v>2</v>
      </c>
      <c r="B3" s="24" t="s">
        <v>134</v>
      </c>
      <c r="C3" s="20"/>
      <c r="D3" s="20" t="s">
        <v>15</v>
      </c>
      <c r="E3" s="20">
        <v>10</v>
      </c>
      <c r="F3" s="21">
        <v>5.6</v>
      </c>
      <c r="G3" s="22">
        <v>0.9</v>
      </c>
      <c r="H3" s="23">
        <f t="shared" si="0"/>
        <v>5.04</v>
      </c>
      <c r="I3" s="23">
        <f t="shared" si="1"/>
        <v>50.4</v>
      </c>
    </row>
    <row r="4" s="13" customFormat="1" customHeight="1" spans="1:9">
      <c r="A4" s="20">
        <v>3</v>
      </c>
      <c r="B4" s="24" t="s">
        <v>49</v>
      </c>
      <c r="C4" s="20"/>
      <c r="D4" s="20" t="s">
        <v>15</v>
      </c>
      <c r="E4" s="20">
        <v>7</v>
      </c>
      <c r="F4" s="21">
        <v>13.5</v>
      </c>
      <c r="G4" s="22">
        <v>0.9</v>
      </c>
      <c r="H4" s="23">
        <f t="shared" si="0"/>
        <v>12.15</v>
      </c>
      <c r="I4" s="23">
        <f t="shared" si="1"/>
        <v>85.05</v>
      </c>
    </row>
    <row r="5" s="13" customFormat="1" customHeight="1" spans="1:9">
      <c r="A5" s="20">
        <v>4</v>
      </c>
      <c r="B5" s="24" t="s">
        <v>264</v>
      </c>
      <c r="C5" s="20"/>
      <c r="D5" s="20" t="s">
        <v>15</v>
      </c>
      <c r="E5" s="20">
        <v>7</v>
      </c>
      <c r="F5" s="21">
        <v>40</v>
      </c>
      <c r="G5" s="22">
        <v>0.9</v>
      </c>
      <c r="H5" s="23">
        <f t="shared" si="0"/>
        <v>36</v>
      </c>
      <c r="I5" s="23">
        <f t="shared" si="1"/>
        <v>252</v>
      </c>
    </row>
    <row r="6" s="13" customFormat="1" customHeight="1" spans="1:9">
      <c r="A6" s="20">
        <v>5</v>
      </c>
      <c r="B6" s="27" t="s">
        <v>143</v>
      </c>
      <c r="C6" s="20"/>
      <c r="D6" s="20" t="s">
        <v>15</v>
      </c>
      <c r="E6" s="20">
        <v>2</v>
      </c>
      <c r="F6" s="21">
        <v>18</v>
      </c>
      <c r="G6" s="22">
        <v>0.9</v>
      </c>
      <c r="H6" s="23">
        <f t="shared" si="0"/>
        <v>16.2</v>
      </c>
      <c r="I6" s="23">
        <f t="shared" si="1"/>
        <v>32.4</v>
      </c>
    </row>
    <row r="7" s="13" customFormat="1" customHeight="1" spans="1:9">
      <c r="A7" s="20">
        <v>6</v>
      </c>
      <c r="B7" s="24" t="s">
        <v>68</v>
      </c>
      <c r="C7" s="20"/>
      <c r="D7" s="20" t="s">
        <v>15</v>
      </c>
      <c r="E7" s="20">
        <v>10</v>
      </c>
      <c r="F7" s="21">
        <v>9</v>
      </c>
      <c r="G7" s="22">
        <v>0.9</v>
      </c>
      <c r="H7" s="23">
        <f t="shared" si="0"/>
        <v>8.1</v>
      </c>
      <c r="I7" s="23">
        <f t="shared" si="1"/>
        <v>81</v>
      </c>
    </row>
    <row r="8" s="13" customFormat="1" customHeight="1" spans="1:9">
      <c r="A8" s="20">
        <v>7</v>
      </c>
      <c r="B8" s="24" t="s">
        <v>92</v>
      </c>
      <c r="C8" s="20"/>
      <c r="D8" s="20" t="s">
        <v>15</v>
      </c>
      <c r="E8" s="20">
        <v>14</v>
      </c>
      <c r="F8" s="21">
        <v>5.3</v>
      </c>
      <c r="G8" s="22">
        <v>0.9</v>
      </c>
      <c r="H8" s="23">
        <f t="shared" si="0"/>
        <v>4.77</v>
      </c>
      <c r="I8" s="23">
        <f t="shared" si="1"/>
        <v>66.78</v>
      </c>
    </row>
    <row r="9" s="13" customFormat="1" customHeight="1" spans="1:9">
      <c r="A9" s="20">
        <v>8</v>
      </c>
      <c r="B9" s="24" t="s">
        <v>91</v>
      </c>
      <c r="C9" s="20"/>
      <c r="D9" s="20" t="s">
        <v>15</v>
      </c>
      <c r="E9" s="20">
        <v>10</v>
      </c>
      <c r="F9" s="21">
        <v>2.78</v>
      </c>
      <c r="G9" s="22">
        <v>0.9</v>
      </c>
      <c r="H9" s="23">
        <f t="shared" si="0"/>
        <v>2.502</v>
      </c>
      <c r="I9" s="23">
        <f t="shared" si="1"/>
        <v>25.02</v>
      </c>
    </row>
    <row r="10" s="13" customFormat="1" customHeight="1" spans="1:9">
      <c r="A10" s="20">
        <v>9</v>
      </c>
      <c r="B10" s="24" t="s">
        <v>222</v>
      </c>
      <c r="C10" s="20" t="s">
        <v>174</v>
      </c>
      <c r="D10" s="20" t="s">
        <v>15</v>
      </c>
      <c r="E10" s="20">
        <v>6.1</v>
      </c>
      <c r="F10" s="21">
        <v>18.8</v>
      </c>
      <c r="G10" s="22">
        <v>0.9</v>
      </c>
      <c r="H10" s="23">
        <f t="shared" si="0"/>
        <v>16.92</v>
      </c>
      <c r="I10" s="23">
        <f t="shared" si="1"/>
        <v>103.212</v>
      </c>
    </row>
    <row r="11" s="13" customFormat="1" customHeight="1" spans="1:9">
      <c r="A11" s="20">
        <v>10</v>
      </c>
      <c r="B11" s="24" t="s">
        <v>155</v>
      </c>
      <c r="C11" s="20"/>
      <c r="D11" s="20" t="s">
        <v>22</v>
      </c>
      <c r="E11" s="20">
        <v>60</v>
      </c>
      <c r="F11" s="21">
        <v>5</v>
      </c>
      <c r="G11" s="22">
        <v>0.9</v>
      </c>
      <c r="H11" s="23">
        <f t="shared" si="0"/>
        <v>4.5</v>
      </c>
      <c r="I11" s="23">
        <f t="shared" si="1"/>
        <v>270</v>
      </c>
    </row>
    <row r="12" s="13" customFormat="1" customHeight="1" spans="1:9">
      <c r="A12" s="20">
        <v>11</v>
      </c>
      <c r="B12" s="24" t="s">
        <v>265</v>
      </c>
      <c r="C12" s="20"/>
      <c r="D12" s="20" t="s">
        <v>15</v>
      </c>
      <c r="E12" s="20">
        <v>1</v>
      </c>
      <c r="F12" s="21">
        <v>46.9</v>
      </c>
      <c r="G12" s="22">
        <v>0.9</v>
      </c>
      <c r="H12" s="23">
        <f t="shared" si="0"/>
        <v>42.21</v>
      </c>
      <c r="I12" s="23">
        <f t="shared" si="1"/>
        <v>42.21</v>
      </c>
    </row>
    <row r="13" s="13" customFormat="1" customHeight="1" spans="1:9">
      <c r="A13" s="20">
        <v>12</v>
      </c>
      <c r="B13" s="24" t="s">
        <v>256</v>
      </c>
      <c r="C13" s="20"/>
      <c r="D13" s="20" t="s">
        <v>15</v>
      </c>
      <c r="E13" s="20">
        <v>1</v>
      </c>
      <c r="F13" s="21">
        <v>7</v>
      </c>
      <c r="G13" s="22">
        <v>0.9</v>
      </c>
      <c r="H13" s="23">
        <f t="shared" si="0"/>
        <v>6.3</v>
      </c>
      <c r="I13" s="23">
        <f t="shared" si="1"/>
        <v>6.3</v>
      </c>
    </row>
    <row r="14" s="13" customFormat="1" customHeight="1" spans="1:9">
      <c r="A14" s="20">
        <v>13</v>
      </c>
      <c r="B14" s="24" t="s">
        <v>266</v>
      </c>
      <c r="C14" s="20"/>
      <c r="D14" s="20" t="s">
        <v>15</v>
      </c>
      <c r="E14" s="20">
        <v>1</v>
      </c>
      <c r="F14" s="21">
        <v>10.89</v>
      </c>
      <c r="G14" s="22">
        <v>0.9</v>
      </c>
      <c r="H14" s="23">
        <f t="shared" si="0"/>
        <v>9.801</v>
      </c>
      <c r="I14" s="23">
        <f t="shared" si="1"/>
        <v>9.801</v>
      </c>
    </row>
    <row r="15" s="13" customFormat="1" customHeight="1" spans="1:9">
      <c r="A15" s="20">
        <v>14</v>
      </c>
      <c r="B15" s="26" t="s">
        <v>229</v>
      </c>
      <c r="C15" s="20"/>
      <c r="D15" s="20" t="s">
        <v>15</v>
      </c>
      <c r="E15" s="20">
        <v>3</v>
      </c>
      <c r="F15" s="21">
        <v>18</v>
      </c>
      <c r="G15" s="22">
        <v>0.9</v>
      </c>
      <c r="H15" s="23">
        <f t="shared" si="0"/>
        <v>16.2</v>
      </c>
      <c r="I15" s="23">
        <f t="shared" si="1"/>
        <v>48.6</v>
      </c>
    </row>
    <row r="16" s="13" customFormat="1" customHeight="1" spans="1:9">
      <c r="A16" s="20">
        <v>15</v>
      </c>
      <c r="B16" s="27" t="s">
        <v>143</v>
      </c>
      <c r="C16" s="20"/>
      <c r="D16" s="20" t="s">
        <v>15</v>
      </c>
      <c r="E16" s="20">
        <v>10</v>
      </c>
      <c r="F16" s="21">
        <v>18</v>
      </c>
      <c r="G16" s="22">
        <v>0.9</v>
      </c>
      <c r="H16" s="23">
        <f t="shared" si="0"/>
        <v>16.2</v>
      </c>
      <c r="I16" s="23">
        <f t="shared" si="1"/>
        <v>162</v>
      </c>
    </row>
    <row r="17" s="13" customFormat="1" customHeight="1" spans="1:9">
      <c r="A17" s="20">
        <v>16</v>
      </c>
      <c r="B17" s="24" t="s">
        <v>158</v>
      </c>
      <c r="C17" s="20"/>
      <c r="D17" s="20" t="s">
        <v>15</v>
      </c>
      <c r="E17" s="20">
        <v>1</v>
      </c>
      <c r="F17" s="21">
        <v>7.5</v>
      </c>
      <c r="G17" s="22">
        <v>0.9</v>
      </c>
      <c r="H17" s="23">
        <f t="shared" si="0"/>
        <v>6.75</v>
      </c>
      <c r="I17" s="23">
        <f t="shared" si="1"/>
        <v>6.75</v>
      </c>
    </row>
    <row r="18" s="13" customFormat="1" customHeight="1" spans="1:9">
      <c r="A18" s="20">
        <v>17</v>
      </c>
      <c r="B18" s="24" t="s">
        <v>176</v>
      </c>
      <c r="C18" s="28"/>
      <c r="D18" s="20" t="s">
        <v>15</v>
      </c>
      <c r="E18" s="28">
        <v>10</v>
      </c>
      <c r="F18" s="29">
        <v>8</v>
      </c>
      <c r="G18" s="30">
        <v>0.9</v>
      </c>
      <c r="H18" s="31">
        <f t="shared" si="0"/>
        <v>7.2</v>
      </c>
      <c r="I18" s="23">
        <f t="shared" si="1"/>
        <v>72</v>
      </c>
    </row>
    <row r="19" s="16" customFormat="1" customHeight="1" spans="1:9">
      <c r="A19" s="20">
        <v>18</v>
      </c>
      <c r="B19" s="39" t="s">
        <v>173</v>
      </c>
      <c r="C19" s="28"/>
      <c r="D19" s="28" t="s">
        <v>15</v>
      </c>
      <c r="E19" s="28">
        <v>4</v>
      </c>
      <c r="F19" s="29">
        <v>16.4</v>
      </c>
      <c r="G19" s="30">
        <v>0.9</v>
      </c>
      <c r="H19" s="31">
        <f t="shared" si="0"/>
        <v>14.76</v>
      </c>
      <c r="I19" s="23">
        <f t="shared" si="1"/>
        <v>59.04</v>
      </c>
    </row>
    <row r="20" s="16" customFormat="1" customHeight="1" spans="1:9">
      <c r="A20" s="20">
        <v>19</v>
      </c>
      <c r="B20" s="24" t="s">
        <v>68</v>
      </c>
      <c r="C20" s="34"/>
      <c r="D20" s="28" t="s">
        <v>15</v>
      </c>
      <c r="E20" s="28">
        <v>4</v>
      </c>
      <c r="F20" s="29">
        <v>9</v>
      </c>
      <c r="G20" s="30">
        <v>0.9</v>
      </c>
      <c r="H20" s="31">
        <f t="shared" si="0"/>
        <v>8.1</v>
      </c>
      <c r="I20" s="23">
        <f t="shared" si="1"/>
        <v>32.4</v>
      </c>
    </row>
    <row r="21" s="15" customFormat="1" customHeight="1" spans="1:9">
      <c r="A21" s="28">
        <v>20</v>
      </c>
      <c r="B21" s="33" t="s">
        <v>17</v>
      </c>
      <c r="C21" s="28"/>
      <c r="D21" s="28" t="s">
        <v>15</v>
      </c>
      <c r="E21" s="28">
        <v>8</v>
      </c>
      <c r="F21" s="29">
        <v>3.8</v>
      </c>
      <c r="G21" s="30">
        <v>0.9</v>
      </c>
      <c r="H21" s="31">
        <f t="shared" si="0"/>
        <v>3.42</v>
      </c>
      <c r="I21" s="31">
        <f t="shared" si="1"/>
        <v>27.36</v>
      </c>
    </row>
    <row r="22" s="15" customFormat="1" customHeight="1" spans="1:9">
      <c r="A22" s="28">
        <v>21</v>
      </c>
      <c r="B22" s="24" t="s">
        <v>147</v>
      </c>
      <c r="C22" s="28"/>
      <c r="D22" s="28" t="s">
        <v>15</v>
      </c>
      <c r="E22" s="28">
        <v>6</v>
      </c>
      <c r="F22" s="29">
        <v>3.3</v>
      </c>
      <c r="G22" s="30">
        <v>0.9</v>
      </c>
      <c r="H22" s="31">
        <f t="shared" si="0"/>
        <v>2.97</v>
      </c>
      <c r="I22" s="31">
        <f t="shared" si="1"/>
        <v>17.82</v>
      </c>
    </row>
    <row r="23" s="15" customFormat="1" customHeight="1" spans="1:9">
      <c r="A23" s="28">
        <v>22</v>
      </c>
      <c r="B23" s="24" t="s">
        <v>196</v>
      </c>
      <c r="C23" s="28"/>
      <c r="D23" s="28" t="s">
        <v>15</v>
      </c>
      <c r="E23" s="28">
        <v>4</v>
      </c>
      <c r="F23" s="29">
        <v>4.99</v>
      </c>
      <c r="G23" s="30">
        <v>0.9</v>
      </c>
      <c r="H23" s="31">
        <f t="shared" si="0"/>
        <v>4.491</v>
      </c>
      <c r="I23" s="31">
        <f t="shared" si="1"/>
        <v>17.964</v>
      </c>
    </row>
    <row r="24" s="15" customFormat="1" customHeight="1" spans="1:9">
      <c r="A24" s="28">
        <v>23</v>
      </c>
      <c r="B24" s="24" t="s">
        <v>74</v>
      </c>
      <c r="C24" s="28"/>
      <c r="D24" s="28" t="s">
        <v>15</v>
      </c>
      <c r="E24" s="28">
        <v>2</v>
      </c>
      <c r="F24" s="29">
        <v>3.8</v>
      </c>
      <c r="G24" s="30">
        <v>0.9</v>
      </c>
      <c r="H24" s="31">
        <f t="shared" si="0"/>
        <v>3.42</v>
      </c>
      <c r="I24" s="31">
        <f t="shared" si="1"/>
        <v>6.84</v>
      </c>
    </row>
    <row r="25" s="16" customFormat="1" customHeight="1" spans="1:9">
      <c r="A25" s="34"/>
      <c r="B25" s="34" t="s">
        <v>127</v>
      </c>
      <c r="C25" s="34"/>
      <c r="D25" s="34"/>
      <c r="E25" s="34"/>
      <c r="F25" s="35"/>
      <c r="G25" s="36"/>
      <c r="H25" s="37"/>
      <c r="I25" s="38">
        <f>SUM(I2:I24)</f>
        <v>1510.047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C9" workbookViewId="0">
      <selection activeCell="A1" sqref="$A1:$XFD1048576"/>
    </sheetView>
  </sheetViews>
  <sheetFormatPr defaultColWidth="10.775" defaultRowHeight="20" customHeight="1"/>
  <cols>
    <col min="1" max="1" width="5.44166666666667" style="13" customWidth="1"/>
    <col min="2" max="2" width="21.8916666666667" style="13" customWidth="1"/>
    <col min="3" max="3" width="16.775" style="13" customWidth="1"/>
    <col min="4" max="5" width="5.44166666666667" style="13" customWidth="1"/>
    <col min="6" max="6" width="8.66666666666667" style="17" customWidth="1"/>
    <col min="7" max="7" width="7.33333333333333" style="18" customWidth="1"/>
    <col min="8" max="8" width="9.66666666666667" style="19" customWidth="1"/>
    <col min="9" max="9" width="13.1083333333333" style="19" customWidth="1"/>
    <col min="10" max="16380" width="10.775" style="13" customWidth="1"/>
    <col min="16381" max="16384" width="10.775" style="13"/>
  </cols>
  <sheetData>
    <row r="1" s="13" customFormat="1" customHeight="1" spans="1:9">
      <c r="A1" s="20" t="s">
        <v>4</v>
      </c>
      <c r="B1" s="20" t="s">
        <v>128</v>
      </c>
      <c r="C1" s="20" t="s">
        <v>6</v>
      </c>
      <c r="D1" s="20" t="s">
        <v>7</v>
      </c>
      <c r="E1" s="20" t="s">
        <v>8</v>
      </c>
      <c r="F1" s="21" t="s">
        <v>129</v>
      </c>
      <c r="G1" s="22" t="s">
        <v>10</v>
      </c>
      <c r="H1" s="23" t="s">
        <v>11</v>
      </c>
      <c r="I1" s="23" t="s">
        <v>126</v>
      </c>
    </row>
    <row r="2" s="13" customFormat="1" customHeight="1" spans="1:9">
      <c r="A2" s="20">
        <v>1</v>
      </c>
      <c r="B2" s="24" t="s">
        <v>90</v>
      </c>
      <c r="C2" s="20"/>
      <c r="D2" s="20" t="s">
        <v>15</v>
      </c>
      <c r="E2" s="20">
        <v>9</v>
      </c>
      <c r="F2" s="21">
        <v>3.3</v>
      </c>
      <c r="G2" s="22">
        <v>0.9</v>
      </c>
      <c r="H2" s="23">
        <f t="shared" ref="H2:H23" si="0">G2*F2</f>
        <v>2.97</v>
      </c>
      <c r="I2" s="23">
        <f t="shared" ref="I2:I23" si="1">H2*E2</f>
        <v>26.73</v>
      </c>
    </row>
    <row r="3" s="13" customFormat="1" customHeight="1" spans="1:9">
      <c r="A3" s="20">
        <v>2</v>
      </c>
      <c r="B3" s="25" t="s">
        <v>267</v>
      </c>
      <c r="C3" s="20"/>
      <c r="D3" s="20" t="s">
        <v>15</v>
      </c>
      <c r="E3" s="20">
        <v>10</v>
      </c>
      <c r="F3" s="21">
        <v>53.33</v>
      </c>
      <c r="G3" s="22">
        <v>0.9</v>
      </c>
      <c r="H3" s="23">
        <f t="shared" si="0"/>
        <v>47.997</v>
      </c>
      <c r="I3" s="23">
        <f t="shared" si="1"/>
        <v>479.97</v>
      </c>
    </row>
    <row r="4" s="13" customFormat="1" customHeight="1" spans="1:9">
      <c r="A4" s="20">
        <v>3</v>
      </c>
      <c r="B4" s="26" t="s">
        <v>229</v>
      </c>
      <c r="C4" s="20"/>
      <c r="D4" s="20" t="s">
        <v>15</v>
      </c>
      <c r="E4" s="20">
        <v>5</v>
      </c>
      <c r="F4" s="21">
        <v>18</v>
      </c>
      <c r="G4" s="22">
        <v>0.9</v>
      </c>
      <c r="H4" s="23">
        <f t="shared" si="0"/>
        <v>16.2</v>
      </c>
      <c r="I4" s="23">
        <f t="shared" si="1"/>
        <v>81</v>
      </c>
    </row>
    <row r="5" s="13" customFormat="1" customHeight="1" spans="1:9">
      <c r="A5" s="20">
        <v>4</v>
      </c>
      <c r="B5" s="27" t="s">
        <v>138</v>
      </c>
      <c r="C5" s="20"/>
      <c r="D5" s="20" t="s">
        <v>15</v>
      </c>
      <c r="E5" s="20">
        <v>5</v>
      </c>
      <c r="F5" s="21">
        <v>20</v>
      </c>
      <c r="G5" s="22">
        <v>0.9</v>
      </c>
      <c r="H5" s="23">
        <f t="shared" si="0"/>
        <v>18</v>
      </c>
      <c r="I5" s="23">
        <f t="shared" si="1"/>
        <v>90</v>
      </c>
    </row>
    <row r="6" s="13" customFormat="1" customHeight="1" spans="1:9">
      <c r="A6" s="20">
        <v>5</v>
      </c>
      <c r="B6" s="24" t="s">
        <v>186</v>
      </c>
      <c r="C6" s="20"/>
      <c r="D6" s="20" t="s">
        <v>15</v>
      </c>
      <c r="E6" s="20">
        <v>8</v>
      </c>
      <c r="F6" s="21">
        <v>6.5</v>
      </c>
      <c r="G6" s="22">
        <v>0.9</v>
      </c>
      <c r="H6" s="23">
        <f t="shared" si="0"/>
        <v>5.85</v>
      </c>
      <c r="I6" s="23">
        <f t="shared" si="1"/>
        <v>46.8</v>
      </c>
    </row>
    <row r="7" s="13" customFormat="1" customHeight="1" spans="1:9">
      <c r="A7" s="20">
        <v>6</v>
      </c>
      <c r="B7" s="24" t="s">
        <v>154</v>
      </c>
      <c r="C7" s="20"/>
      <c r="D7" s="20" t="s">
        <v>15</v>
      </c>
      <c r="E7" s="20">
        <v>16</v>
      </c>
      <c r="F7" s="21">
        <v>9</v>
      </c>
      <c r="G7" s="22">
        <v>0.9</v>
      </c>
      <c r="H7" s="23">
        <f t="shared" si="0"/>
        <v>8.1</v>
      </c>
      <c r="I7" s="23">
        <f t="shared" si="1"/>
        <v>129.6</v>
      </c>
    </row>
    <row r="8" s="13" customFormat="1" customHeight="1" spans="1:9">
      <c r="A8" s="20">
        <v>7</v>
      </c>
      <c r="B8" s="24" t="s">
        <v>104</v>
      </c>
      <c r="C8" s="20"/>
      <c r="D8" s="20" t="s">
        <v>15</v>
      </c>
      <c r="E8" s="20">
        <v>14</v>
      </c>
      <c r="F8" s="21">
        <v>2.8</v>
      </c>
      <c r="G8" s="22">
        <v>0.9</v>
      </c>
      <c r="H8" s="23">
        <f t="shared" si="0"/>
        <v>2.52</v>
      </c>
      <c r="I8" s="23">
        <f t="shared" si="1"/>
        <v>35.28</v>
      </c>
    </row>
    <row r="9" s="13" customFormat="1" customHeight="1" spans="1:9">
      <c r="A9" s="20">
        <v>8</v>
      </c>
      <c r="B9" s="24" t="s">
        <v>268</v>
      </c>
      <c r="C9" s="20"/>
      <c r="D9" s="20" t="s">
        <v>15</v>
      </c>
      <c r="E9" s="20">
        <v>8</v>
      </c>
      <c r="F9" s="21">
        <v>8.8</v>
      </c>
      <c r="G9" s="22">
        <v>0.9</v>
      </c>
      <c r="H9" s="23">
        <f t="shared" si="0"/>
        <v>7.92</v>
      </c>
      <c r="I9" s="23">
        <f t="shared" si="1"/>
        <v>63.36</v>
      </c>
    </row>
    <row r="10" s="13" customFormat="1" customHeight="1" spans="1:9">
      <c r="A10" s="20">
        <v>9</v>
      </c>
      <c r="B10" s="24" t="s">
        <v>269</v>
      </c>
      <c r="C10" s="20"/>
      <c r="D10" s="20" t="s">
        <v>15</v>
      </c>
      <c r="E10" s="20">
        <v>6</v>
      </c>
      <c r="F10" s="21">
        <v>22</v>
      </c>
      <c r="G10" s="22">
        <v>0.9</v>
      </c>
      <c r="H10" s="23">
        <f t="shared" si="0"/>
        <v>19.8</v>
      </c>
      <c r="I10" s="23">
        <f t="shared" si="1"/>
        <v>118.8</v>
      </c>
    </row>
    <row r="11" s="13" customFormat="1" customHeight="1" spans="1:9">
      <c r="A11" s="20">
        <v>10</v>
      </c>
      <c r="B11" s="24" t="s">
        <v>76</v>
      </c>
      <c r="C11" s="20" t="s">
        <v>205</v>
      </c>
      <c r="D11" s="20" t="s">
        <v>15</v>
      </c>
      <c r="E11" s="20">
        <v>24</v>
      </c>
      <c r="F11" s="21">
        <v>6.9</v>
      </c>
      <c r="G11" s="22">
        <v>0.9</v>
      </c>
      <c r="H11" s="23">
        <f t="shared" si="0"/>
        <v>6.21</v>
      </c>
      <c r="I11" s="23">
        <f t="shared" si="1"/>
        <v>149.04</v>
      </c>
    </row>
    <row r="12" s="13" customFormat="1" customHeight="1" spans="1:9">
      <c r="A12" s="20">
        <v>11</v>
      </c>
      <c r="B12" s="24" t="s">
        <v>137</v>
      </c>
      <c r="C12" s="20"/>
      <c r="D12" s="20" t="s">
        <v>15</v>
      </c>
      <c r="E12" s="20">
        <v>2</v>
      </c>
      <c r="F12" s="21">
        <v>5.3</v>
      </c>
      <c r="G12" s="22">
        <v>0.9</v>
      </c>
      <c r="H12" s="23">
        <f t="shared" si="0"/>
        <v>4.77</v>
      </c>
      <c r="I12" s="23">
        <f t="shared" si="1"/>
        <v>9.54</v>
      </c>
    </row>
    <row r="13" s="13" customFormat="1" customHeight="1" spans="1:9">
      <c r="A13" s="20">
        <v>12</v>
      </c>
      <c r="B13" s="24" t="s">
        <v>20</v>
      </c>
      <c r="C13" s="20"/>
      <c r="D13" s="20" t="s">
        <v>15</v>
      </c>
      <c r="E13" s="20">
        <v>2</v>
      </c>
      <c r="F13" s="21">
        <v>9</v>
      </c>
      <c r="G13" s="22">
        <v>0.9</v>
      </c>
      <c r="H13" s="23">
        <f t="shared" si="0"/>
        <v>8.1</v>
      </c>
      <c r="I13" s="23">
        <f t="shared" si="1"/>
        <v>16.2</v>
      </c>
    </row>
    <row r="14" s="13" customFormat="1" customHeight="1" spans="1:9">
      <c r="A14" s="20">
        <v>13</v>
      </c>
      <c r="B14" s="24" t="s">
        <v>115</v>
      </c>
      <c r="C14" s="20"/>
      <c r="D14" s="20" t="s">
        <v>15</v>
      </c>
      <c r="E14" s="20">
        <v>6</v>
      </c>
      <c r="F14" s="21">
        <v>48.89</v>
      </c>
      <c r="G14" s="22">
        <v>0.9</v>
      </c>
      <c r="H14" s="23">
        <f t="shared" si="0"/>
        <v>44.001</v>
      </c>
      <c r="I14" s="23">
        <f t="shared" si="1"/>
        <v>264.006</v>
      </c>
    </row>
    <row r="15" s="13" customFormat="1" customHeight="1" spans="1:9">
      <c r="A15" s="20">
        <v>14</v>
      </c>
      <c r="B15" s="24" t="s">
        <v>19</v>
      </c>
      <c r="C15" s="20"/>
      <c r="D15" s="20" t="s">
        <v>15</v>
      </c>
      <c r="E15" s="20">
        <v>4</v>
      </c>
      <c r="F15" s="21">
        <v>2.22</v>
      </c>
      <c r="G15" s="22">
        <v>0.9</v>
      </c>
      <c r="H15" s="23">
        <f t="shared" si="0"/>
        <v>1.998</v>
      </c>
      <c r="I15" s="23">
        <f t="shared" si="1"/>
        <v>7.992</v>
      </c>
    </row>
    <row r="16" s="13" customFormat="1" customHeight="1" spans="1:9">
      <c r="A16" s="20">
        <v>15</v>
      </c>
      <c r="B16" s="24" t="s">
        <v>144</v>
      </c>
      <c r="C16" s="20"/>
      <c r="D16" s="20" t="s">
        <v>145</v>
      </c>
      <c r="E16" s="20">
        <v>8</v>
      </c>
      <c r="F16" s="21">
        <v>5</v>
      </c>
      <c r="G16" s="22">
        <v>0.9</v>
      </c>
      <c r="H16" s="23">
        <f t="shared" si="0"/>
        <v>4.5</v>
      </c>
      <c r="I16" s="23">
        <f t="shared" si="1"/>
        <v>36</v>
      </c>
    </row>
    <row r="17" s="13" customFormat="1" customHeight="1" spans="1:9">
      <c r="A17" s="20">
        <v>16</v>
      </c>
      <c r="B17" s="24" t="s">
        <v>270</v>
      </c>
      <c r="C17" s="20"/>
      <c r="D17" s="20" t="s">
        <v>15</v>
      </c>
      <c r="E17" s="20">
        <v>3</v>
      </c>
      <c r="F17" s="21">
        <v>8</v>
      </c>
      <c r="G17" s="22">
        <v>0.9</v>
      </c>
      <c r="H17" s="23">
        <f t="shared" si="0"/>
        <v>7.2</v>
      </c>
      <c r="I17" s="23">
        <f t="shared" si="1"/>
        <v>21.6</v>
      </c>
    </row>
    <row r="18" s="13" customFormat="1" customHeight="1" spans="1:9">
      <c r="A18" s="20">
        <v>17</v>
      </c>
      <c r="B18" s="24" t="s">
        <v>36</v>
      </c>
      <c r="C18" s="28"/>
      <c r="D18" s="20" t="s">
        <v>41</v>
      </c>
      <c r="E18" s="28">
        <v>45</v>
      </c>
      <c r="F18" s="29">
        <v>3.56</v>
      </c>
      <c r="G18" s="30">
        <v>0.9</v>
      </c>
      <c r="H18" s="31">
        <f t="shared" si="0"/>
        <v>3.204</v>
      </c>
      <c r="I18" s="23">
        <f t="shared" si="1"/>
        <v>144.18</v>
      </c>
    </row>
    <row r="19" s="14" customFormat="1" customHeight="1" spans="1:9">
      <c r="A19" s="20">
        <v>18</v>
      </c>
      <c r="B19" s="32" t="s">
        <v>271</v>
      </c>
      <c r="C19" s="28"/>
      <c r="D19" s="20" t="s">
        <v>15</v>
      </c>
      <c r="E19" s="28">
        <v>2</v>
      </c>
      <c r="F19" s="29">
        <v>7</v>
      </c>
      <c r="G19" s="30">
        <v>0.9</v>
      </c>
      <c r="H19" s="31">
        <f t="shared" si="0"/>
        <v>6.3</v>
      </c>
      <c r="I19" s="23">
        <f t="shared" si="1"/>
        <v>12.6</v>
      </c>
    </row>
    <row r="20" s="14" customFormat="1" customHeight="1" spans="1:9">
      <c r="A20" s="20">
        <v>19</v>
      </c>
      <c r="B20" s="24" t="s">
        <v>272</v>
      </c>
      <c r="C20" s="24"/>
      <c r="D20" s="20" t="s">
        <v>15</v>
      </c>
      <c r="E20" s="28">
        <v>2</v>
      </c>
      <c r="F20" s="29">
        <v>7.56</v>
      </c>
      <c r="G20" s="30">
        <v>0.9</v>
      </c>
      <c r="H20" s="31">
        <f t="shared" si="0"/>
        <v>6.804</v>
      </c>
      <c r="I20" s="23">
        <f t="shared" si="1"/>
        <v>13.608</v>
      </c>
    </row>
    <row r="21" s="15" customFormat="1" customHeight="1" spans="1:9">
      <c r="A21" s="20">
        <v>20</v>
      </c>
      <c r="B21" s="33" t="s">
        <v>17</v>
      </c>
      <c r="C21" s="28"/>
      <c r="D21" s="20" t="s">
        <v>15</v>
      </c>
      <c r="E21" s="28">
        <v>8</v>
      </c>
      <c r="F21" s="29">
        <v>3.8</v>
      </c>
      <c r="G21" s="30">
        <v>0.9</v>
      </c>
      <c r="H21" s="31">
        <f t="shared" si="0"/>
        <v>3.42</v>
      </c>
      <c r="I21" s="31">
        <f t="shared" si="1"/>
        <v>27.36</v>
      </c>
    </row>
    <row r="22" s="15" customFormat="1" customHeight="1" spans="1:9">
      <c r="A22" s="20">
        <v>21</v>
      </c>
      <c r="B22" s="24" t="s">
        <v>239</v>
      </c>
      <c r="C22" s="28"/>
      <c r="D22" s="20" t="s">
        <v>15</v>
      </c>
      <c r="E22" s="28">
        <v>4</v>
      </c>
      <c r="F22" s="29">
        <v>3.3</v>
      </c>
      <c r="G22" s="30">
        <v>0.9</v>
      </c>
      <c r="H22" s="31">
        <f t="shared" si="0"/>
        <v>2.97</v>
      </c>
      <c r="I22" s="31">
        <f t="shared" si="1"/>
        <v>11.88</v>
      </c>
    </row>
    <row r="23" s="15" customFormat="1" customHeight="1" spans="1:9">
      <c r="A23" s="20">
        <v>22</v>
      </c>
      <c r="B23" s="24" t="s">
        <v>273</v>
      </c>
      <c r="C23" s="28" t="s">
        <v>274</v>
      </c>
      <c r="D23" s="28" t="s">
        <v>56</v>
      </c>
      <c r="E23" s="28">
        <v>1</v>
      </c>
      <c r="F23" s="29">
        <v>390</v>
      </c>
      <c r="G23" s="30">
        <v>0.9</v>
      </c>
      <c r="H23" s="31">
        <f t="shared" si="0"/>
        <v>351</v>
      </c>
      <c r="I23" s="31">
        <f t="shared" si="1"/>
        <v>351</v>
      </c>
    </row>
    <row r="24" s="16" customFormat="1" customHeight="1" spans="1:9">
      <c r="A24" s="34"/>
      <c r="B24" s="34" t="s">
        <v>127</v>
      </c>
      <c r="C24" s="34"/>
      <c r="D24" s="34"/>
      <c r="E24" s="34"/>
      <c r="F24" s="35"/>
      <c r="G24" s="36"/>
      <c r="H24" s="37"/>
      <c r="I24" s="38">
        <f>SUM(I2:I23)</f>
        <v>2136.546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D2" sqref="D2:D16"/>
    </sheetView>
  </sheetViews>
  <sheetFormatPr defaultColWidth="9" defaultRowHeight="18.75"/>
  <cols>
    <col min="1" max="1" width="6.625" style="2" customWidth="1"/>
    <col min="2" max="2" width="14.625" style="3" customWidth="1"/>
    <col min="3" max="3" width="9" style="1"/>
    <col min="4" max="4" width="16.25" style="1" customWidth="1"/>
    <col min="5" max="5" width="9" style="1"/>
    <col min="6" max="6" width="19.625" style="1" customWidth="1"/>
    <col min="7" max="8" width="9" style="1"/>
    <col min="9" max="9" width="10.125" style="1" customWidth="1"/>
    <col min="10" max="32" width="9" style="1"/>
    <col min="33" max="16384" width="6.875" style="1"/>
  </cols>
  <sheetData>
    <row r="1" s="1" customFormat="1" spans="1:2">
      <c r="A1" s="4" t="s">
        <v>125</v>
      </c>
      <c r="B1" s="5" t="s">
        <v>126</v>
      </c>
    </row>
    <row r="2" s="1" customFormat="1" spans="1:9">
      <c r="A2" s="4">
        <v>3.11</v>
      </c>
      <c r="B2" s="6">
        <v>2692.37</v>
      </c>
      <c r="C2" s="7"/>
      <c r="D2" s="6">
        <v>2935.37</v>
      </c>
      <c r="E2" s="7"/>
      <c r="F2" s="8"/>
      <c r="G2" s="9"/>
      <c r="H2" s="10"/>
      <c r="I2" s="12"/>
    </row>
    <row r="3" s="1" customFormat="1" spans="1:4">
      <c r="A3" s="4">
        <v>3.12</v>
      </c>
      <c r="B3" s="6">
        <v>1343.43</v>
      </c>
      <c r="D3" s="6">
        <v>1342.98</v>
      </c>
    </row>
    <row r="4" s="1" customFormat="1" spans="1:4">
      <c r="A4" s="4">
        <v>3.13</v>
      </c>
      <c r="B4" s="6">
        <v>4429.91</v>
      </c>
      <c r="D4" s="6">
        <v>4429.91</v>
      </c>
    </row>
    <row r="5" s="1" customFormat="1" spans="1:4">
      <c r="A5" s="4">
        <v>3.14</v>
      </c>
      <c r="B5" s="6">
        <v>1663.43</v>
      </c>
      <c r="D5" s="11">
        <v>1663.48</v>
      </c>
    </row>
    <row r="6" s="1" customFormat="1" spans="1:4">
      <c r="A6" s="4">
        <v>3.15</v>
      </c>
      <c r="B6" s="6">
        <v>2277.08</v>
      </c>
      <c r="D6" s="11">
        <v>2277.34</v>
      </c>
    </row>
    <row r="7" s="1" customFormat="1" spans="1:4">
      <c r="A7" s="4">
        <v>3.18</v>
      </c>
      <c r="B7" s="6">
        <v>1946.34</v>
      </c>
      <c r="D7" s="6">
        <v>1946.34</v>
      </c>
    </row>
    <row r="8" s="1" customFormat="1" spans="1:4">
      <c r="A8" s="4">
        <v>3.19</v>
      </c>
      <c r="B8" s="1">
        <v>1362.23</v>
      </c>
      <c r="C8" s="1">
        <v>1362.23</v>
      </c>
      <c r="D8" s="11">
        <v>1362.23</v>
      </c>
    </row>
    <row r="9" s="1" customFormat="1" spans="1:4">
      <c r="A9" s="4" t="s">
        <v>275</v>
      </c>
      <c r="B9" s="6">
        <v>1485.7</v>
      </c>
      <c r="D9" s="6">
        <v>1485.7</v>
      </c>
    </row>
    <row r="10" s="1" customFormat="1" spans="1:4">
      <c r="A10" s="4">
        <v>3.21</v>
      </c>
      <c r="B10" s="6">
        <v>1227.35</v>
      </c>
      <c r="D10" s="11">
        <v>1227.82</v>
      </c>
    </row>
    <row r="11" s="1" customFormat="1" spans="1:4">
      <c r="A11" s="4">
        <v>3.22</v>
      </c>
      <c r="B11" s="6">
        <v>1625.11</v>
      </c>
      <c r="D11" s="6">
        <v>1625.11</v>
      </c>
    </row>
    <row r="12" s="1" customFormat="1" spans="1:4">
      <c r="A12" s="4">
        <v>3.25</v>
      </c>
      <c r="B12" s="6">
        <v>2773.91</v>
      </c>
      <c r="D12" s="11">
        <v>2773.64</v>
      </c>
    </row>
    <row r="13" s="1" customFormat="1" spans="1:4">
      <c r="A13" s="4">
        <v>3.26</v>
      </c>
      <c r="B13" s="6">
        <v>1482.31</v>
      </c>
      <c r="D13" s="6">
        <v>1482.31</v>
      </c>
    </row>
    <row r="14" s="1" customFormat="1" spans="1:6">
      <c r="A14" s="4">
        <v>3.27</v>
      </c>
      <c r="B14" s="6">
        <v>1219.66</v>
      </c>
      <c r="D14" s="11">
        <v>1219.7</v>
      </c>
      <c r="F14" s="1">
        <v>29418</v>
      </c>
    </row>
    <row r="15" s="1" customFormat="1" spans="1:6">
      <c r="A15" s="4">
        <v>3.28</v>
      </c>
      <c r="B15" s="6">
        <v>1510.05</v>
      </c>
      <c r="D15" s="6">
        <v>1510.05</v>
      </c>
      <c r="F15" s="1">
        <v>9876</v>
      </c>
    </row>
    <row r="16" s="1" customFormat="1" spans="1:6">
      <c r="A16" s="4">
        <v>3.29</v>
      </c>
      <c r="B16" s="6">
        <v>2136.55</v>
      </c>
      <c r="D16" s="6">
        <v>2136.55</v>
      </c>
      <c r="F16" s="1">
        <f>SUM(F14:F15)</f>
        <v>39294</v>
      </c>
    </row>
    <row r="17" s="1" customFormat="1" spans="1:4">
      <c r="A17" s="4" t="s">
        <v>276</v>
      </c>
      <c r="B17" s="5">
        <f>SUM(B2:B16)</f>
        <v>29175.43</v>
      </c>
      <c r="D17" s="5">
        <f>SUM(D2:D16)</f>
        <v>29418.53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</vt:lpstr>
      <vt:lpstr>4</vt:lpstr>
      <vt:lpstr>5</vt:lpstr>
      <vt:lpstr>6</vt:lpstr>
      <vt:lpstr>7</vt:lpstr>
      <vt:lpstr>8</vt:lpstr>
      <vt:lpstr>3月合计</vt:lpstr>
      <vt:lpstr>11</vt:lpstr>
      <vt:lpstr>12</vt:lpstr>
      <vt:lpstr>13</vt:lpstr>
      <vt:lpstr>14</vt:lpstr>
      <vt:lpstr>15</vt:lpstr>
      <vt:lpstr>18</vt:lpstr>
      <vt:lpstr>19</vt:lpstr>
      <vt:lpstr>20</vt:lpstr>
      <vt:lpstr>21</vt:lpstr>
      <vt:lpstr>22</vt:lpstr>
      <vt:lpstr>25</vt:lpstr>
      <vt:lpstr>26</vt:lpstr>
      <vt:lpstr>27</vt:lpstr>
      <vt:lpstr>28</vt:lpstr>
      <vt:lpstr>29</vt:lpstr>
      <vt:lpstr>合计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罗小丽</cp:lastModifiedBy>
  <dcterms:created xsi:type="dcterms:W3CDTF">2023-07-03T11:11:00Z</dcterms:created>
  <dcterms:modified xsi:type="dcterms:W3CDTF">2025-02-15T05:45:38Z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0E1C7AE3AB9D456B9C34B9011364F17E_11</vt:lpwstr>
  </property>
  <property fmtid="{D5CDD505-2E9C-101B-9397-08002B2CF9AE}" pid="3" name="KSOProductBuildVer">
    <vt:lpwstr>2052-12.1.0.19770</vt:lpwstr>
  </property>
</Properties>
</file>