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 tabRatio="646" firstSheet="15" activeTab="28"/>
  </bookViews>
  <sheets>
    <sheet name="1" sheetId="1" r:id="rId1"/>
    <sheet name="2" sheetId="31" r:id="rId2"/>
    <sheet name="3" sheetId="9" r:id="rId3"/>
    <sheet name="4" sheetId="6" r:id="rId4"/>
    <sheet name="6" sheetId="11" r:id="rId5"/>
    <sheet name="7" sheetId="12" r:id="rId6"/>
    <sheet name="8" sheetId="13" r:id="rId7"/>
    <sheet name="9" sheetId="32" r:id="rId8"/>
    <sheet name="10" sheetId="14" r:id="rId9"/>
    <sheet name="11" sheetId="15" r:id="rId10"/>
    <sheet name="14" sheetId="18" r:id="rId11"/>
    <sheet name="15" sheetId="19" r:id="rId12"/>
    <sheet name="16" sheetId="33" r:id="rId13"/>
    <sheet name="17" sheetId="20" r:id="rId14"/>
    <sheet name="18" sheetId="21" r:id="rId15"/>
    <sheet name="20." sheetId="24" r:id="rId16"/>
    <sheet name="21." sheetId="22" r:id="rId17"/>
    <sheet name="22" sheetId="34" r:id="rId18"/>
    <sheet name="23" sheetId="35" r:id="rId19"/>
    <sheet name="24" sheetId="25" r:id="rId20"/>
    <sheet name="25" sheetId="26" r:id="rId21"/>
    <sheet name="26" sheetId="27" r:id="rId22"/>
    <sheet name="27" sheetId="28" r:id="rId23"/>
    <sheet name="28" sheetId="29" r:id="rId24"/>
    <sheet name="29" sheetId="36" r:id="rId25"/>
    <sheet name="29 (2)" sheetId="37" r:id="rId26"/>
    <sheet name="30" sheetId="38" r:id="rId27"/>
    <sheet name="31" sheetId="30" r:id="rId28"/>
    <sheet name="8月合计" sheetId="7" r:id="rId29"/>
    <sheet name="Sheet1" sheetId="39" r:id="rId30"/>
  </sheets>
  <definedNames>
    <definedName name="_xlnm.Print_Area" localSheetId="0">'1'!$A$1:$J$33</definedName>
    <definedName name="_xlnm.Print_Area" localSheetId="3">'4'!$A$1:$J$35</definedName>
    <definedName name="_xlnm.Print_Area" localSheetId="4">'6'!$A$1:$J$37</definedName>
    <definedName name="_xlnm.Print_Area" localSheetId="5">'7'!$A$1:$J$36</definedName>
    <definedName name="_xlnm.Print_Area" localSheetId="6">'8'!$A$1:$J$36</definedName>
    <definedName name="_xlnm.Print_Area" localSheetId="8">'10'!$A$1:$J$34</definedName>
    <definedName name="_xlnm.Print_Area" localSheetId="9">'11'!$A$1:$J$36</definedName>
    <definedName name="_xlnm.Print_Area" localSheetId="10">'14'!$A$1:$J$35</definedName>
    <definedName name="_xlnm.Print_Area" localSheetId="11">'15'!$A$1:$J$36</definedName>
    <definedName name="_xlnm.Print_Area" localSheetId="13">'17'!$A$1:$J$35</definedName>
    <definedName name="_xlnm.Print_Area" localSheetId="14">'18'!$A$1:$J$36</definedName>
    <definedName name="_xlnm.Print_Area" localSheetId="16">'21.'!$A$1:$J$35</definedName>
    <definedName name="_xlnm.Print_Area" localSheetId="15">'20.'!$A$1:$J$34</definedName>
    <definedName name="_xlnm.Print_Area" localSheetId="19">'24'!$A$1:$J$35</definedName>
    <definedName name="_xlnm.Print_Area" localSheetId="20">'25'!$A$1:$J$37</definedName>
    <definedName name="_xlnm.Print_Area" localSheetId="21">'26'!$A$1:$J$36</definedName>
    <definedName name="_xlnm.Print_Area" localSheetId="22">'27'!$A$1:$J$36</definedName>
    <definedName name="_xlnm.Print_Area" localSheetId="23">'28'!$A$1:$J$40</definedName>
    <definedName name="_xlnm.Print_Area" localSheetId="27">'31'!$A$1:$J$35</definedName>
    <definedName name="_xlnm.Print_Area" localSheetId="1">'2'!$A$1:$J$36</definedName>
    <definedName name="_xlnm.Print_Area" localSheetId="2">'3'!$A$1:$J$37</definedName>
    <definedName name="_xlnm.Print_Area" localSheetId="7">'9'!$A$1:$J$34</definedName>
    <definedName name="_xlnm.Print_Area" localSheetId="12">'16'!$A$1:$J$36</definedName>
    <definedName name="_xlnm.Print_Area" localSheetId="17">'22'!$A$1:$J$32</definedName>
    <definedName name="_xlnm.Print_Area" localSheetId="18">'23'!$A$1:$J$33</definedName>
    <definedName name="_xlnm.Print_Area" localSheetId="24">'29'!$A$1:$J$35</definedName>
    <definedName name="_xlnm.Print_Area" localSheetId="25">'29 (2)'!$A$1:$J$31</definedName>
    <definedName name="_xlnm.Print_Area" localSheetId="26">'30'!$A$1:$J$33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<sst xmlns="http://schemas.openxmlformats.org/spreadsheetml/2006/main" count="1554" uniqueCount="272">
  <si>
    <t>武汉康恩农贸发展有限公司送货单</t>
  </si>
  <si>
    <t>收货单位：汉南数智化检测分公司</t>
  </si>
  <si>
    <t>配送日期：2023-8-1</t>
  </si>
  <si>
    <t>序号</t>
  </si>
  <si>
    <t>名称</t>
  </si>
  <si>
    <t>规格</t>
  </si>
  <si>
    <t>单位</t>
  </si>
  <si>
    <t>数量</t>
  </si>
  <si>
    <t>超市价格</t>
  </si>
  <si>
    <t>折扣率</t>
  </si>
  <si>
    <t>折后价</t>
  </si>
  <si>
    <t>折后金额</t>
  </si>
  <si>
    <t>备注</t>
  </si>
  <si>
    <t>（新鲜）河粉</t>
  </si>
  <si>
    <t>斤</t>
  </si>
  <si>
    <t>热干面（熟）</t>
  </si>
  <si>
    <t>熟凉面</t>
  </si>
  <si>
    <t>白萝卜</t>
  </si>
  <si>
    <t>大红薯</t>
  </si>
  <si>
    <t>胡萝卜</t>
  </si>
  <si>
    <t>甜玉米棒</t>
  </si>
  <si>
    <t>个</t>
  </si>
  <si>
    <t>黄瓜</t>
  </si>
  <si>
    <t>青丝瓜</t>
  </si>
  <si>
    <t>生菜</t>
  </si>
  <si>
    <t>细土芹</t>
  </si>
  <si>
    <t>红壳鸡蛋</t>
  </si>
  <si>
    <t>12板/件</t>
  </si>
  <si>
    <t>件</t>
  </si>
  <si>
    <t>【鲜】五花肉沫</t>
  </si>
  <si>
    <t>【鲜】猪脊骨</t>
  </si>
  <si>
    <t>手撕鸡</t>
  </si>
  <si>
    <t>只</t>
  </si>
  <si>
    <t>鲁花压榨玉米油</t>
  </si>
  <si>
    <t>5L*4壶/件</t>
  </si>
  <si>
    <t>缅甸香米25kg</t>
  </si>
  <si>
    <t>25kg</t>
  </si>
  <si>
    <t>袋</t>
  </si>
  <si>
    <t>光明畅优0腹担风味发酵乳</t>
  </si>
  <si>
    <t>100g/杯</t>
  </si>
  <si>
    <t>杯</t>
  </si>
  <si>
    <t>【鲜】净大草鱼</t>
  </si>
  <si>
    <t>合计:</t>
  </si>
  <si>
    <t>金额大写：</t>
  </si>
  <si>
    <t>制表人 ：樊君丽                 收货人：                送货人：</t>
  </si>
  <si>
    <t>大圆皮</t>
  </si>
  <si>
    <t>干细粉</t>
  </si>
  <si>
    <t>散称</t>
  </si>
  <si>
    <t>白豆角</t>
  </si>
  <si>
    <t>红椒</t>
  </si>
  <si>
    <t>芜湖青椒</t>
  </si>
  <si>
    <t>西红柿</t>
  </si>
  <si>
    <t>有机花菜</t>
  </si>
  <si>
    <t>大白菜</t>
  </si>
  <si>
    <t>香菜</t>
  </si>
  <si>
    <t>麒麟西瓜</t>
  </si>
  <si>
    <t>净大财鱼</t>
  </si>
  <si>
    <t>3斤以上</t>
  </si>
  <si>
    <t>【冻】思念白糯小汤圆（无馅）</t>
  </si>
  <si>
    <t>500g*20包/件</t>
  </si>
  <si>
    <t>旺食堂蒙古肉</t>
  </si>
  <si>
    <t>500g*24袋</t>
  </si>
  <si>
    <t>海天金标生抽1.9L</t>
  </si>
  <si>
    <t>1.9L*6壶/件</t>
  </si>
  <si>
    <t>箱</t>
  </si>
  <si>
    <t>盐渍海带丝</t>
  </si>
  <si>
    <t>18斤/件</t>
  </si>
  <si>
    <t>百事可乐2L</t>
  </si>
  <si>
    <t>2L*6瓶</t>
  </si>
  <si>
    <t>收货单位：</t>
  </si>
  <si>
    <t>汉南数智化检测分公司</t>
  </si>
  <si>
    <t>配送日期：</t>
  </si>
  <si>
    <t>大葱</t>
  </si>
  <si>
    <t>大土豆</t>
  </si>
  <si>
    <t>藕带</t>
  </si>
  <si>
    <t>冬瓜</t>
  </si>
  <si>
    <t>嫩豆腐</t>
  </si>
  <si>
    <t>【鲜】净麻鸭</t>
  </si>
  <si>
    <t>【鲜】猪通排骨</t>
  </si>
  <si>
    <t>奥利客烘焙调理奶油</t>
  </si>
  <si>
    <t>907g/12瓶/件</t>
  </si>
  <si>
    <t>瓶</t>
  </si>
  <si>
    <t>红花椒</t>
  </si>
  <si>
    <t>梦诺苹果汁</t>
  </si>
  <si>
    <t>1L</t>
  </si>
  <si>
    <t>孝感米酒900g</t>
  </si>
  <si>
    <t>900g*6瓶/件</t>
  </si>
  <si>
    <t>娃哈哈桶装水</t>
  </si>
  <si>
    <t>16.8L</t>
  </si>
  <si>
    <t>桶</t>
  </si>
  <si>
    <t>供货合计:</t>
  </si>
  <si>
    <t>红皮洋葱</t>
  </si>
  <si>
    <t>黄豆芽</t>
  </si>
  <si>
    <t>青豆角</t>
  </si>
  <si>
    <t>青椒</t>
  </si>
  <si>
    <t>紫长茄子（细长）</t>
  </si>
  <si>
    <t>口蘑</t>
  </si>
  <si>
    <t>韭菜</t>
  </si>
  <si>
    <t>【鲜】精品五花</t>
  </si>
  <si>
    <t>【鲜】猪肝</t>
  </si>
  <si>
    <t>【鲜】猪五花肉片</t>
  </si>
  <si>
    <t>白砂糖</t>
  </si>
  <si>
    <t>蒸肉白米粉(细）</t>
  </si>
  <si>
    <t>小葱</t>
  </si>
  <si>
    <t>平菇</t>
  </si>
  <si>
    <t>熟鹌鹑蛋</t>
  </si>
  <si>
    <t>【鲜】猪瘦肉丝</t>
  </si>
  <si>
    <t>【鲜】基围虾</t>
  </si>
  <si>
    <t>【鲜】净黄骨鱼</t>
  </si>
  <si>
    <t>铁棍山药</t>
  </si>
  <si>
    <t>【鲜】净牛蛙</t>
  </si>
  <si>
    <t>1911老酸奶</t>
  </si>
  <si>
    <t>烧麦皮</t>
  </si>
  <si>
    <t>生姜</t>
  </si>
  <si>
    <t>红薯</t>
  </si>
  <si>
    <t>平包菜</t>
  </si>
  <si>
    <t>薄干子</t>
  </si>
  <si>
    <t>厨师乐加鲜味精</t>
  </si>
  <si>
    <t>2.27kg*10袋/件</t>
  </si>
  <si>
    <t>海天白醋</t>
  </si>
  <si>
    <t>壶</t>
  </si>
  <si>
    <t>双塔龙口粉丝</t>
  </si>
  <si>
    <t>500g*24袋/件</t>
  </si>
  <si>
    <t>卤牛肉</t>
  </si>
  <si>
    <t>青苦瓜</t>
  </si>
  <si>
    <t>鲜香菇</t>
  </si>
  <si>
    <t>广东菜心</t>
  </si>
  <si>
    <t>【鲜】净三黄鸡</t>
  </si>
  <si>
    <t>雪碧柠檬味汽水</t>
  </si>
  <si>
    <t>2L*6瓶/箱</t>
  </si>
  <si>
    <t>西兰花</t>
  </si>
  <si>
    <t>【鲜】猪血</t>
  </si>
  <si>
    <t>净鳝鱼</t>
  </si>
  <si>
    <t>松泉青虾仁</t>
  </si>
  <si>
    <t>650g/袋*8</t>
  </si>
  <si>
    <t>大桥鸡精900g</t>
  </si>
  <si>
    <t>900g*10袋/件</t>
  </si>
  <si>
    <t>劲宝超级生粉</t>
  </si>
  <si>
    <t>5kg</t>
  </si>
  <si>
    <t>雀巢怡运奶粉</t>
  </si>
  <si>
    <t>300g*12袋</t>
  </si>
  <si>
    <t>重庆三五火锅底料</t>
  </si>
  <si>
    <t>300g*32袋/件</t>
  </si>
  <si>
    <t>迷你百事可乐</t>
  </si>
  <si>
    <t>300ml</t>
  </si>
  <si>
    <t>迷你雪碧</t>
  </si>
  <si>
    <t>刀豆</t>
  </si>
  <si>
    <t>嫩藕</t>
  </si>
  <si>
    <t>瓠子</t>
  </si>
  <si>
    <t>韭黄</t>
  </si>
  <si>
    <t>永超榨菜</t>
  </si>
  <si>
    <t>8斤</t>
  </si>
  <si>
    <t>饺子皮</t>
  </si>
  <si>
    <t>蒜米</t>
  </si>
  <si>
    <t>美都西瓜</t>
  </si>
  <si>
    <t>菱角米（去壳）</t>
  </si>
  <si>
    <t>鲜莲子米心（手剥）</t>
  </si>
  <si>
    <t>新鲜毛豆米</t>
  </si>
  <si>
    <t>大藕</t>
  </si>
  <si>
    <t>油麦菜</t>
  </si>
  <si>
    <t>安琪酵母</t>
  </si>
  <si>
    <t>500g*20袋/件</t>
  </si>
  <si>
    <t>卤牛肚</t>
  </si>
  <si>
    <t>鲁至尊面粉</t>
  </si>
  <si>
    <t>光明健能酸奶180g</t>
  </si>
  <si>
    <t>180g</t>
  </si>
  <si>
    <t>小白菜</t>
  </si>
  <si>
    <t>【鲜】猪瘦肉片</t>
  </si>
  <si>
    <t>【鲜】净小鲫鱼</t>
  </si>
  <si>
    <t>2-3两</t>
  </si>
  <si>
    <t>生面窝浆</t>
  </si>
  <si>
    <t>新鲜蒜苗</t>
  </si>
  <si>
    <t>【鲜】净胖头鱼头</t>
  </si>
  <si>
    <t>【冻】鱿鱼须</t>
  </si>
  <si>
    <t>350g</t>
  </si>
  <si>
    <t>王牌冻基围虾</t>
  </si>
  <si>
    <t>1.4kg*10盒/件</t>
  </si>
  <si>
    <t>盒</t>
  </si>
  <si>
    <t>八角</t>
  </si>
  <si>
    <t>蛋糕油</t>
  </si>
  <si>
    <t>桂皮</t>
  </si>
  <si>
    <t>海天精制蚝油6kg</t>
  </si>
  <si>
    <t>6kg*2桶</t>
  </si>
  <si>
    <t>娃娃菜</t>
  </si>
  <si>
    <t>散装</t>
  </si>
  <si>
    <t>豆沙</t>
  </si>
  <si>
    <t>1.75kg*8袋/件</t>
  </si>
  <si>
    <t>干红枣片</t>
  </si>
  <si>
    <t>老红糖（散称）</t>
  </si>
  <si>
    <t>烤鸭</t>
  </si>
  <si>
    <t>净莴苣</t>
  </si>
  <si>
    <t>空心菜</t>
  </si>
  <si>
    <t xml:space="preserve"> </t>
  </si>
  <si>
    <t>云鹤精制碘盐</t>
  </si>
  <si>
    <t>500g*50袋/件</t>
  </si>
  <si>
    <t>干黄豆</t>
  </si>
  <si>
    <t>50斤/件</t>
  </si>
  <si>
    <t>正和珍珠糯米</t>
  </si>
  <si>
    <t>50斤/袋</t>
  </si>
  <si>
    <t>伊利一杯优酪酸奶</t>
  </si>
  <si>
    <t>100g</t>
  </si>
  <si>
    <t>兰州包菜</t>
  </si>
  <si>
    <t>光明益生菌酸奶（原味）</t>
  </si>
  <si>
    <t>韭菜花</t>
  </si>
  <si>
    <t>惠万家烟鸭胸</t>
  </si>
  <si>
    <t>水发海带头</t>
  </si>
  <si>
    <t>光明益生菌酸奶（红枣味）</t>
  </si>
  <si>
    <t>老南瓜</t>
  </si>
  <si>
    <t>【鲜】猪脚</t>
  </si>
  <si>
    <t>安佳黄油</t>
  </si>
  <si>
    <t>坛坛乡剁椒1.15kg</t>
  </si>
  <si>
    <t>1.15kg*6瓶/件</t>
  </si>
  <si>
    <t>金针菇</t>
  </si>
  <si>
    <t>【冻】太合鸡脯肉</t>
  </si>
  <si>
    <t>9.8kg/件</t>
  </si>
  <si>
    <t>板栗米</t>
  </si>
  <si>
    <t>清水笋丝</t>
  </si>
  <si>
    <t>2.5kg*6包/件</t>
  </si>
  <si>
    <t>包</t>
  </si>
  <si>
    <t>毛豆(剪好)</t>
  </si>
  <si>
    <t>厚干子</t>
  </si>
  <si>
    <t>海天蒸鱼豉油1.75L</t>
  </si>
  <si>
    <t>1.75L*6壶/件</t>
  </si>
  <si>
    <t>文武酱菜外婆菜</t>
  </si>
  <si>
    <t>208g*40包/件</t>
  </si>
  <si>
    <t>芝麻酱</t>
  </si>
  <si>
    <t>新鲜玉米粒</t>
  </si>
  <si>
    <t>兴昌农速冻甜青豆米</t>
  </si>
  <si>
    <t>1kg*15袋</t>
  </si>
  <si>
    <t>忠哥飘香猪尾</t>
  </si>
  <si>
    <t>400g*30袋</t>
  </si>
  <si>
    <t>双汇王中王火腿肠</t>
  </si>
  <si>
    <t>55g*60根/件</t>
  </si>
  <si>
    <t>根</t>
  </si>
  <si>
    <t>幺麻子藤椒油</t>
  </si>
  <si>
    <t>250ml*10瓶</t>
  </si>
  <si>
    <t>火腿肠（整件）</t>
  </si>
  <si>
    <t>绿豆</t>
  </si>
  <si>
    <t>25kg/件</t>
  </si>
  <si>
    <t>天车甜面酱</t>
  </si>
  <si>
    <t>500g*12瓶/件</t>
  </si>
  <si>
    <t>味福白胡椒粉</t>
  </si>
  <si>
    <t>227g*10袋/件</t>
  </si>
  <si>
    <t>忠意鸭血</t>
  </si>
  <si>
    <t>300g*20盒/件</t>
  </si>
  <si>
    <t>福达坊芝麻香油</t>
  </si>
  <si>
    <t>360ml*12瓶</t>
  </si>
  <si>
    <t>金龙鱼玉米油</t>
  </si>
  <si>
    <t>6倍果汁饮料</t>
  </si>
  <si>
    <t>1.6L</t>
  </si>
  <si>
    <t>安琪油条膨松剂20g/袋</t>
  </si>
  <si>
    <t>20g/袋</t>
  </si>
  <si>
    <t>七彩巧克力针</t>
  </si>
  <si>
    <t>600g</t>
  </si>
  <si>
    <t>罐</t>
  </si>
  <si>
    <t>食用可可粉</t>
  </si>
  <si>
    <t>金像牌面包用小麦粉</t>
  </si>
  <si>
    <t>22.7kg</t>
  </si>
  <si>
    <t>水塔陈醋</t>
  </si>
  <si>
    <t>420ML*15瓶</t>
  </si>
  <si>
    <t>米美佳籼优米</t>
  </si>
  <si>
    <t>10kg</t>
  </si>
  <si>
    <t>净芋头</t>
  </si>
  <si>
    <t>（去皮，小）</t>
  </si>
  <si>
    <t>米美佳东北香米15kg/袋</t>
  </si>
  <si>
    <t>15kg/袋</t>
  </si>
  <si>
    <t>光明畅优酸奶（原味）</t>
  </si>
  <si>
    <t>39号食堂</t>
  </si>
  <si>
    <t>日期</t>
  </si>
  <si>
    <t>单1</t>
  </si>
  <si>
    <t>单2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</si>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</sst>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[DBNum2][$RMB]General;[Red][DBNum2][$RMB]General"/>
  </numFmts>
  <fonts count="25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6"/>
      <color rgb="FF000000"/>
      <name val="宋体"/>
      <charset val="134"/>
    </font>
    <font>
      <sz val="11"/>
      <name val="宋体"/>
      <charset val="134"/>
    </font>
    <font>
      <sz val="9"/>
      <color rgb="FF000000"/>
      <name val="宋体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4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zoomScale="85" zoomScaleNormal="85" topLeftCell="A9" workbookViewId="0">
      <selection activeCell="I9" sqref="I$1:I$1048576"/>
    </sheetView>
  </sheetViews>
  <sheetFormatPr defaultColWidth="11" defaultRowHeight="18" customHeight="1"/>
  <cols>
    <col min="1" max="1" width="8" style="3" customWidth="1"/>
    <col min="2" max="2" width="16.125" style="3" customWidth="1"/>
    <col min="3" max="3" width="13" style="3" customWidth="1"/>
    <col min="4" max="4" width="4.875" style="3" customWidth="1"/>
    <col min="5" max="5" width="5.5" style="3" customWidth="1"/>
    <col min="6" max="6" width="9.075" style="3" customWidth="1"/>
    <col min="7" max="7" width="7.125" style="3" customWidth="1"/>
    <col min="8" max="8" width="7.375" style="3" customWidth="1"/>
    <col min="9" max="9" width="8.625" style="3" customWidth="1"/>
    <col min="10" max="10" width="7" style="3" customWidth="1"/>
    <col min="11" max="16319" width="11.6666666666667" style="3" customWidth="1"/>
    <col min="16320" max="16320" width="11.6666666666667" style="3"/>
    <col min="16321" max="16326" width="11" style="3"/>
    <col min="16327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3" customFormat="1" ht="9" customHeight="1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="3" customFormat="1" customHeight="1" spans="1:1">
      <c r="A3" s="3" t="s">
        <v>1</v>
      </c>
    </row>
    <row r="4" s="3" customFormat="1" customHeight="1" spans="1:10">
      <c r="A4" s="3" t="s">
        <v>2</v>
      </c>
      <c r="B4" s="8"/>
      <c r="C4" s="8"/>
      <c r="D4" s="9"/>
      <c r="E4" s="9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4</v>
      </c>
      <c r="F6" s="13">
        <f t="shared" ref="F6:F23" si="0">H6/0.85</f>
        <v>3.52941176470588</v>
      </c>
      <c r="G6" s="14">
        <f t="shared" ref="G6:G23" si="1">H6/F6</f>
        <v>0.85</v>
      </c>
      <c r="H6" s="15">
        <v>3</v>
      </c>
      <c r="I6" s="15">
        <f>E6*H6</f>
        <v>12</v>
      </c>
      <c r="J6" s="11"/>
    </row>
    <row r="7" s="3" customFormat="1" ht="16" customHeight="1" spans="1:10">
      <c r="A7" s="11">
        <v>2</v>
      </c>
      <c r="B7" s="11" t="s">
        <v>15</v>
      </c>
      <c r="C7" s="11"/>
      <c r="D7" s="12" t="s">
        <v>14</v>
      </c>
      <c r="E7" s="12">
        <v>4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ref="I6:I27" si="2">E7*H7</f>
        <v>14</v>
      </c>
      <c r="J7" s="11"/>
    </row>
    <row r="8" s="3" customFormat="1" ht="16" customHeight="1" spans="1:10">
      <c r="A8" s="11">
        <v>3</v>
      </c>
      <c r="B8" s="11" t="s">
        <v>16</v>
      </c>
      <c r="C8" s="11"/>
      <c r="D8" s="12" t="s">
        <v>14</v>
      </c>
      <c r="E8" s="12">
        <v>2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7</v>
      </c>
      <c r="J8" s="11"/>
    </row>
    <row r="9" s="3" customFormat="1" ht="16" customHeight="1" spans="1:10">
      <c r="A9" s="11">
        <v>4</v>
      </c>
      <c r="B9" s="16" t="s">
        <v>17</v>
      </c>
      <c r="C9" s="16"/>
      <c r="D9" s="12" t="s">
        <v>14</v>
      </c>
      <c r="E9" s="12">
        <v>5</v>
      </c>
      <c r="F9" s="13">
        <f t="shared" si="0"/>
        <v>2.35294117647059</v>
      </c>
      <c r="G9" s="14">
        <f t="shared" si="1"/>
        <v>0.85</v>
      </c>
      <c r="H9" s="15">
        <v>2</v>
      </c>
      <c r="I9" s="15">
        <f t="shared" si="2"/>
        <v>10</v>
      </c>
      <c r="J9" s="11"/>
    </row>
    <row r="10" s="3" customFormat="1" ht="16" customHeight="1" spans="1:10">
      <c r="A10" s="11">
        <v>5</v>
      </c>
      <c r="B10" s="16" t="s">
        <v>18</v>
      </c>
      <c r="C10" s="16"/>
      <c r="D10" s="12" t="s">
        <v>14</v>
      </c>
      <c r="E10" s="12">
        <v>5</v>
      </c>
      <c r="F10" s="13">
        <f t="shared" si="0"/>
        <v>4.11764705882353</v>
      </c>
      <c r="G10" s="14">
        <f t="shared" si="1"/>
        <v>0.85</v>
      </c>
      <c r="H10" s="15">
        <v>3.5</v>
      </c>
      <c r="I10" s="15">
        <f t="shared" si="2"/>
        <v>17.5</v>
      </c>
      <c r="J10" s="11"/>
    </row>
    <row r="11" s="3" customFormat="1" ht="16" customHeight="1" spans="1:10">
      <c r="A11" s="11">
        <v>6</v>
      </c>
      <c r="B11" s="11" t="s">
        <v>19</v>
      </c>
      <c r="C11" s="11"/>
      <c r="D11" s="12" t="s">
        <v>14</v>
      </c>
      <c r="E11" s="12">
        <v>3</v>
      </c>
      <c r="F11" s="13">
        <f t="shared" si="0"/>
        <v>2.94117647058824</v>
      </c>
      <c r="G11" s="14">
        <f t="shared" si="1"/>
        <v>0.85</v>
      </c>
      <c r="H11" s="15">
        <v>2.5</v>
      </c>
      <c r="I11" s="15">
        <f t="shared" si="2"/>
        <v>7.5</v>
      </c>
      <c r="J11" s="11"/>
    </row>
    <row r="12" s="3" customFormat="1" ht="16" customHeight="1" spans="1:10">
      <c r="A12" s="11">
        <v>7</v>
      </c>
      <c r="B12" s="11" t="s">
        <v>20</v>
      </c>
      <c r="C12" s="11"/>
      <c r="D12" s="12" t="s">
        <v>21</v>
      </c>
      <c r="E12" s="12">
        <v>7</v>
      </c>
      <c r="F12" s="13">
        <f t="shared" si="0"/>
        <v>3.52941176470588</v>
      </c>
      <c r="G12" s="14">
        <f t="shared" si="1"/>
        <v>0.85</v>
      </c>
      <c r="H12" s="15">
        <v>3</v>
      </c>
      <c r="I12" s="15">
        <f t="shared" si="2"/>
        <v>21</v>
      </c>
      <c r="J12" s="11"/>
    </row>
    <row r="13" s="3" customFormat="1" ht="16" customHeight="1" spans="1:10">
      <c r="A13" s="11">
        <v>8</v>
      </c>
      <c r="B13" s="11" t="s">
        <v>22</v>
      </c>
      <c r="C13" s="11"/>
      <c r="D13" s="12" t="s">
        <v>14</v>
      </c>
      <c r="E13" s="12">
        <v>5.2</v>
      </c>
      <c r="F13" s="13">
        <f t="shared" si="0"/>
        <v>3.29411764705882</v>
      </c>
      <c r="G13" s="14">
        <f t="shared" si="1"/>
        <v>0.85</v>
      </c>
      <c r="H13" s="15">
        <v>2.8</v>
      </c>
      <c r="I13" s="15">
        <f t="shared" si="2"/>
        <v>14.56</v>
      </c>
      <c r="J13" s="11"/>
    </row>
    <row r="14" s="3" customFormat="1" ht="16" customHeight="1" spans="1:10">
      <c r="A14" s="11">
        <v>9</v>
      </c>
      <c r="B14" s="16" t="s">
        <v>23</v>
      </c>
      <c r="C14" s="16"/>
      <c r="D14" s="17" t="s">
        <v>14</v>
      </c>
      <c r="E14" s="17">
        <v>15.2</v>
      </c>
      <c r="F14" s="13">
        <f t="shared" si="0"/>
        <v>5.29411764705882</v>
      </c>
      <c r="G14" s="14">
        <f t="shared" si="1"/>
        <v>0.85</v>
      </c>
      <c r="H14" s="18">
        <v>4.5</v>
      </c>
      <c r="I14" s="15">
        <f t="shared" si="2"/>
        <v>68.4</v>
      </c>
      <c r="J14" s="16"/>
    </row>
    <row r="15" s="3" customFormat="1" ht="16" customHeight="1" spans="1:10">
      <c r="A15" s="11">
        <v>10</v>
      </c>
      <c r="B15" s="16" t="s">
        <v>24</v>
      </c>
      <c r="C15" s="16"/>
      <c r="D15" s="17" t="s">
        <v>14</v>
      </c>
      <c r="E15" s="17">
        <v>13</v>
      </c>
      <c r="F15" s="13">
        <f t="shared" si="0"/>
        <v>6.47058823529412</v>
      </c>
      <c r="G15" s="14">
        <f t="shared" si="1"/>
        <v>0.85</v>
      </c>
      <c r="H15" s="18">
        <v>5.5</v>
      </c>
      <c r="I15" s="15">
        <f t="shared" si="2"/>
        <v>71.5</v>
      </c>
      <c r="J15" s="16"/>
    </row>
    <row r="16" s="3" customFormat="1" ht="16" customHeight="1" spans="1:10">
      <c r="A16" s="11">
        <v>11</v>
      </c>
      <c r="B16" s="11" t="s">
        <v>25</v>
      </c>
      <c r="C16" s="11"/>
      <c r="D16" s="12" t="s">
        <v>14</v>
      </c>
      <c r="E16" s="12">
        <v>2</v>
      </c>
      <c r="F16" s="13">
        <f t="shared" si="0"/>
        <v>6.47058823529412</v>
      </c>
      <c r="G16" s="14">
        <f t="shared" si="1"/>
        <v>0.85</v>
      </c>
      <c r="H16" s="15">
        <v>5.5</v>
      </c>
      <c r="I16" s="15">
        <f t="shared" si="2"/>
        <v>11</v>
      </c>
      <c r="J16" s="11"/>
    </row>
    <row r="17" s="3" customFormat="1" ht="16" customHeight="1" spans="1:10">
      <c r="A17" s="11">
        <v>12</v>
      </c>
      <c r="B17" s="16" t="s">
        <v>26</v>
      </c>
      <c r="C17" s="16" t="s">
        <v>27</v>
      </c>
      <c r="D17" s="17" t="s">
        <v>28</v>
      </c>
      <c r="E17" s="17">
        <v>1</v>
      </c>
      <c r="F17" s="13">
        <f t="shared" si="0"/>
        <v>352.941176470588</v>
      </c>
      <c r="G17" s="14">
        <f t="shared" si="1"/>
        <v>0.85</v>
      </c>
      <c r="H17" s="18">
        <v>300</v>
      </c>
      <c r="I17" s="15">
        <f t="shared" si="2"/>
        <v>300</v>
      </c>
      <c r="J17" s="16"/>
    </row>
    <row r="18" s="3" customFormat="1" ht="16" customHeight="1" spans="1:10">
      <c r="A18" s="11">
        <v>13</v>
      </c>
      <c r="B18" s="16" t="s">
        <v>29</v>
      </c>
      <c r="C18" s="16"/>
      <c r="D18" s="17" t="s">
        <v>14</v>
      </c>
      <c r="E18" s="17">
        <v>2</v>
      </c>
      <c r="F18" s="13">
        <f t="shared" si="0"/>
        <v>19.7647058823529</v>
      </c>
      <c r="G18" s="14">
        <f t="shared" si="1"/>
        <v>0.85</v>
      </c>
      <c r="H18" s="18">
        <v>16.8</v>
      </c>
      <c r="I18" s="15">
        <f t="shared" si="2"/>
        <v>33.6</v>
      </c>
      <c r="J18" s="16"/>
    </row>
    <row r="19" s="3" customFormat="1" ht="16" customHeight="1" spans="1:10">
      <c r="A19" s="11">
        <v>14</v>
      </c>
      <c r="B19" s="16" t="s">
        <v>30</v>
      </c>
      <c r="C19" s="16"/>
      <c r="D19" s="17" t="s">
        <v>14</v>
      </c>
      <c r="E19" s="17">
        <v>5</v>
      </c>
      <c r="F19" s="13">
        <f t="shared" si="0"/>
        <v>16.4705882352941</v>
      </c>
      <c r="G19" s="14">
        <f t="shared" si="1"/>
        <v>0.85</v>
      </c>
      <c r="H19" s="18">
        <v>14</v>
      </c>
      <c r="I19" s="15">
        <f t="shared" si="2"/>
        <v>70</v>
      </c>
      <c r="J19" s="16"/>
    </row>
    <row r="20" s="3" customFormat="1" ht="16" customHeight="1" spans="1:10">
      <c r="A20" s="11">
        <v>15</v>
      </c>
      <c r="B20" s="16" t="s">
        <v>31</v>
      </c>
      <c r="C20" s="16"/>
      <c r="D20" s="16" t="s">
        <v>32</v>
      </c>
      <c r="E20" s="17">
        <v>6</v>
      </c>
      <c r="F20" s="13">
        <f t="shared" si="0"/>
        <v>30.5882352941176</v>
      </c>
      <c r="G20" s="14">
        <f t="shared" si="1"/>
        <v>0.85</v>
      </c>
      <c r="H20" s="18">
        <v>26</v>
      </c>
      <c r="I20" s="15">
        <f t="shared" si="2"/>
        <v>156</v>
      </c>
      <c r="J20" s="16"/>
    </row>
    <row r="21" s="3" customFormat="1" ht="16" customHeight="1" spans="1:10">
      <c r="A21" s="11">
        <v>16</v>
      </c>
      <c r="B21" s="16" t="s">
        <v>33</v>
      </c>
      <c r="C21" s="16" t="s">
        <v>34</v>
      </c>
      <c r="D21" s="17" t="s">
        <v>28</v>
      </c>
      <c r="E21" s="17">
        <v>2</v>
      </c>
      <c r="F21" s="13">
        <f t="shared" si="0"/>
        <v>500</v>
      </c>
      <c r="G21" s="14">
        <f t="shared" si="1"/>
        <v>0.85</v>
      </c>
      <c r="H21" s="18">
        <v>425</v>
      </c>
      <c r="I21" s="15">
        <f t="shared" si="2"/>
        <v>850</v>
      </c>
      <c r="J21" s="16"/>
    </row>
    <row r="22" s="3" customFormat="1" ht="16" customHeight="1" spans="1:10">
      <c r="A22" s="11">
        <v>17</v>
      </c>
      <c r="B22" s="16" t="s">
        <v>35</v>
      </c>
      <c r="C22" s="16" t="s">
        <v>36</v>
      </c>
      <c r="D22" s="17" t="s">
        <v>37</v>
      </c>
      <c r="E22" s="17">
        <v>1</v>
      </c>
      <c r="F22" s="13">
        <f t="shared" si="0"/>
        <v>247.058823529412</v>
      </c>
      <c r="G22" s="14">
        <f t="shared" si="1"/>
        <v>0.85</v>
      </c>
      <c r="H22" s="18">
        <v>210</v>
      </c>
      <c r="I22" s="15">
        <f t="shared" si="2"/>
        <v>210</v>
      </c>
      <c r="J22" s="16"/>
    </row>
    <row r="23" s="3" customFormat="1" ht="16" customHeight="1" spans="1:10">
      <c r="A23" s="11">
        <v>18</v>
      </c>
      <c r="B23" s="11" t="s">
        <v>38</v>
      </c>
      <c r="C23" s="11" t="s">
        <v>39</v>
      </c>
      <c r="D23" s="12" t="s">
        <v>40</v>
      </c>
      <c r="E23" s="12">
        <v>63</v>
      </c>
      <c r="F23" s="13">
        <f t="shared" si="0"/>
        <v>4.11764705882353</v>
      </c>
      <c r="G23" s="14">
        <f t="shared" si="1"/>
        <v>0.85</v>
      </c>
      <c r="H23" s="15">
        <v>3.5</v>
      </c>
      <c r="I23" s="15">
        <f t="shared" si="2"/>
        <v>220.5</v>
      </c>
      <c r="J23" s="11"/>
    </row>
    <row r="24" s="3" customFormat="1" ht="16" customHeight="1" spans="1:10">
      <c r="A24" s="11">
        <v>19</v>
      </c>
      <c r="B24" s="16" t="s">
        <v>41</v>
      </c>
      <c r="C24" s="16"/>
      <c r="D24" s="12" t="s">
        <v>14</v>
      </c>
      <c r="E24" s="12">
        <v>7.75</v>
      </c>
      <c r="F24" s="13">
        <f t="shared" ref="F24:F32" si="3">H24/0.85</f>
        <v>16.2352941176471</v>
      </c>
      <c r="G24" s="14">
        <f t="shared" ref="G24:G32" si="4">H24/F24</f>
        <v>0.85</v>
      </c>
      <c r="H24" s="15">
        <v>13.8</v>
      </c>
      <c r="I24" s="15">
        <f t="shared" si="2"/>
        <v>106.95</v>
      </c>
      <c r="J24" s="11"/>
    </row>
    <row r="25" s="3" customFormat="1" ht="16" customHeight="1" spans="1:10">
      <c r="A25" s="11">
        <v>20</v>
      </c>
      <c r="B25" s="11"/>
      <c r="C25" s="11"/>
      <c r="D25" s="11"/>
      <c r="E25" s="12"/>
      <c r="F25" s="13"/>
      <c r="G25" s="14"/>
      <c r="H25" s="15"/>
      <c r="I25" s="15"/>
      <c r="J25" s="11"/>
    </row>
    <row r="26" s="3" customFormat="1" ht="16" customHeight="1" spans="1:10">
      <c r="A26" s="11">
        <v>21</v>
      </c>
      <c r="B26" s="11"/>
      <c r="C26" s="11"/>
      <c r="D26" s="11"/>
      <c r="E26" s="12"/>
      <c r="F26" s="13"/>
      <c r="G26" s="14"/>
      <c r="H26" s="15"/>
      <c r="I26" s="15"/>
      <c r="J26" s="11"/>
    </row>
    <row r="27" s="3" customFormat="1" ht="16" customHeight="1" spans="1:10">
      <c r="A27" s="11">
        <v>22</v>
      </c>
      <c r="B27" s="11"/>
      <c r="C27" s="11"/>
      <c r="D27" s="11"/>
      <c r="E27" s="12"/>
      <c r="F27" s="13"/>
      <c r="G27" s="14"/>
      <c r="H27" s="15"/>
      <c r="I27" s="15"/>
      <c r="J27" s="11"/>
    </row>
    <row r="28" s="3" customFormat="1" ht="16" customHeight="1" spans="1:10">
      <c r="A28" s="11">
        <v>23</v>
      </c>
      <c r="B28" s="11"/>
      <c r="C28" s="11"/>
      <c r="D28" s="11"/>
      <c r="E28" s="12"/>
      <c r="F28" s="13"/>
      <c r="G28" s="14"/>
      <c r="H28" s="15"/>
      <c r="I28" s="15"/>
      <c r="J28" s="11"/>
    </row>
    <row r="29" s="3" customFormat="1" ht="16" customHeight="1" spans="1:10">
      <c r="A29" s="11">
        <v>24</v>
      </c>
      <c r="B29" s="11"/>
      <c r="C29" s="11"/>
      <c r="D29" s="11"/>
      <c r="E29" s="12"/>
      <c r="F29" s="13"/>
      <c r="G29" s="14"/>
      <c r="H29" s="15"/>
      <c r="I29" s="15"/>
      <c r="J29" s="11"/>
    </row>
    <row r="30" s="3" customFormat="1" ht="16" customHeight="1" spans="1:10">
      <c r="A30" s="11">
        <v>25</v>
      </c>
      <c r="B30" s="11"/>
      <c r="C30" s="11"/>
      <c r="D30" s="11"/>
      <c r="E30" s="12"/>
      <c r="F30" s="13"/>
      <c r="G30" s="14"/>
      <c r="H30" s="15"/>
      <c r="I30" s="15"/>
      <c r="J30" s="11"/>
    </row>
    <row r="31" s="3" customFormat="1" customHeight="1" spans="1:10">
      <c r="A31" s="11" t="s">
        <v>42</v>
      </c>
      <c r="B31" s="19">
        <f>SUM(I6:I30)</f>
        <v>2201.51</v>
      </c>
      <c r="C31" s="20"/>
      <c r="D31" s="20"/>
      <c r="E31" s="20"/>
      <c r="F31" s="20"/>
      <c r="G31" s="20"/>
      <c r="H31" s="20"/>
      <c r="I31" s="20"/>
      <c r="J31" s="24"/>
    </row>
    <row r="32" s="3" customFormat="1" customHeight="1" spans="1:10">
      <c r="A32" s="11" t="s">
        <v>43</v>
      </c>
      <c r="B32" s="22">
        <f>B31</f>
        <v>2201.51</v>
      </c>
      <c r="C32" s="23"/>
      <c r="D32" s="23"/>
      <c r="E32" s="23"/>
      <c r="F32" s="23"/>
      <c r="G32" s="23"/>
      <c r="H32" s="23"/>
      <c r="I32" s="23"/>
      <c r="J32" s="25"/>
    </row>
    <row r="33" s="3" customFormat="1" customHeight="1" spans="1:1">
      <c r="A33" s="3" t="s">
        <v>44</v>
      </c>
    </row>
  </sheetData>
  <mergeCells count="4">
    <mergeCell ref="A1:J1"/>
    <mergeCell ref="B31:J31"/>
    <mergeCell ref="B32:J32"/>
    <mergeCell ref="A33:J33"/>
  </mergeCells>
  <conditionalFormatting sqref="B24:C24">
    <cfRule type="duplicateValues" dxfId="0" priority="2"/>
  </conditionalFormatting>
  <conditionalFormatting sqref="B24">
    <cfRule type="duplicateValues" dxfId="0" priority="1"/>
  </conditionalFormatting>
  <conditionalFormatting sqref="B6:C23">
    <cfRule type="duplicateValues" dxfId="0" priority="4"/>
  </conditionalFormatting>
  <conditionalFormatting sqref="B6:B23 B25:B30">
    <cfRule type="duplicateValues" dxfId="0" priority="3"/>
  </conditionalFormatting>
  <pageMargins left="0.751388888888889" right="0.751388888888889" top="0.409027777777778" bottom="0.60625" header="0.5" footer="0.5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zoomScale="85" zoomScaleNormal="85" topLeftCell="A12" workbookViewId="0">
      <selection activeCell="I12" sqref="I$1:I$1048576"/>
    </sheetView>
  </sheetViews>
  <sheetFormatPr defaultColWidth="11" defaultRowHeight="18" customHeight="1"/>
  <cols>
    <col min="1" max="1" width="8" style="3" customWidth="1"/>
    <col min="2" max="2" width="16.125" style="3" customWidth="1"/>
    <col min="3" max="3" width="13" style="3" customWidth="1"/>
    <col min="4" max="4" width="4.875" style="3" customWidth="1"/>
    <col min="5" max="5" width="5.5" style="3" customWidth="1"/>
    <col min="6" max="6" width="9.075" style="3" customWidth="1"/>
    <col min="7" max="7" width="7.125" style="3" customWidth="1"/>
    <col min="8" max="8" width="7.375" style="3" customWidth="1"/>
    <col min="9" max="9" width="8.625" style="3" customWidth="1"/>
    <col min="10" max="10" width="7" style="3" customWidth="1"/>
    <col min="11" max="16319" width="11.6666666666667" style="3" customWidth="1"/>
    <col min="16320" max="16320" width="11.6666666666667" style="3"/>
    <col min="16321" max="16326" width="11" style="3"/>
    <col min="16327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3" customFormat="1" ht="9" customHeight="1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="3" customFormat="1" customHeight="1" spans="1:1">
      <c r="A3" s="3" t="s">
        <v>1</v>
      </c>
    </row>
    <row r="4" s="3" customFormat="1" customHeight="1" spans="1:10">
      <c r="A4" s="3" t="s">
        <v>2</v>
      </c>
      <c r="B4" s="8">
        <v>45140</v>
      </c>
      <c r="C4" s="8"/>
      <c r="D4" s="9"/>
      <c r="E4" s="9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4</v>
      </c>
      <c r="F6" s="13">
        <f t="shared" ref="F6:F26" si="0">H6/0.85</f>
        <v>3.52941176470588</v>
      </c>
      <c r="G6" s="14">
        <f t="shared" ref="G6:G26" si="1">H6/F6</f>
        <v>0.85</v>
      </c>
      <c r="H6" s="15">
        <v>3</v>
      </c>
      <c r="I6" s="15">
        <f t="shared" ref="I6:I26" si="2">E6*H6</f>
        <v>12</v>
      </c>
      <c r="J6" s="11"/>
    </row>
    <row r="7" s="3" customFormat="1" ht="16" customHeight="1" spans="1:10">
      <c r="A7" s="11">
        <v>2</v>
      </c>
      <c r="B7" s="11" t="s">
        <v>45</v>
      </c>
      <c r="C7" s="11"/>
      <c r="D7" s="12" t="s">
        <v>14</v>
      </c>
      <c r="E7" s="12">
        <v>2</v>
      </c>
      <c r="F7" s="13">
        <f t="shared" si="0"/>
        <v>4.70588235294118</v>
      </c>
      <c r="G7" s="14">
        <f t="shared" si="1"/>
        <v>0.85</v>
      </c>
      <c r="H7" s="15">
        <v>4</v>
      </c>
      <c r="I7" s="15">
        <f t="shared" si="2"/>
        <v>8</v>
      </c>
      <c r="J7" s="11"/>
    </row>
    <row r="8" s="3" customFormat="1" ht="16" customHeight="1" spans="1:10">
      <c r="A8" s="11">
        <v>3</v>
      </c>
      <c r="B8" s="11" t="s">
        <v>46</v>
      </c>
      <c r="C8" s="11" t="s">
        <v>47</v>
      </c>
      <c r="D8" s="12" t="s">
        <v>14</v>
      </c>
      <c r="E8" s="12">
        <v>5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17.5</v>
      </c>
      <c r="J8" s="11"/>
    </row>
    <row r="9" s="3" customFormat="1" ht="16" customHeight="1" spans="1:10">
      <c r="A9" s="11">
        <v>4</v>
      </c>
      <c r="B9" s="16" t="s">
        <v>15</v>
      </c>
      <c r="C9" s="16"/>
      <c r="D9" s="12" t="s">
        <v>14</v>
      </c>
      <c r="E9" s="12">
        <v>4</v>
      </c>
      <c r="F9" s="13">
        <f t="shared" si="0"/>
        <v>4.11764705882353</v>
      </c>
      <c r="G9" s="14">
        <f t="shared" si="1"/>
        <v>0.85</v>
      </c>
      <c r="H9" s="15">
        <v>3.5</v>
      </c>
      <c r="I9" s="15">
        <f t="shared" si="2"/>
        <v>14</v>
      </c>
      <c r="J9" s="11"/>
    </row>
    <row r="10" s="3" customFormat="1" ht="16" customHeight="1" spans="1:10">
      <c r="A10" s="11">
        <v>5</v>
      </c>
      <c r="B10" s="16" t="s">
        <v>48</v>
      </c>
      <c r="C10" s="16"/>
      <c r="D10" s="12" t="s">
        <v>14</v>
      </c>
      <c r="E10" s="12">
        <v>15</v>
      </c>
      <c r="F10" s="13">
        <f t="shared" si="0"/>
        <v>7.64705882352941</v>
      </c>
      <c r="G10" s="14">
        <f t="shared" si="1"/>
        <v>0.85</v>
      </c>
      <c r="H10" s="15">
        <v>6.5</v>
      </c>
      <c r="I10" s="15">
        <f t="shared" si="2"/>
        <v>97.5</v>
      </c>
      <c r="J10" s="11"/>
    </row>
    <row r="11" s="3" customFormat="1" ht="16" customHeight="1" spans="1:10">
      <c r="A11" s="11">
        <v>6</v>
      </c>
      <c r="B11" s="11" t="s">
        <v>49</v>
      </c>
      <c r="C11" s="11"/>
      <c r="D11" s="12" t="s">
        <v>14</v>
      </c>
      <c r="E11" s="12">
        <v>4</v>
      </c>
      <c r="F11" s="13">
        <f t="shared" si="0"/>
        <v>9.17647058823529</v>
      </c>
      <c r="G11" s="14">
        <f t="shared" si="1"/>
        <v>0.85</v>
      </c>
      <c r="H11" s="15">
        <v>7.8</v>
      </c>
      <c r="I11" s="15">
        <f t="shared" si="2"/>
        <v>31.2</v>
      </c>
      <c r="J11" s="11"/>
    </row>
    <row r="12" s="3" customFormat="1" ht="16" customHeight="1" spans="1:10">
      <c r="A12" s="11">
        <v>7</v>
      </c>
      <c r="B12" s="11" t="s">
        <v>19</v>
      </c>
      <c r="C12" s="11"/>
      <c r="D12" s="12" t="s">
        <v>14</v>
      </c>
      <c r="E12" s="12">
        <v>3</v>
      </c>
      <c r="F12" s="13">
        <f t="shared" si="0"/>
        <v>2.94117647058824</v>
      </c>
      <c r="G12" s="14">
        <f t="shared" si="1"/>
        <v>0.85</v>
      </c>
      <c r="H12" s="15">
        <v>2.5</v>
      </c>
      <c r="I12" s="15">
        <f t="shared" si="2"/>
        <v>7.5</v>
      </c>
      <c r="J12" s="11"/>
    </row>
    <row r="13" s="3" customFormat="1" ht="16" customHeight="1" spans="1:10">
      <c r="A13" s="11">
        <v>8</v>
      </c>
      <c r="B13" s="11" t="s">
        <v>50</v>
      </c>
      <c r="C13" s="11"/>
      <c r="D13" s="12" t="s">
        <v>14</v>
      </c>
      <c r="E13" s="12">
        <v>4</v>
      </c>
      <c r="F13" s="13">
        <f t="shared" si="0"/>
        <v>5.29411764705882</v>
      </c>
      <c r="G13" s="14">
        <f t="shared" si="1"/>
        <v>0.85</v>
      </c>
      <c r="H13" s="15">
        <v>4.5</v>
      </c>
      <c r="I13" s="15">
        <f t="shared" si="2"/>
        <v>18</v>
      </c>
      <c r="J13" s="11"/>
    </row>
    <row r="14" s="3" customFormat="1" ht="16" customHeight="1" spans="1:10">
      <c r="A14" s="11">
        <v>9</v>
      </c>
      <c r="B14" s="16" t="s">
        <v>51</v>
      </c>
      <c r="C14" s="16"/>
      <c r="D14" s="17" t="s">
        <v>14</v>
      </c>
      <c r="E14" s="17">
        <v>5</v>
      </c>
      <c r="F14" s="13">
        <f t="shared" si="0"/>
        <v>4.47058823529412</v>
      </c>
      <c r="G14" s="14">
        <f t="shared" si="1"/>
        <v>0.85</v>
      </c>
      <c r="H14" s="18">
        <v>3.8</v>
      </c>
      <c r="I14" s="15">
        <f t="shared" si="2"/>
        <v>19</v>
      </c>
      <c r="J14" s="16"/>
    </row>
    <row r="15" s="3" customFormat="1" ht="16" customHeight="1" spans="1:10">
      <c r="A15" s="11">
        <v>10</v>
      </c>
      <c r="B15" s="16" t="s">
        <v>52</v>
      </c>
      <c r="C15" s="16"/>
      <c r="D15" s="17" t="s">
        <v>14</v>
      </c>
      <c r="E15" s="17">
        <v>3</v>
      </c>
      <c r="F15" s="13">
        <f t="shared" si="0"/>
        <v>6.47058823529412</v>
      </c>
      <c r="G15" s="14">
        <f t="shared" si="1"/>
        <v>0.85</v>
      </c>
      <c r="H15" s="18">
        <v>5.5</v>
      </c>
      <c r="I15" s="15">
        <f t="shared" si="2"/>
        <v>16.5</v>
      </c>
      <c r="J15" s="16"/>
    </row>
    <row r="16" s="3" customFormat="1" ht="16" customHeight="1" spans="1:10">
      <c r="A16" s="11">
        <v>11</v>
      </c>
      <c r="B16" s="11" t="s">
        <v>53</v>
      </c>
      <c r="C16" s="11"/>
      <c r="D16" s="12" t="s">
        <v>14</v>
      </c>
      <c r="E16" s="12">
        <v>15</v>
      </c>
      <c r="F16" s="13">
        <f t="shared" si="0"/>
        <v>2.11764705882353</v>
      </c>
      <c r="G16" s="14">
        <f t="shared" si="1"/>
        <v>0.85</v>
      </c>
      <c r="H16" s="15">
        <v>1.8</v>
      </c>
      <c r="I16" s="15">
        <f t="shared" si="2"/>
        <v>27</v>
      </c>
      <c r="J16" s="11"/>
    </row>
    <row r="17" s="3" customFormat="1" ht="16" customHeight="1" spans="1:10">
      <c r="A17" s="11">
        <v>12</v>
      </c>
      <c r="B17" s="16" t="s">
        <v>25</v>
      </c>
      <c r="C17" s="16"/>
      <c r="D17" s="17" t="s">
        <v>14</v>
      </c>
      <c r="E17" s="17">
        <v>2.78</v>
      </c>
      <c r="F17" s="13">
        <f t="shared" si="0"/>
        <v>6.47058823529412</v>
      </c>
      <c r="G17" s="14">
        <f t="shared" si="1"/>
        <v>0.85</v>
      </c>
      <c r="H17" s="18">
        <v>5.5</v>
      </c>
      <c r="I17" s="15">
        <f t="shared" si="2"/>
        <v>15.29</v>
      </c>
      <c r="J17" s="16"/>
    </row>
    <row r="18" s="3" customFormat="1" ht="16" customHeight="1" spans="1:10">
      <c r="A18" s="11">
        <v>13</v>
      </c>
      <c r="B18" s="16" t="s">
        <v>54</v>
      </c>
      <c r="C18" s="16"/>
      <c r="D18" s="17" t="s">
        <v>14</v>
      </c>
      <c r="E18" s="17">
        <v>2</v>
      </c>
      <c r="F18" s="13">
        <f t="shared" si="0"/>
        <v>10.3529411764706</v>
      </c>
      <c r="G18" s="14">
        <f t="shared" si="1"/>
        <v>0.85</v>
      </c>
      <c r="H18" s="18">
        <v>8.8</v>
      </c>
      <c r="I18" s="15">
        <f t="shared" si="2"/>
        <v>17.6</v>
      </c>
      <c r="J18" s="16"/>
    </row>
    <row r="19" s="3" customFormat="1" ht="16" customHeight="1" spans="1:10">
      <c r="A19" s="11">
        <v>14</v>
      </c>
      <c r="B19" s="16" t="s">
        <v>55</v>
      </c>
      <c r="C19" s="16"/>
      <c r="D19" s="17" t="s">
        <v>14</v>
      </c>
      <c r="E19" s="17">
        <v>38.7</v>
      </c>
      <c r="F19" s="13">
        <f t="shared" si="0"/>
        <v>4.11764705882353</v>
      </c>
      <c r="G19" s="14">
        <f t="shared" si="1"/>
        <v>0.85</v>
      </c>
      <c r="H19" s="18">
        <v>3.5</v>
      </c>
      <c r="I19" s="15">
        <f t="shared" si="2"/>
        <v>135.45</v>
      </c>
      <c r="J19" s="16"/>
    </row>
    <row r="20" s="3" customFormat="1" ht="16" customHeight="1" spans="1:10">
      <c r="A20" s="11">
        <v>15</v>
      </c>
      <c r="B20" s="16" t="s">
        <v>56</v>
      </c>
      <c r="C20" s="16" t="s">
        <v>57</v>
      </c>
      <c r="D20" s="16" t="s">
        <v>14</v>
      </c>
      <c r="E20" s="17">
        <v>3</v>
      </c>
      <c r="F20" s="13">
        <f t="shared" si="0"/>
        <v>29.4117647058824</v>
      </c>
      <c r="G20" s="14">
        <f t="shared" si="1"/>
        <v>0.85</v>
      </c>
      <c r="H20" s="18">
        <v>25</v>
      </c>
      <c r="I20" s="15">
        <f t="shared" si="2"/>
        <v>75</v>
      </c>
      <c r="J20" s="16"/>
    </row>
    <row r="21" s="3" customFormat="1" ht="16" customHeight="1" spans="1:10">
      <c r="A21" s="11">
        <v>16</v>
      </c>
      <c r="B21" s="16" t="s">
        <v>58</v>
      </c>
      <c r="C21" s="16" t="s">
        <v>59</v>
      </c>
      <c r="D21" s="17" t="s">
        <v>37</v>
      </c>
      <c r="E21" s="17">
        <v>2</v>
      </c>
      <c r="F21" s="13">
        <f t="shared" si="0"/>
        <v>10.5882352941176</v>
      </c>
      <c r="G21" s="14">
        <f t="shared" si="1"/>
        <v>0.85</v>
      </c>
      <c r="H21" s="18">
        <v>9</v>
      </c>
      <c r="I21" s="15">
        <f t="shared" si="2"/>
        <v>18</v>
      </c>
      <c r="J21" s="16"/>
    </row>
    <row r="22" s="3" customFormat="1" ht="16" customHeight="1" spans="1:10">
      <c r="A22" s="11">
        <v>17</v>
      </c>
      <c r="B22" s="16" t="s">
        <v>60</v>
      </c>
      <c r="C22" s="16" t="s">
        <v>61</v>
      </c>
      <c r="D22" s="17" t="s">
        <v>37</v>
      </c>
      <c r="E22" s="17">
        <v>13</v>
      </c>
      <c r="F22" s="13">
        <f t="shared" si="0"/>
        <v>14.1176470588235</v>
      </c>
      <c r="G22" s="14">
        <f t="shared" si="1"/>
        <v>0.85</v>
      </c>
      <c r="H22" s="18">
        <v>12</v>
      </c>
      <c r="I22" s="15">
        <f t="shared" si="2"/>
        <v>156</v>
      </c>
      <c r="J22" s="16"/>
    </row>
    <row r="23" s="3" customFormat="1" ht="16" customHeight="1" spans="1:10">
      <c r="A23" s="11">
        <v>18</v>
      </c>
      <c r="B23" s="11" t="s">
        <v>62</v>
      </c>
      <c r="C23" s="11" t="s">
        <v>63</v>
      </c>
      <c r="D23" s="12" t="s">
        <v>64</v>
      </c>
      <c r="E23" s="12">
        <v>1</v>
      </c>
      <c r="F23" s="13">
        <f t="shared" si="0"/>
        <v>152.941176470588</v>
      </c>
      <c r="G23" s="14">
        <f t="shared" si="1"/>
        <v>0.85</v>
      </c>
      <c r="H23" s="15">
        <v>130</v>
      </c>
      <c r="I23" s="15">
        <f t="shared" si="2"/>
        <v>130</v>
      </c>
      <c r="J23" s="11"/>
    </row>
    <row r="24" s="3" customFormat="1" ht="16" customHeight="1" spans="1:10">
      <c r="A24" s="11">
        <v>19</v>
      </c>
      <c r="B24" s="16" t="s">
        <v>65</v>
      </c>
      <c r="C24" s="16" t="s">
        <v>66</v>
      </c>
      <c r="D24" s="12" t="s">
        <v>14</v>
      </c>
      <c r="E24" s="12">
        <v>14</v>
      </c>
      <c r="F24" s="13">
        <f t="shared" si="0"/>
        <v>9.17647058823529</v>
      </c>
      <c r="G24" s="14">
        <f t="shared" si="1"/>
        <v>0.85</v>
      </c>
      <c r="H24" s="15">
        <v>7.8</v>
      </c>
      <c r="I24" s="15">
        <f t="shared" si="2"/>
        <v>109.2</v>
      </c>
      <c r="J24" s="11"/>
    </row>
    <row r="25" s="3" customFormat="1" ht="16" customHeight="1" spans="1:10">
      <c r="A25" s="11">
        <v>20</v>
      </c>
      <c r="B25" s="16" t="s">
        <v>67</v>
      </c>
      <c r="C25" s="16" t="s">
        <v>68</v>
      </c>
      <c r="D25" s="16" t="s">
        <v>28</v>
      </c>
      <c r="E25" s="17">
        <v>1</v>
      </c>
      <c r="F25" s="13">
        <f t="shared" si="0"/>
        <v>52.9411764705882</v>
      </c>
      <c r="G25" s="14">
        <f t="shared" si="1"/>
        <v>0.85</v>
      </c>
      <c r="H25" s="18">
        <v>45</v>
      </c>
      <c r="I25" s="15">
        <f t="shared" si="2"/>
        <v>45</v>
      </c>
      <c r="J25" s="16"/>
    </row>
    <row r="26" s="3" customFormat="1" ht="16" customHeight="1" spans="1:10">
      <c r="A26" s="11">
        <v>21</v>
      </c>
      <c r="B26" s="11" t="s">
        <v>38</v>
      </c>
      <c r="C26" s="11" t="s">
        <v>39</v>
      </c>
      <c r="D26" s="16" t="s">
        <v>40</v>
      </c>
      <c r="E26" s="12">
        <v>46</v>
      </c>
      <c r="F26" s="13">
        <f t="shared" si="0"/>
        <v>4.11764705882353</v>
      </c>
      <c r="G26" s="14">
        <f t="shared" si="1"/>
        <v>0.85</v>
      </c>
      <c r="H26" s="15">
        <v>3.5</v>
      </c>
      <c r="I26" s="15">
        <f t="shared" si="2"/>
        <v>161</v>
      </c>
      <c r="J26" s="11"/>
    </row>
    <row r="27" s="3" customFormat="1" ht="16" customHeight="1" spans="1:10">
      <c r="A27" s="11">
        <v>22</v>
      </c>
      <c r="B27" s="11"/>
      <c r="C27" s="11"/>
      <c r="D27" s="16"/>
      <c r="E27" s="12"/>
      <c r="F27" s="13"/>
      <c r="G27" s="14"/>
      <c r="H27" s="15"/>
      <c r="I27" s="15"/>
      <c r="J27" s="11"/>
    </row>
    <row r="28" s="3" customFormat="1" ht="16" customHeight="1" spans="1:10">
      <c r="A28" s="11">
        <v>23</v>
      </c>
      <c r="B28" s="11"/>
      <c r="C28" s="11"/>
      <c r="D28" s="11"/>
      <c r="E28" s="12"/>
      <c r="F28" s="13"/>
      <c r="G28" s="14"/>
      <c r="H28" s="15"/>
      <c r="I28" s="15"/>
      <c r="J28" s="11"/>
    </row>
    <row r="29" s="3" customFormat="1" ht="16" customHeight="1" spans="1:10">
      <c r="A29" s="11">
        <v>24</v>
      </c>
      <c r="B29" s="11"/>
      <c r="C29" s="11"/>
      <c r="D29" s="11"/>
      <c r="E29" s="12"/>
      <c r="F29" s="13"/>
      <c r="G29" s="14"/>
      <c r="H29" s="15"/>
      <c r="I29" s="15"/>
      <c r="J29" s="11"/>
    </row>
    <row r="30" s="3" customFormat="1" ht="16" customHeight="1" spans="1:10">
      <c r="A30" s="11">
        <v>25</v>
      </c>
      <c r="B30" s="11"/>
      <c r="C30" s="11"/>
      <c r="D30" s="11"/>
      <c r="E30" s="12"/>
      <c r="F30" s="13"/>
      <c r="G30" s="14"/>
      <c r="H30" s="15"/>
      <c r="I30" s="15"/>
      <c r="J30" s="11"/>
    </row>
    <row r="31" s="3" customFormat="1" ht="16" customHeight="1" spans="1:10">
      <c r="A31" s="11">
        <v>26</v>
      </c>
      <c r="B31" s="11"/>
      <c r="C31" s="11"/>
      <c r="D31" s="11"/>
      <c r="E31" s="12"/>
      <c r="F31" s="13"/>
      <c r="G31" s="14"/>
      <c r="H31" s="15"/>
      <c r="I31" s="15"/>
      <c r="J31" s="11"/>
    </row>
    <row r="32" s="3" customFormat="1" ht="16" customHeight="1" spans="1:10">
      <c r="A32" s="11">
        <v>27</v>
      </c>
      <c r="B32" s="11"/>
      <c r="C32" s="11"/>
      <c r="D32" s="11"/>
      <c r="E32" s="12"/>
      <c r="F32" s="13"/>
      <c r="G32" s="14"/>
      <c r="H32" s="15"/>
      <c r="I32" s="15"/>
      <c r="J32" s="11"/>
    </row>
    <row r="33" s="3" customFormat="1" ht="16" customHeight="1" spans="1:10">
      <c r="A33" s="11">
        <v>28</v>
      </c>
      <c r="B33" s="11"/>
      <c r="C33" s="11"/>
      <c r="D33" s="11"/>
      <c r="E33" s="12"/>
      <c r="F33" s="13"/>
      <c r="G33" s="14"/>
      <c r="H33" s="15"/>
      <c r="I33" s="15"/>
      <c r="J33" s="11"/>
    </row>
    <row r="34" s="3" customFormat="1" customHeight="1" spans="1:10">
      <c r="A34" s="11" t="s">
        <v>42</v>
      </c>
      <c r="B34" s="19">
        <f>SUM(I6:I33)</f>
        <v>1130.74</v>
      </c>
      <c r="C34" s="20"/>
      <c r="D34" s="20"/>
      <c r="E34" s="20"/>
      <c r="F34" s="20"/>
      <c r="G34" s="20"/>
      <c r="H34" s="20"/>
      <c r="I34" s="20"/>
      <c r="J34" s="24"/>
    </row>
    <row r="35" s="3" customFormat="1" customHeight="1" spans="1:10">
      <c r="A35" s="11" t="s">
        <v>43</v>
      </c>
      <c r="B35" s="22">
        <f>B34</f>
        <v>1130.74</v>
      </c>
      <c r="C35" s="23"/>
      <c r="D35" s="23"/>
      <c r="E35" s="23"/>
      <c r="F35" s="23"/>
      <c r="G35" s="23"/>
      <c r="H35" s="23"/>
      <c r="I35" s="23"/>
      <c r="J35" s="25"/>
    </row>
    <row r="36" s="3" customFormat="1" customHeight="1" spans="1:1">
      <c r="A36" s="3" t="s">
        <v>44</v>
      </c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1"/>
  </conditionalFormatting>
  <conditionalFormatting sqref="B6:C23">
    <cfRule type="duplicateValues" dxfId="0" priority="2"/>
  </conditionalFormatting>
  <pageMargins left="0.751388888888889" right="0.751388888888889" top="0.409027777777778" bottom="0.60625" header="0.5" footer="0.5"/>
  <pageSetup paperSize="9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7"/>
  <sheetViews>
    <sheetView topLeftCell="A12" workbookViewId="0">
      <selection activeCell="I12" sqref="I$1:I$1048576"/>
    </sheetView>
  </sheetViews>
  <sheetFormatPr defaultColWidth="9" defaultRowHeight="13.5"/>
  <cols>
    <col min="2" max="2" width="18.375" customWidth="1"/>
    <col min="4" max="4" width="5.125" customWidth="1"/>
    <col min="5" max="5" width="6.875" customWidth="1"/>
    <col min="7" max="7" width="7.5" customWidth="1"/>
    <col min="8" max="8" width="7.375" customWidth="1"/>
  </cols>
  <sheetData>
    <row r="1" ht="20.25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ht="20.25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>
      <c r="A3" s="3" t="s">
        <v>69</v>
      </c>
      <c r="B3" s="3" t="s">
        <v>70</v>
      </c>
      <c r="C3" s="3"/>
      <c r="D3" s="3"/>
      <c r="E3" s="3"/>
      <c r="F3" s="3"/>
      <c r="G3" s="3"/>
      <c r="H3" s="3"/>
      <c r="I3" s="3"/>
      <c r="J3" s="3"/>
    </row>
    <row r="4" spans="1:10">
      <c r="A4" s="3" t="s">
        <v>71</v>
      </c>
      <c r="B4" s="8">
        <v>45141</v>
      </c>
      <c r="C4" s="8"/>
      <c r="D4" s="9"/>
      <c r="E4" s="9"/>
      <c r="F4" s="9"/>
      <c r="G4" s="9"/>
      <c r="H4" s="8"/>
      <c r="I4" s="8"/>
      <c r="J4" s="8"/>
    </row>
    <row r="5" spans="1:10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pans="1:10">
      <c r="A6" s="11">
        <v>1</v>
      </c>
      <c r="B6" s="11" t="s">
        <v>13</v>
      </c>
      <c r="C6" s="11"/>
      <c r="D6" s="12" t="s">
        <v>14</v>
      </c>
      <c r="E6" s="12">
        <v>4</v>
      </c>
      <c r="F6" s="13">
        <f t="shared" ref="F6:F41" si="0">H6/0.85</f>
        <v>3.52941176470588</v>
      </c>
      <c r="G6" s="14">
        <f t="shared" ref="G6:G41" si="1">H6/F6</f>
        <v>0.85</v>
      </c>
      <c r="H6" s="15">
        <v>3</v>
      </c>
      <c r="I6" s="15">
        <f t="shared" ref="I6:I41" si="2">E6*H6</f>
        <v>12</v>
      </c>
      <c r="J6" s="11"/>
    </row>
    <row r="7" spans="1:10">
      <c r="A7" s="11">
        <v>2</v>
      </c>
      <c r="B7" s="11" t="s">
        <v>15</v>
      </c>
      <c r="C7" s="11"/>
      <c r="D7" s="12" t="s">
        <v>14</v>
      </c>
      <c r="E7" s="12">
        <v>4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14</v>
      </c>
      <c r="J7" s="11"/>
    </row>
    <row r="8" spans="1:10">
      <c r="A8" s="11">
        <v>3</v>
      </c>
      <c r="B8" s="11" t="s">
        <v>72</v>
      </c>
      <c r="C8" s="11"/>
      <c r="D8" s="12" t="s">
        <v>14</v>
      </c>
      <c r="E8" s="12">
        <v>1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3.5</v>
      </c>
      <c r="J8" s="11"/>
    </row>
    <row r="9" spans="1:10">
      <c r="A9" s="11">
        <v>4</v>
      </c>
      <c r="B9" s="16" t="s">
        <v>73</v>
      </c>
      <c r="C9" s="16"/>
      <c r="D9" s="12" t="s">
        <v>14</v>
      </c>
      <c r="E9" s="12">
        <v>10</v>
      </c>
      <c r="F9" s="13">
        <f t="shared" si="0"/>
        <v>4.11764705882353</v>
      </c>
      <c r="G9" s="14">
        <f t="shared" si="1"/>
        <v>0.85</v>
      </c>
      <c r="H9" s="15">
        <v>3.5</v>
      </c>
      <c r="I9" s="15">
        <f t="shared" si="2"/>
        <v>35</v>
      </c>
      <c r="J9" s="11"/>
    </row>
    <row r="10" spans="1:10">
      <c r="A10" s="11">
        <v>5</v>
      </c>
      <c r="B10" s="16" t="s">
        <v>49</v>
      </c>
      <c r="C10" s="16"/>
      <c r="D10" s="12" t="s">
        <v>14</v>
      </c>
      <c r="E10" s="12">
        <v>4</v>
      </c>
      <c r="F10" s="13">
        <f t="shared" si="0"/>
        <v>9.17647058823529</v>
      </c>
      <c r="G10" s="14">
        <f t="shared" si="1"/>
        <v>0.85</v>
      </c>
      <c r="H10" s="15">
        <v>7.8</v>
      </c>
      <c r="I10" s="15">
        <f t="shared" si="2"/>
        <v>31.2</v>
      </c>
      <c r="J10" s="11"/>
    </row>
    <row r="11" spans="1:10">
      <c r="A11" s="11">
        <v>6</v>
      </c>
      <c r="B11" s="11" t="s">
        <v>74</v>
      </c>
      <c r="C11" s="11"/>
      <c r="D11" s="12" t="s">
        <v>14</v>
      </c>
      <c r="E11" s="12">
        <v>17</v>
      </c>
      <c r="F11" s="13">
        <f t="shared" si="0"/>
        <v>17.4117647058824</v>
      </c>
      <c r="G11" s="14">
        <f t="shared" si="1"/>
        <v>0.85</v>
      </c>
      <c r="H11" s="15">
        <v>14.8</v>
      </c>
      <c r="I11" s="15">
        <f t="shared" si="2"/>
        <v>251.6</v>
      </c>
      <c r="J11" s="11"/>
    </row>
    <row r="12" spans="1:10">
      <c r="A12" s="11">
        <v>7</v>
      </c>
      <c r="B12" s="11" t="s">
        <v>50</v>
      </c>
      <c r="C12" s="11"/>
      <c r="D12" s="12" t="s">
        <v>14</v>
      </c>
      <c r="E12" s="12">
        <v>4</v>
      </c>
      <c r="F12" s="13">
        <f t="shared" si="0"/>
        <v>5.29411764705882</v>
      </c>
      <c r="G12" s="14">
        <f t="shared" si="1"/>
        <v>0.85</v>
      </c>
      <c r="H12" s="15">
        <v>4.5</v>
      </c>
      <c r="I12" s="15">
        <f t="shared" si="2"/>
        <v>18</v>
      </c>
      <c r="J12" s="11"/>
    </row>
    <row r="13" spans="1:10">
      <c r="A13" s="11">
        <v>8</v>
      </c>
      <c r="B13" s="11" t="s">
        <v>52</v>
      </c>
      <c r="C13" s="11"/>
      <c r="D13" s="12" t="s">
        <v>14</v>
      </c>
      <c r="E13" s="12">
        <v>16</v>
      </c>
      <c r="F13" s="13">
        <f t="shared" si="0"/>
        <v>6.47058823529412</v>
      </c>
      <c r="G13" s="14">
        <f t="shared" si="1"/>
        <v>0.85</v>
      </c>
      <c r="H13" s="15">
        <v>5.5</v>
      </c>
      <c r="I13" s="15">
        <f t="shared" si="2"/>
        <v>88</v>
      </c>
      <c r="J13" s="11"/>
    </row>
    <row r="14" spans="1:10">
      <c r="A14" s="11">
        <v>9</v>
      </c>
      <c r="B14" s="16" t="s">
        <v>75</v>
      </c>
      <c r="C14" s="16"/>
      <c r="D14" s="17" t="s">
        <v>14</v>
      </c>
      <c r="E14" s="17">
        <v>8</v>
      </c>
      <c r="F14" s="13">
        <f t="shared" si="0"/>
        <v>2.94117647058824</v>
      </c>
      <c r="G14" s="14">
        <f t="shared" si="1"/>
        <v>0.85</v>
      </c>
      <c r="H14" s="18">
        <v>2.5</v>
      </c>
      <c r="I14" s="15">
        <f t="shared" si="2"/>
        <v>20</v>
      </c>
      <c r="J14" s="16"/>
    </row>
    <row r="15" spans="1:10">
      <c r="A15" s="11">
        <v>10</v>
      </c>
      <c r="B15" s="16" t="s">
        <v>55</v>
      </c>
      <c r="C15" s="16"/>
      <c r="D15" s="17" t="s">
        <v>14</v>
      </c>
      <c r="E15" s="17">
        <v>42</v>
      </c>
      <c r="F15" s="13">
        <f t="shared" si="0"/>
        <v>4.11764705882353</v>
      </c>
      <c r="G15" s="14">
        <f t="shared" si="1"/>
        <v>0.85</v>
      </c>
      <c r="H15" s="18">
        <v>3.5</v>
      </c>
      <c r="I15" s="15">
        <f t="shared" si="2"/>
        <v>147</v>
      </c>
      <c r="J15" s="16"/>
    </row>
    <row r="16" spans="1:10">
      <c r="A16" s="11">
        <v>11</v>
      </c>
      <c r="B16" s="16" t="s">
        <v>76</v>
      </c>
      <c r="C16" s="16"/>
      <c r="D16" s="17" t="s">
        <v>14</v>
      </c>
      <c r="E16" s="17">
        <v>16</v>
      </c>
      <c r="F16" s="13">
        <f t="shared" si="0"/>
        <v>4.11764705882353</v>
      </c>
      <c r="G16" s="14">
        <f t="shared" si="1"/>
        <v>0.85</v>
      </c>
      <c r="H16" s="18">
        <v>3.5</v>
      </c>
      <c r="I16" s="15">
        <f t="shared" si="2"/>
        <v>56</v>
      </c>
      <c r="J16" s="16"/>
    </row>
    <row r="17" spans="1:10">
      <c r="A17" s="11">
        <v>12</v>
      </c>
      <c r="B17" s="16" t="s">
        <v>77</v>
      </c>
      <c r="C17" s="16"/>
      <c r="D17" s="17" t="s">
        <v>14</v>
      </c>
      <c r="E17" s="17">
        <v>18</v>
      </c>
      <c r="F17" s="13">
        <f t="shared" si="0"/>
        <v>25.8823529411765</v>
      </c>
      <c r="G17" s="14">
        <f t="shared" si="1"/>
        <v>0.85</v>
      </c>
      <c r="H17" s="18">
        <v>22</v>
      </c>
      <c r="I17" s="15">
        <f t="shared" si="2"/>
        <v>396</v>
      </c>
      <c r="J17" s="16"/>
    </row>
    <row r="18" spans="1:10">
      <c r="A18" s="11">
        <v>13</v>
      </c>
      <c r="B18" s="16" t="s">
        <v>29</v>
      </c>
      <c r="C18" s="16"/>
      <c r="D18" s="17" t="s">
        <v>14</v>
      </c>
      <c r="E18" s="17">
        <v>5</v>
      </c>
      <c r="F18" s="13">
        <f t="shared" si="0"/>
        <v>19.7647058823529</v>
      </c>
      <c r="G18" s="14">
        <f t="shared" si="1"/>
        <v>0.85</v>
      </c>
      <c r="H18" s="18">
        <v>16.8</v>
      </c>
      <c r="I18" s="15">
        <f t="shared" si="2"/>
        <v>84</v>
      </c>
      <c r="J18" s="16"/>
    </row>
    <row r="19" spans="1:10">
      <c r="A19" s="11">
        <v>14</v>
      </c>
      <c r="B19" s="11" t="s">
        <v>78</v>
      </c>
      <c r="C19" s="11"/>
      <c r="D19" s="12" t="s">
        <v>14</v>
      </c>
      <c r="E19" s="12">
        <v>6</v>
      </c>
      <c r="F19" s="13">
        <f t="shared" si="0"/>
        <v>30.5882352941176</v>
      </c>
      <c r="G19" s="14">
        <f t="shared" si="1"/>
        <v>0.85</v>
      </c>
      <c r="H19" s="15">
        <v>26</v>
      </c>
      <c r="I19" s="15">
        <f t="shared" si="2"/>
        <v>156</v>
      </c>
      <c r="J19" s="11"/>
    </row>
    <row r="20" spans="1:10">
      <c r="A20" s="11">
        <v>15</v>
      </c>
      <c r="B20" s="16" t="s">
        <v>79</v>
      </c>
      <c r="C20" s="16" t="s">
        <v>80</v>
      </c>
      <c r="D20" s="17" t="s">
        <v>81</v>
      </c>
      <c r="E20" s="17">
        <v>2</v>
      </c>
      <c r="F20" s="13">
        <f t="shared" si="0"/>
        <v>25.8823529411765</v>
      </c>
      <c r="G20" s="14">
        <f t="shared" si="1"/>
        <v>0.85</v>
      </c>
      <c r="H20" s="18">
        <v>22</v>
      </c>
      <c r="I20" s="15">
        <f t="shared" si="2"/>
        <v>44</v>
      </c>
      <c r="J20" s="16"/>
    </row>
    <row r="21" spans="1:10">
      <c r="A21" s="11">
        <v>16</v>
      </c>
      <c r="B21" s="16" t="s">
        <v>82</v>
      </c>
      <c r="C21" s="16"/>
      <c r="D21" s="17" t="s">
        <v>14</v>
      </c>
      <c r="E21" s="17">
        <v>3</v>
      </c>
      <c r="F21" s="13">
        <f t="shared" si="0"/>
        <v>103.529411764706</v>
      </c>
      <c r="G21" s="14">
        <f t="shared" si="1"/>
        <v>0.85</v>
      </c>
      <c r="H21" s="18">
        <v>88</v>
      </c>
      <c r="I21" s="15">
        <f t="shared" si="2"/>
        <v>264</v>
      </c>
      <c r="J21" s="16"/>
    </row>
    <row r="22" spans="1:10">
      <c r="A22" s="11">
        <v>17</v>
      </c>
      <c r="B22" s="16" t="s">
        <v>83</v>
      </c>
      <c r="C22" s="16" t="s">
        <v>84</v>
      </c>
      <c r="D22" s="17" t="s">
        <v>81</v>
      </c>
      <c r="E22" s="17">
        <v>6</v>
      </c>
      <c r="F22" s="13">
        <f t="shared" si="0"/>
        <v>21.1764705882353</v>
      </c>
      <c r="G22" s="14">
        <f t="shared" si="1"/>
        <v>0.85</v>
      </c>
      <c r="H22" s="18">
        <v>18</v>
      </c>
      <c r="I22" s="15">
        <f t="shared" si="2"/>
        <v>108</v>
      </c>
      <c r="J22" s="16"/>
    </row>
    <row r="23" spans="1:10">
      <c r="A23" s="11">
        <v>18</v>
      </c>
      <c r="B23" s="16" t="s">
        <v>85</v>
      </c>
      <c r="C23" s="16" t="s">
        <v>86</v>
      </c>
      <c r="D23" s="16" t="s">
        <v>81</v>
      </c>
      <c r="E23" s="17">
        <v>1</v>
      </c>
      <c r="F23" s="13">
        <f t="shared" si="0"/>
        <v>10</v>
      </c>
      <c r="G23" s="14">
        <f t="shared" si="1"/>
        <v>0.85</v>
      </c>
      <c r="H23" s="18">
        <v>8.5</v>
      </c>
      <c r="I23" s="15">
        <f t="shared" si="2"/>
        <v>8.5</v>
      </c>
      <c r="J23" s="16"/>
    </row>
    <row r="24" spans="1:10">
      <c r="A24" s="11">
        <v>19</v>
      </c>
      <c r="B24" s="16" t="s">
        <v>67</v>
      </c>
      <c r="C24" s="16" t="s">
        <v>68</v>
      </c>
      <c r="D24" s="17" t="s">
        <v>28</v>
      </c>
      <c r="E24" s="17">
        <v>2</v>
      </c>
      <c r="F24" s="13">
        <f t="shared" si="0"/>
        <v>52.9411764705882</v>
      </c>
      <c r="G24" s="14">
        <f t="shared" si="1"/>
        <v>0.85</v>
      </c>
      <c r="H24" s="18">
        <v>45</v>
      </c>
      <c r="I24" s="15">
        <f t="shared" si="2"/>
        <v>90</v>
      </c>
      <c r="J24" s="16"/>
    </row>
    <row r="25" spans="1:10">
      <c r="A25" s="11">
        <v>20</v>
      </c>
      <c r="B25" s="16" t="s">
        <v>87</v>
      </c>
      <c r="C25" s="16" t="s">
        <v>88</v>
      </c>
      <c r="D25" s="17" t="s">
        <v>89</v>
      </c>
      <c r="E25" s="17">
        <v>3</v>
      </c>
      <c r="F25" s="13">
        <f t="shared" si="0"/>
        <v>25.8823529411765</v>
      </c>
      <c r="G25" s="14">
        <f t="shared" si="1"/>
        <v>0.85</v>
      </c>
      <c r="H25" s="18">
        <v>22</v>
      </c>
      <c r="I25" s="15">
        <f t="shared" si="2"/>
        <v>66</v>
      </c>
      <c r="J25" s="16"/>
    </row>
    <row r="26" spans="1:10">
      <c r="A26" s="11">
        <v>21</v>
      </c>
      <c r="B26" s="11" t="s">
        <v>38</v>
      </c>
      <c r="C26" s="28" t="s">
        <v>39</v>
      </c>
      <c r="D26" s="12" t="s">
        <v>40</v>
      </c>
      <c r="E26" s="12">
        <v>58</v>
      </c>
      <c r="F26" s="13">
        <f t="shared" si="0"/>
        <v>4.11764705882353</v>
      </c>
      <c r="G26" s="14">
        <f t="shared" si="1"/>
        <v>0.85</v>
      </c>
      <c r="H26" s="15">
        <v>3.5</v>
      </c>
      <c r="I26" s="15">
        <f t="shared" si="2"/>
        <v>203</v>
      </c>
      <c r="J26" s="11"/>
    </row>
    <row r="27" spans="1:10">
      <c r="A27" s="11">
        <v>22</v>
      </c>
      <c r="B27" s="16"/>
      <c r="C27" s="29"/>
      <c r="D27" s="12"/>
      <c r="E27" s="12"/>
      <c r="F27" s="13"/>
      <c r="G27" s="14"/>
      <c r="H27" s="15"/>
      <c r="I27" s="15"/>
      <c r="J27" s="11"/>
    </row>
    <row r="28" spans="1:10">
      <c r="A28" s="11">
        <v>23</v>
      </c>
      <c r="B28" s="16"/>
      <c r="C28" s="29"/>
      <c r="D28" s="16"/>
      <c r="E28" s="17"/>
      <c r="F28" s="13"/>
      <c r="G28" s="14"/>
      <c r="H28" s="18"/>
      <c r="I28" s="15"/>
      <c r="J28" s="16"/>
    </row>
    <row r="29" spans="1:10">
      <c r="A29" s="11">
        <v>24</v>
      </c>
      <c r="B29" s="11"/>
      <c r="C29" s="28"/>
      <c r="D29" s="16"/>
      <c r="E29" s="12"/>
      <c r="F29" s="13"/>
      <c r="G29" s="14"/>
      <c r="H29" s="15"/>
      <c r="I29" s="15"/>
      <c r="J29" s="11"/>
    </row>
    <row r="30" spans="1:10">
      <c r="A30" s="11">
        <v>25</v>
      </c>
      <c r="B30" s="27"/>
      <c r="C30" s="28"/>
      <c r="D30" s="16"/>
      <c r="E30" s="12"/>
      <c r="F30" s="13"/>
      <c r="G30" s="14"/>
      <c r="H30" s="15"/>
      <c r="I30" s="15"/>
      <c r="J30" s="11"/>
    </row>
    <row r="31" spans="1:10">
      <c r="A31" s="11">
        <v>26</v>
      </c>
      <c r="B31" s="11"/>
      <c r="C31" s="28"/>
      <c r="D31" s="11"/>
      <c r="E31" s="12"/>
      <c r="F31" s="13"/>
      <c r="G31" s="14"/>
      <c r="H31" s="15"/>
      <c r="I31" s="15"/>
      <c r="J31" s="11"/>
    </row>
    <row r="32" spans="1:10">
      <c r="A32" s="11">
        <v>27</v>
      </c>
      <c r="B32" s="11"/>
      <c r="C32" s="28"/>
      <c r="D32" s="11"/>
      <c r="E32" s="12"/>
      <c r="F32" s="13"/>
      <c r="G32" s="14"/>
      <c r="H32" s="15"/>
      <c r="I32" s="15"/>
      <c r="J32" s="11"/>
    </row>
    <row r="33" spans="1:10">
      <c r="A33" s="11">
        <v>28</v>
      </c>
      <c r="B33" s="11"/>
      <c r="C33" s="11"/>
      <c r="D33" s="11"/>
      <c r="E33" s="12"/>
      <c r="F33" s="13"/>
      <c r="G33" s="14"/>
      <c r="H33" s="15"/>
      <c r="I33" s="15"/>
      <c r="J33" s="11"/>
    </row>
    <row r="34" spans="1:10">
      <c r="A34" s="11" t="s">
        <v>90</v>
      </c>
      <c r="B34" s="19">
        <f>SUM(I6:I33)</f>
        <v>2095.8</v>
      </c>
      <c r="C34" s="20"/>
      <c r="D34" s="20"/>
      <c r="E34" s="20"/>
      <c r="F34" s="20"/>
      <c r="G34" s="20"/>
      <c r="H34" s="20"/>
      <c r="I34" s="20"/>
      <c r="J34" s="24"/>
    </row>
    <row r="35" spans="1:10">
      <c r="A35" s="11" t="s">
        <v>43</v>
      </c>
      <c r="B35" s="22">
        <f>B34</f>
        <v>2095.8</v>
      </c>
      <c r="C35" s="23"/>
      <c r="D35" s="23"/>
      <c r="E35" s="23"/>
      <c r="F35" s="23"/>
      <c r="G35" s="23"/>
      <c r="H35" s="23"/>
      <c r="I35" s="23"/>
      <c r="J35" s="25"/>
    </row>
    <row r="36" spans="1:10">
      <c r="A36" s="3" t="s">
        <v>44</v>
      </c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1"/>
  </conditionalFormatting>
  <conditionalFormatting sqref="B6:C26">
    <cfRule type="duplicateValues" dxfId="0" priority="2"/>
  </conditionalFormatting>
  <pageMargins left="0.751388888888889" right="0.751388888888889" top="0.60625" bottom="1" header="0.5" footer="0.5"/>
  <pageSetup paperSize="9" scale="96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13" workbookViewId="0">
      <selection activeCell="I13" sqref="I$1:I$104857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8" width="11.6666666666667" style="3" customWidth="1"/>
    <col min="16319" max="16319" width="11.6666666666667" style="3"/>
    <col min="16320" max="16325" width="11" style="3"/>
    <col min="16326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="3" customFormat="1" customHeight="1" spans="1:2">
      <c r="A3" s="3" t="s">
        <v>69</v>
      </c>
      <c r="B3" s="3" t="s">
        <v>70</v>
      </c>
    </row>
    <row r="4" s="3" customFormat="1" customHeight="1" spans="1:10">
      <c r="A4" s="3" t="s">
        <v>71</v>
      </c>
      <c r="B4" s="8">
        <v>45142</v>
      </c>
      <c r="C4" s="8"/>
      <c r="D4" s="9"/>
      <c r="E4" s="9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4</v>
      </c>
      <c r="F6" s="13">
        <f t="shared" ref="F6:F18" si="0">H6/0.85</f>
        <v>3.52941176470588</v>
      </c>
      <c r="G6" s="14">
        <f t="shared" ref="G6:G18" si="1">H6/F6</f>
        <v>0.85</v>
      </c>
      <c r="H6" s="15">
        <v>3</v>
      </c>
      <c r="I6" s="15">
        <f t="shared" ref="I6:I20" si="2">E6*H6</f>
        <v>12</v>
      </c>
      <c r="J6" s="11"/>
    </row>
    <row r="7" s="3" customFormat="1" ht="16" customHeight="1" spans="1:10">
      <c r="A7" s="11">
        <v>2</v>
      </c>
      <c r="B7" s="11" t="s">
        <v>15</v>
      </c>
      <c r="C7" s="11"/>
      <c r="D7" s="12" t="s">
        <v>14</v>
      </c>
      <c r="E7" s="12">
        <v>4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14</v>
      </c>
      <c r="J7" s="11"/>
    </row>
    <row r="8" s="3" customFormat="1" ht="16" customHeight="1" spans="1:10">
      <c r="A8" s="11">
        <v>3</v>
      </c>
      <c r="B8" s="11" t="s">
        <v>91</v>
      </c>
      <c r="C8" s="11"/>
      <c r="D8" s="12" t="s">
        <v>14</v>
      </c>
      <c r="E8" s="12">
        <v>3</v>
      </c>
      <c r="F8" s="13">
        <f t="shared" si="0"/>
        <v>2.94117647058824</v>
      </c>
      <c r="G8" s="14">
        <f t="shared" si="1"/>
        <v>0.85</v>
      </c>
      <c r="H8" s="15">
        <v>2.5</v>
      </c>
      <c r="I8" s="15">
        <f t="shared" si="2"/>
        <v>7.5</v>
      </c>
      <c r="J8" s="11"/>
    </row>
    <row r="9" s="3" customFormat="1" ht="16" customHeight="1" spans="1:10">
      <c r="A9" s="11">
        <v>4</v>
      </c>
      <c r="B9" s="16" t="s">
        <v>48</v>
      </c>
      <c r="C9" s="16"/>
      <c r="D9" s="12" t="s">
        <v>14</v>
      </c>
      <c r="E9" s="12">
        <v>6</v>
      </c>
      <c r="F9" s="13">
        <f t="shared" si="0"/>
        <v>7.64705882352941</v>
      </c>
      <c r="G9" s="14">
        <f t="shared" si="1"/>
        <v>0.85</v>
      </c>
      <c r="H9" s="15">
        <v>6.5</v>
      </c>
      <c r="I9" s="15">
        <f t="shared" si="2"/>
        <v>39</v>
      </c>
      <c r="J9" s="11"/>
    </row>
    <row r="10" s="3" customFormat="1" ht="16" customHeight="1" spans="1:10">
      <c r="A10" s="11">
        <v>5</v>
      </c>
      <c r="B10" s="16" t="s">
        <v>92</v>
      </c>
      <c r="C10" s="16"/>
      <c r="D10" s="12" t="s">
        <v>14</v>
      </c>
      <c r="E10" s="12">
        <v>10</v>
      </c>
      <c r="F10" s="13">
        <f t="shared" si="0"/>
        <v>2.94117647058824</v>
      </c>
      <c r="G10" s="14">
        <f t="shared" si="1"/>
        <v>0.85</v>
      </c>
      <c r="H10" s="15">
        <v>2.5</v>
      </c>
      <c r="I10" s="15">
        <f t="shared" si="2"/>
        <v>25</v>
      </c>
      <c r="J10" s="11"/>
    </row>
    <row r="11" s="3" customFormat="1" ht="16" customHeight="1" spans="1:10">
      <c r="A11" s="11">
        <v>6</v>
      </c>
      <c r="B11" s="11" t="s">
        <v>93</v>
      </c>
      <c r="C11" s="11"/>
      <c r="D11" s="12" t="s">
        <v>14</v>
      </c>
      <c r="E11" s="12">
        <v>4</v>
      </c>
      <c r="F11" s="13">
        <f t="shared" si="0"/>
        <v>5.29411764705882</v>
      </c>
      <c r="G11" s="14">
        <f t="shared" si="1"/>
        <v>0.85</v>
      </c>
      <c r="H11" s="15">
        <v>4.5</v>
      </c>
      <c r="I11" s="15">
        <f t="shared" si="2"/>
        <v>18</v>
      </c>
      <c r="J11" s="11"/>
    </row>
    <row r="12" s="3" customFormat="1" ht="16" customHeight="1" spans="1:10">
      <c r="A12" s="11">
        <v>7</v>
      </c>
      <c r="B12" s="11" t="s">
        <v>49</v>
      </c>
      <c r="C12" s="11"/>
      <c r="D12" s="12" t="s">
        <v>14</v>
      </c>
      <c r="E12" s="12">
        <v>3</v>
      </c>
      <c r="F12" s="13">
        <f t="shared" si="0"/>
        <v>9.17647058823529</v>
      </c>
      <c r="G12" s="14">
        <f t="shared" si="1"/>
        <v>0.85</v>
      </c>
      <c r="H12" s="15">
        <v>7.8</v>
      </c>
      <c r="I12" s="15">
        <f t="shared" si="2"/>
        <v>23.4</v>
      </c>
      <c r="J12" s="11"/>
    </row>
    <row r="13" s="3" customFormat="1" ht="16" customHeight="1" spans="1:10">
      <c r="A13" s="11">
        <v>8</v>
      </c>
      <c r="B13" s="11" t="s">
        <v>94</v>
      </c>
      <c r="C13" s="11"/>
      <c r="D13" s="12" t="s">
        <v>14</v>
      </c>
      <c r="E13" s="12">
        <v>3</v>
      </c>
      <c r="F13" s="13">
        <f t="shared" si="0"/>
        <v>4.11764705882353</v>
      </c>
      <c r="G13" s="14">
        <f t="shared" si="1"/>
        <v>0.85</v>
      </c>
      <c r="H13" s="15">
        <v>3.5</v>
      </c>
      <c r="I13" s="15">
        <f t="shared" si="2"/>
        <v>10.5</v>
      </c>
      <c r="J13" s="11"/>
    </row>
    <row r="14" s="3" customFormat="1" ht="16" customHeight="1" spans="1:10">
      <c r="A14" s="11">
        <v>9</v>
      </c>
      <c r="B14" s="16" t="s">
        <v>95</v>
      </c>
      <c r="C14" s="16"/>
      <c r="D14" s="17" t="s">
        <v>14</v>
      </c>
      <c r="E14" s="17">
        <v>12</v>
      </c>
      <c r="F14" s="13">
        <f t="shared" si="0"/>
        <v>4.47058823529412</v>
      </c>
      <c r="G14" s="14">
        <f t="shared" si="1"/>
        <v>0.85</v>
      </c>
      <c r="H14" s="18">
        <v>3.8</v>
      </c>
      <c r="I14" s="15">
        <f t="shared" si="2"/>
        <v>45.6</v>
      </c>
      <c r="J14" s="16"/>
    </row>
    <row r="15" s="3" customFormat="1" ht="16" customHeight="1" spans="1:10">
      <c r="A15" s="11">
        <v>10</v>
      </c>
      <c r="B15" s="16" t="s">
        <v>23</v>
      </c>
      <c r="C15" s="16"/>
      <c r="D15" s="17" t="s">
        <v>14</v>
      </c>
      <c r="E15" s="17">
        <v>4</v>
      </c>
      <c r="F15" s="13">
        <f t="shared" si="0"/>
        <v>5.29411764705882</v>
      </c>
      <c r="G15" s="14">
        <f t="shared" si="1"/>
        <v>0.85</v>
      </c>
      <c r="H15" s="18">
        <v>4.5</v>
      </c>
      <c r="I15" s="15">
        <f t="shared" si="2"/>
        <v>18</v>
      </c>
      <c r="J15" s="16"/>
    </row>
    <row r="16" s="3" customFormat="1" ht="16" customHeight="1" spans="1:10">
      <c r="A16" s="11">
        <v>11</v>
      </c>
      <c r="B16" s="16" t="s">
        <v>96</v>
      </c>
      <c r="C16" s="16"/>
      <c r="D16" s="17" t="s">
        <v>14</v>
      </c>
      <c r="E16" s="17">
        <v>5</v>
      </c>
      <c r="F16" s="13">
        <f t="shared" si="0"/>
        <v>13.8823529411765</v>
      </c>
      <c r="G16" s="14">
        <f t="shared" si="1"/>
        <v>0.85</v>
      </c>
      <c r="H16" s="18">
        <v>11.8</v>
      </c>
      <c r="I16" s="15">
        <f t="shared" si="2"/>
        <v>59</v>
      </c>
      <c r="J16" s="16"/>
    </row>
    <row r="17" s="3" customFormat="1" ht="16" customHeight="1" spans="1:10">
      <c r="A17" s="11">
        <v>12</v>
      </c>
      <c r="B17" s="16" t="s">
        <v>97</v>
      </c>
      <c r="C17" s="16"/>
      <c r="D17" s="17" t="s">
        <v>14</v>
      </c>
      <c r="E17" s="17">
        <v>3</v>
      </c>
      <c r="F17" s="13">
        <f t="shared" si="0"/>
        <v>5.88235294117647</v>
      </c>
      <c r="G17" s="14">
        <f t="shared" si="1"/>
        <v>0.85</v>
      </c>
      <c r="H17" s="18">
        <v>5</v>
      </c>
      <c r="I17" s="15">
        <f t="shared" si="2"/>
        <v>15</v>
      </c>
      <c r="J17" s="16"/>
    </row>
    <row r="18" s="3" customFormat="1" ht="16" customHeight="1" spans="1:10">
      <c r="A18" s="11">
        <v>13</v>
      </c>
      <c r="B18" s="16" t="s">
        <v>55</v>
      </c>
      <c r="C18" s="16"/>
      <c r="D18" s="17" t="s">
        <v>14</v>
      </c>
      <c r="E18" s="17">
        <v>23.3</v>
      </c>
      <c r="F18" s="13">
        <f t="shared" si="0"/>
        <v>4.11764705882353</v>
      </c>
      <c r="G18" s="14">
        <f t="shared" si="1"/>
        <v>0.85</v>
      </c>
      <c r="H18" s="18">
        <v>3.5</v>
      </c>
      <c r="I18" s="15">
        <f t="shared" si="2"/>
        <v>81.55</v>
      </c>
      <c r="J18" s="16"/>
    </row>
    <row r="19" s="3" customFormat="1" ht="16" customHeight="1" spans="1:10">
      <c r="A19" s="11">
        <v>14</v>
      </c>
      <c r="B19" s="27" t="s">
        <v>98</v>
      </c>
      <c r="C19" s="11"/>
      <c r="D19" s="12" t="s">
        <v>14</v>
      </c>
      <c r="E19" s="12">
        <v>8</v>
      </c>
      <c r="F19" s="13">
        <f t="shared" ref="F19:F26" si="3">H19/0.85</f>
        <v>22.3529411764706</v>
      </c>
      <c r="G19" s="14">
        <f t="shared" ref="G19:G26" si="4">H19/F19</f>
        <v>0.85</v>
      </c>
      <c r="H19" s="18">
        <v>19</v>
      </c>
      <c r="I19" s="15">
        <f t="shared" ref="I19:I26" si="5">E19*H19</f>
        <v>152</v>
      </c>
      <c r="J19" s="11"/>
    </row>
    <row r="20" s="3" customFormat="1" ht="16" customHeight="1" spans="1:10">
      <c r="A20" s="11">
        <v>15</v>
      </c>
      <c r="B20" s="16" t="s">
        <v>99</v>
      </c>
      <c r="C20" s="16"/>
      <c r="D20" s="17" t="s">
        <v>14</v>
      </c>
      <c r="E20" s="17">
        <v>8</v>
      </c>
      <c r="F20" s="13">
        <f t="shared" si="3"/>
        <v>11.7647058823529</v>
      </c>
      <c r="G20" s="14">
        <f t="shared" si="4"/>
        <v>0.85</v>
      </c>
      <c r="H20" s="18">
        <v>10</v>
      </c>
      <c r="I20" s="15">
        <f t="shared" si="5"/>
        <v>80</v>
      </c>
      <c r="J20" s="16"/>
    </row>
    <row r="21" s="3" customFormat="1" ht="16" customHeight="1" spans="1:10">
      <c r="A21" s="11">
        <v>16</v>
      </c>
      <c r="B21" s="16" t="s">
        <v>100</v>
      </c>
      <c r="C21" s="16"/>
      <c r="D21" s="17" t="s">
        <v>14</v>
      </c>
      <c r="E21" s="17">
        <v>3</v>
      </c>
      <c r="F21" s="13">
        <f t="shared" si="3"/>
        <v>19.7647058823529</v>
      </c>
      <c r="G21" s="14">
        <f t="shared" si="4"/>
        <v>0.85</v>
      </c>
      <c r="H21" s="18">
        <v>16.8</v>
      </c>
      <c r="I21" s="15">
        <f t="shared" si="5"/>
        <v>50.4</v>
      </c>
      <c r="J21" s="16"/>
    </row>
    <row r="22" s="3" customFormat="1" ht="16" customHeight="1" spans="1:10">
      <c r="A22" s="11">
        <v>17</v>
      </c>
      <c r="B22" s="16" t="s">
        <v>101</v>
      </c>
      <c r="C22" s="16"/>
      <c r="D22" s="17" t="s">
        <v>14</v>
      </c>
      <c r="E22" s="17">
        <v>5</v>
      </c>
      <c r="F22" s="13">
        <f t="shared" si="3"/>
        <v>5.76470588235294</v>
      </c>
      <c r="G22" s="14">
        <f t="shared" si="4"/>
        <v>0.85</v>
      </c>
      <c r="H22" s="18">
        <v>4.9</v>
      </c>
      <c r="I22" s="15">
        <f t="shared" si="5"/>
        <v>24.5</v>
      </c>
      <c r="J22" s="16"/>
    </row>
    <row r="23" s="3" customFormat="1" ht="16" customHeight="1" spans="1:10">
      <c r="A23" s="11">
        <v>18</v>
      </c>
      <c r="B23" s="16" t="s">
        <v>102</v>
      </c>
      <c r="C23" s="16" t="s">
        <v>47</v>
      </c>
      <c r="D23" s="16" t="s">
        <v>14</v>
      </c>
      <c r="E23" s="17">
        <v>5</v>
      </c>
      <c r="F23" s="13">
        <f t="shared" si="3"/>
        <v>5.29411764705882</v>
      </c>
      <c r="G23" s="14">
        <f t="shared" si="4"/>
        <v>0.85</v>
      </c>
      <c r="H23" s="18">
        <v>4.5</v>
      </c>
      <c r="I23" s="15">
        <f t="shared" si="5"/>
        <v>22.5</v>
      </c>
      <c r="J23" s="16"/>
    </row>
    <row r="24" s="3" customFormat="1" ht="16" customHeight="1" spans="1:10">
      <c r="A24" s="11">
        <v>19</v>
      </c>
      <c r="B24" s="16" t="s">
        <v>38</v>
      </c>
      <c r="C24" s="16" t="s">
        <v>39</v>
      </c>
      <c r="D24" s="17" t="s">
        <v>40</v>
      </c>
      <c r="E24" s="17">
        <v>50</v>
      </c>
      <c r="F24" s="13">
        <f t="shared" si="3"/>
        <v>4.11764705882353</v>
      </c>
      <c r="G24" s="14">
        <f t="shared" si="4"/>
        <v>0.85</v>
      </c>
      <c r="H24" s="18">
        <v>3.5</v>
      </c>
      <c r="I24" s="15">
        <f t="shared" si="5"/>
        <v>175</v>
      </c>
      <c r="J24" s="16"/>
    </row>
    <row r="25" s="3" customFormat="1" ht="16" customHeight="1" spans="1:10">
      <c r="A25" s="11">
        <v>20</v>
      </c>
      <c r="B25" s="11" t="s">
        <v>103</v>
      </c>
      <c r="C25" s="11"/>
      <c r="D25" s="12" t="s">
        <v>14</v>
      </c>
      <c r="E25" s="12">
        <v>2</v>
      </c>
      <c r="F25" s="13">
        <f t="shared" si="3"/>
        <v>8</v>
      </c>
      <c r="G25" s="14">
        <f t="shared" si="4"/>
        <v>0.85</v>
      </c>
      <c r="H25" s="15">
        <v>6.8</v>
      </c>
      <c r="I25" s="15">
        <f t="shared" si="5"/>
        <v>13.6</v>
      </c>
      <c r="J25" s="11"/>
    </row>
    <row r="26" s="3" customFormat="1" ht="16" customHeight="1" spans="1:10">
      <c r="A26" s="11">
        <v>21</v>
      </c>
      <c r="B26" s="16" t="s">
        <v>20</v>
      </c>
      <c r="C26" s="16"/>
      <c r="D26" s="12" t="s">
        <v>21</v>
      </c>
      <c r="E26" s="12">
        <v>7</v>
      </c>
      <c r="F26" s="13">
        <f t="shared" ref="F26:F32" si="6">H26/0.85</f>
        <v>3.52941176470588</v>
      </c>
      <c r="G26" s="14">
        <f t="shared" ref="G26:G32" si="7">H26/F26</f>
        <v>0.85</v>
      </c>
      <c r="H26" s="15">
        <v>3</v>
      </c>
      <c r="I26" s="15">
        <f t="shared" ref="I26:I32" si="8">E26*H26</f>
        <v>21</v>
      </c>
      <c r="J26" s="11"/>
    </row>
    <row r="27" s="3" customFormat="1" ht="16" customHeight="1" spans="1:10">
      <c r="A27" s="11">
        <v>22</v>
      </c>
      <c r="B27" s="16" t="s">
        <v>104</v>
      </c>
      <c r="C27" s="16"/>
      <c r="D27" s="16" t="s">
        <v>14</v>
      </c>
      <c r="E27" s="17">
        <v>1</v>
      </c>
      <c r="F27" s="13">
        <f t="shared" si="6"/>
        <v>9.17647058823529</v>
      </c>
      <c r="G27" s="14">
        <f t="shared" si="7"/>
        <v>0.85</v>
      </c>
      <c r="H27" s="15">
        <v>7.8</v>
      </c>
      <c r="I27" s="15">
        <f t="shared" si="8"/>
        <v>7.8</v>
      </c>
      <c r="J27" s="16"/>
    </row>
    <row r="28" s="3" customFormat="1" ht="16" customHeight="1" spans="1:10">
      <c r="A28" s="11">
        <v>23</v>
      </c>
      <c r="B28" s="11" t="s">
        <v>105</v>
      </c>
      <c r="C28" s="11"/>
      <c r="D28" s="16" t="s">
        <v>14</v>
      </c>
      <c r="E28" s="12">
        <v>3</v>
      </c>
      <c r="F28" s="13">
        <f t="shared" si="6"/>
        <v>16.2352941176471</v>
      </c>
      <c r="G28" s="14">
        <f t="shared" si="7"/>
        <v>0.85</v>
      </c>
      <c r="H28" s="15">
        <v>13.8</v>
      </c>
      <c r="I28" s="15">
        <f t="shared" si="8"/>
        <v>41.4</v>
      </c>
      <c r="J28" s="11"/>
    </row>
    <row r="29" s="3" customFormat="1" ht="16" customHeight="1" spans="1:10">
      <c r="A29" s="11">
        <v>24</v>
      </c>
      <c r="B29" s="27" t="s">
        <v>106</v>
      </c>
      <c r="C29" s="11"/>
      <c r="D29" s="16" t="s">
        <v>14</v>
      </c>
      <c r="E29" s="12">
        <v>3</v>
      </c>
      <c r="F29" s="13">
        <f t="shared" si="6"/>
        <v>25.8823529411765</v>
      </c>
      <c r="G29" s="14">
        <f t="shared" si="7"/>
        <v>0.85</v>
      </c>
      <c r="H29" s="15">
        <v>22</v>
      </c>
      <c r="I29" s="15">
        <f t="shared" si="8"/>
        <v>66</v>
      </c>
      <c r="J29" s="11"/>
    </row>
    <row r="30" s="3" customFormat="1" ht="16" customHeight="1" spans="1:10">
      <c r="A30" s="11">
        <v>25</v>
      </c>
      <c r="B30" s="11" t="s">
        <v>107</v>
      </c>
      <c r="C30" s="11"/>
      <c r="D30" s="11" t="s">
        <v>14</v>
      </c>
      <c r="E30" s="12">
        <v>8</v>
      </c>
      <c r="F30" s="13">
        <f t="shared" si="6"/>
        <v>49.4117647058824</v>
      </c>
      <c r="G30" s="14">
        <f t="shared" si="7"/>
        <v>0.85</v>
      </c>
      <c r="H30" s="15">
        <v>42</v>
      </c>
      <c r="I30" s="15">
        <f t="shared" si="8"/>
        <v>336</v>
      </c>
      <c r="J30" s="11"/>
    </row>
    <row r="31" s="3" customFormat="1" ht="16" customHeight="1" spans="1:10">
      <c r="A31" s="11">
        <v>26</v>
      </c>
      <c r="B31" s="11" t="s">
        <v>108</v>
      </c>
      <c r="C31" s="11"/>
      <c r="D31" s="11" t="s">
        <v>14</v>
      </c>
      <c r="E31" s="12">
        <v>4.8</v>
      </c>
      <c r="F31" s="13">
        <f t="shared" si="6"/>
        <v>28.2352941176471</v>
      </c>
      <c r="G31" s="14">
        <f t="shared" si="7"/>
        <v>0.85</v>
      </c>
      <c r="H31" s="15">
        <v>24</v>
      </c>
      <c r="I31" s="15">
        <f t="shared" si="8"/>
        <v>115.2</v>
      </c>
      <c r="J31" s="11"/>
    </row>
    <row r="32" s="3" customFormat="1" ht="16" customHeight="1" spans="1:10">
      <c r="A32" s="11">
        <v>27</v>
      </c>
      <c r="B32" s="11"/>
      <c r="C32" s="11"/>
      <c r="D32" s="11"/>
      <c r="E32" s="12"/>
      <c r="F32" s="13"/>
      <c r="G32" s="14"/>
      <c r="H32" s="15"/>
      <c r="I32" s="15"/>
      <c r="J32" s="11"/>
    </row>
    <row r="33" s="3" customFormat="1" customHeight="1" spans="1:10">
      <c r="A33" s="11" t="s">
        <v>90</v>
      </c>
      <c r="B33" s="19">
        <f>SUM(I6:I32)</f>
        <v>1473.95</v>
      </c>
      <c r="C33" s="20"/>
      <c r="D33" s="20"/>
      <c r="E33" s="20"/>
      <c r="F33" s="20"/>
      <c r="G33" s="20"/>
      <c r="H33" s="20"/>
      <c r="I33" s="20"/>
      <c r="J33" s="24"/>
    </row>
    <row r="34" s="3" customFormat="1" customHeight="1" spans="1:10">
      <c r="A34" s="11" t="s">
        <v>43</v>
      </c>
      <c r="B34" s="22">
        <f>B33</f>
        <v>1473.95</v>
      </c>
      <c r="C34" s="23"/>
      <c r="D34" s="23"/>
      <c r="E34" s="23"/>
      <c r="F34" s="23"/>
      <c r="G34" s="23"/>
      <c r="H34" s="23"/>
      <c r="I34" s="23"/>
      <c r="J34" s="25"/>
    </row>
    <row r="35" s="3" customFormat="1" customHeight="1" spans="1:1">
      <c r="A35" s="3" t="s">
        <v>44</v>
      </c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1"/>
  </conditionalFormatting>
  <conditionalFormatting sqref="B6:C25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9"/>
  <sheetViews>
    <sheetView topLeftCell="A17" workbookViewId="0">
      <selection activeCell="A6" sqref="A6:A34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8" width="11.6666666666667" style="3" customWidth="1"/>
    <col min="16319" max="16319" width="11.6666666666667" style="3"/>
    <col min="16320" max="16325" width="11" style="3"/>
    <col min="16326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="3" customFormat="1" customHeight="1" spans="1:2">
      <c r="A3" s="3" t="s">
        <v>69</v>
      </c>
      <c r="B3" s="3" t="s">
        <v>70</v>
      </c>
    </row>
    <row r="4" s="3" customFormat="1" customHeight="1" spans="1:10">
      <c r="A4" s="3" t="s">
        <v>71</v>
      </c>
      <c r="B4" s="8">
        <v>45144</v>
      </c>
      <c r="C4" s="8"/>
      <c r="D4" s="9"/>
      <c r="E4" s="9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49</v>
      </c>
      <c r="C6" s="11"/>
      <c r="D6" s="12" t="s">
        <v>14</v>
      </c>
      <c r="E6" s="12">
        <v>2</v>
      </c>
      <c r="F6" s="13">
        <f t="shared" ref="F6:F12" si="0">H6/0.85</f>
        <v>9.17647058823529</v>
      </c>
      <c r="G6" s="14">
        <f t="shared" ref="G6:G12" si="1">H6/F6</f>
        <v>0.85</v>
      </c>
      <c r="H6" s="15">
        <v>7.8</v>
      </c>
      <c r="I6" s="15">
        <f t="shared" ref="I6:I12" si="2">E6*H6</f>
        <v>15.6</v>
      </c>
      <c r="J6" s="11"/>
    </row>
    <row r="7" s="3" customFormat="1" ht="16" customHeight="1" spans="1:10">
      <c r="A7" s="11">
        <v>2</v>
      </c>
      <c r="B7" s="11" t="s">
        <v>109</v>
      </c>
      <c r="C7" s="11"/>
      <c r="D7" s="12" t="s">
        <v>14</v>
      </c>
      <c r="E7" s="12">
        <v>2.1</v>
      </c>
      <c r="F7" s="13">
        <f t="shared" si="0"/>
        <v>11.5294117647059</v>
      </c>
      <c r="G7" s="14">
        <f t="shared" si="1"/>
        <v>0.85</v>
      </c>
      <c r="H7" s="15">
        <v>9.8</v>
      </c>
      <c r="I7" s="15">
        <f t="shared" si="2"/>
        <v>20.58</v>
      </c>
      <c r="J7" s="11"/>
    </row>
    <row r="8" s="3" customFormat="1" ht="16" customHeight="1" spans="1:10">
      <c r="A8" s="11">
        <v>3</v>
      </c>
      <c r="B8" s="11" t="s">
        <v>50</v>
      </c>
      <c r="C8" s="11"/>
      <c r="D8" s="12" t="s">
        <v>14</v>
      </c>
      <c r="E8" s="12">
        <v>2</v>
      </c>
      <c r="F8" s="13">
        <f t="shared" si="0"/>
        <v>5.29411764705882</v>
      </c>
      <c r="G8" s="14">
        <f t="shared" si="1"/>
        <v>0.85</v>
      </c>
      <c r="H8" s="15">
        <v>4.5</v>
      </c>
      <c r="I8" s="15">
        <f t="shared" si="2"/>
        <v>9</v>
      </c>
      <c r="J8" s="11"/>
    </row>
    <row r="9" s="3" customFormat="1" ht="16" customHeight="1" spans="1:10">
      <c r="A9" s="11">
        <v>4</v>
      </c>
      <c r="B9" s="16" t="s">
        <v>51</v>
      </c>
      <c r="C9" s="16"/>
      <c r="D9" s="12" t="s">
        <v>14</v>
      </c>
      <c r="E9" s="12">
        <v>2</v>
      </c>
      <c r="F9" s="13">
        <f t="shared" si="0"/>
        <v>4.47058823529412</v>
      </c>
      <c r="G9" s="14">
        <f t="shared" si="1"/>
        <v>0.85</v>
      </c>
      <c r="H9" s="15">
        <v>3.8</v>
      </c>
      <c r="I9" s="15">
        <f t="shared" si="2"/>
        <v>7.6</v>
      </c>
      <c r="J9" s="11"/>
    </row>
    <row r="10" s="3" customFormat="1" ht="16" customHeight="1" spans="1:10">
      <c r="A10" s="11">
        <v>5</v>
      </c>
      <c r="B10" s="16" t="s">
        <v>41</v>
      </c>
      <c r="C10" s="16"/>
      <c r="D10" s="12" t="s">
        <v>14</v>
      </c>
      <c r="E10" s="12">
        <v>7</v>
      </c>
      <c r="F10" s="13">
        <f t="shared" si="0"/>
        <v>16.2352941176471</v>
      </c>
      <c r="G10" s="14">
        <f t="shared" si="1"/>
        <v>0.85</v>
      </c>
      <c r="H10" s="15">
        <v>13.8</v>
      </c>
      <c r="I10" s="15">
        <f t="shared" si="2"/>
        <v>96.6</v>
      </c>
      <c r="J10" s="11"/>
    </row>
    <row r="11" s="3" customFormat="1" ht="16" customHeight="1" spans="1:10">
      <c r="A11" s="11">
        <v>6</v>
      </c>
      <c r="B11" s="11" t="s">
        <v>110</v>
      </c>
      <c r="C11" s="11"/>
      <c r="D11" s="12" t="s">
        <v>14</v>
      </c>
      <c r="E11" s="12">
        <v>13.4</v>
      </c>
      <c r="F11" s="13">
        <f t="shared" si="0"/>
        <v>45.8823529411765</v>
      </c>
      <c r="G11" s="14">
        <f t="shared" si="1"/>
        <v>0.85</v>
      </c>
      <c r="H11" s="15">
        <v>39</v>
      </c>
      <c r="I11" s="15">
        <f t="shared" si="2"/>
        <v>522.6</v>
      </c>
      <c r="J11" s="11"/>
    </row>
    <row r="12" s="3" customFormat="1" ht="16" customHeight="1" spans="1:10">
      <c r="A12" s="11">
        <v>7</v>
      </c>
      <c r="B12" s="11" t="s">
        <v>111</v>
      </c>
      <c r="C12" s="11"/>
      <c r="D12" s="12" t="s">
        <v>40</v>
      </c>
      <c r="E12" s="12">
        <v>15</v>
      </c>
      <c r="F12" s="13">
        <f t="shared" si="0"/>
        <v>4.11764705882353</v>
      </c>
      <c r="G12" s="14">
        <f t="shared" si="1"/>
        <v>0.85</v>
      </c>
      <c r="H12" s="15">
        <v>3.5</v>
      </c>
      <c r="I12" s="15">
        <f t="shared" si="2"/>
        <v>52.5</v>
      </c>
      <c r="J12" s="11"/>
    </row>
    <row r="13" s="3" customFormat="1" ht="16" customHeight="1" spans="1:10">
      <c r="A13" s="11">
        <v>8</v>
      </c>
      <c r="B13" s="11"/>
      <c r="C13" s="11"/>
      <c r="D13" s="12"/>
      <c r="E13" s="12"/>
      <c r="F13" s="13"/>
      <c r="G13" s="14"/>
      <c r="H13" s="15"/>
      <c r="I13" s="15"/>
      <c r="J13" s="11"/>
    </row>
    <row r="14" s="3" customFormat="1" ht="16" customHeight="1" spans="1:10">
      <c r="A14" s="11">
        <v>9</v>
      </c>
      <c r="B14" s="16"/>
      <c r="C14" s="16"/>
      <c r="D14" s="17"/>
      <c r="E14" s="17"/>
      <c r="F14" s="13"/>
      <c r="G14" s="14"/>
      <c r="H14" s="18"/>
      <c r="I14" s="15"/>
      <c r="J14" s="16"/>
    </row>
    <row r="15" s="3" customFormat="1" ht="16" customHeight="1" spans="1:10">
      <c r="A15" s="11">
        <v>10</v>
      </c>
      <c r="B15" s="16"/>
      <c r="C15" s="16"/>
      <c r="D15" s="17"/>
      <c r="E15" s="17"/>
      <c r="F15" s="13"/>
      <c r="G15" s="14"/>
      <c r="H15" s="18"/>
      <c r="I15" s="15"/>
      <c r="J15" s="16"/>
    </row>
    <row r="16" s="3" customFormat="1" ht="16" customHeight="1" spans="1:10">
      <c r="A16" s="11">
        <v>11</v>
      </c>
      <c r="B16" s="16"/>
      <c r="C16" s="16"/>
      <c r="D16" s="17"/>
      <c r="E16" s="17"/>
      <c r="F16" s="13"/>
      <c r="G16" s="14"/>
      <c r="H16" s="18"/>
      <c r="I16" s="15"/>
      <c r="J16" s="16"/>
    </row>
    <row r="17" s="3" customFormat="1" ht="16" customHeight="1" spans="1:10">
      <c r="A17" s="11">
        <v>12</v>
      </c>
      <c r="B17" s="16"/>
      <c r="C17" s="16"/>
      <c r="D17" s="17"/>
      <c r="E17" s="17"/>
      <c r="F17" s="13"/>
      <c r="G17" s="14"/>
      <c r="H17" s="18"/>
      <c r="I17" s="15"/>
      <c r="J17" s="16"/>
    </row>
    <row r="18" s="3" customFormat="1" ht="16" customHeight="1" spans="1:10">
      <c r="A18" s="11">
        <v>13</v>
      </c>
      <c r="B18" s="16"/>
      <c r="C18" s="16"/>
      <c r="D18" s="17"/>
      <c r="E18" s="17"/>
      <c r="F18" s="13"/>
      <c r="G18" s="14"/>
      <c r="H18" s="18"/>
      <c r="I18" s="15"/>
      <c r="J18" s="16"/>
    </row>
    <row r="19" s="3" customFormat="1" ht="16" customHeight="1" spans="1:10">
      <c r="A19" s="11">
        <v>14</v>
      </c>
      <c r="B19" s="11"/>
      <c r="C19" s="11"/>
      <c r="D19" s="12"/>
      <c r="E19" s="12"/>
      <c r="F19" s="13"/>
      <c r="G19" s="14"/>
      <c r="H19" s="15"/>
      <c r="I19" s="15"/>
      <c r="J19" s="11"/>
    </row>
    <row r="20" s="3" customFormat="1" ht="16" customHeight="1" spans="1:10">
      <c r="A20" s="11">
        <v>15</v>
      </c>
      <c r="B20" s="16"/>
      <c r="C20" s="16"/>
      <c r="D20" s="17"/>
      <c r="E20" s="17"/>
      <c r="F20" s="13"/>
      <c r="G20" s="14"/>
      <c r="H20" s="18"/>
      <c r="I20" s="15"/>
      <c r="J20" s="16"/>
    </row>
    <row r="21" s="3" customFormat="1" ht="16" customHeight="1" spans="1:10">
      <c r="A21" s="11">
        <v>16</v>
      </c>
      <c r="B21" s="16"/>
      <c r="C21" s="16"/>
      <c r="D21" s="17"/>
      <c r="E21" s="17"/>
      <c r="F21" s="13"/>
      <c r="G21" s="14"/>
      <c r="H21" s="18"/>
      <c r="I21" s="15"/>
      <c r="J21" s="16"/>
    </row>
    <row r="22" s="3" customFormat="1" ht="16" customHeight="1" spans="1:10">
      <c r="A22" s="11">
        <v>17</v>
      </c>
      <c r="B22" s="16"/>
      <c r="C22" s="16"/>
      <c r="D22" s="17"/>
      <c r="E22" s="17"/>
      <c r="F22" s="13"/>
      <c r="G22" s="14"/>
      <c r="H22" s="18"/>
      <c r="I22" s="15"/>
      <c r="J22" s="16"/>
    </row>
    <row r="23" s="3" customFormat="1" ht="16" customHeight="1" spans="1:10">
      <c r="A23" s="11">
        <v>18</v>
      </c>
      <c r="B23" s="16"/>
      <c r="C23" s="16"/>
      <c r="D23" s="16"/>
      <c r="E23" s="17"/>
      <c r="F23" s="13"/>
      <c r="G23" s="14"/>
      <c r="H23" s="18"/>
      <c r="I23" s="15"/>
      <c r="J23" s="16"/>
    </row>
    <row r="24" s="3" customFormat="1" ht="16" customHeight="1" spans="1:10">
      <c r="A24" s="11">
        <v>19</v>
      </c>
      <c r="B24" s="16"/>
      <c r="C24" s="16"/>
      <c r="D24" s="17"/>
      <c r="E24" s="17"/>
      <c r="F24" s="13"/>
      <c r="G24" s="14"/>
      <c r="H24" s="18"/>
      <c r="I24" s="15"/>
      <c r="J24" s="16"/>
    </row>
    <row r="25" s="3" customFormat="1" ht="16" customHeight="1" spans="1:10">
      <c r="A25" s="11">
        <v>20</v>
      </c>
      <c r="B25" s="16"/>
      <c r="C25" s="16"/>
      <c r="D25" s="17"/>
      <c r="E25" s="17"/>
      <c r="F25" s="13"/>
      <c r="G25" s="14"/>
      <c r="H25" s="18"/>
      <c r="I25" s="15"/>
      <c r="J25" s="16"/>
    </row>
    <row r="26" s="3" customFormat="1" ht="16" customHeight="1" spans="1:10">
      <c r="A26" s="11">
        <v>21</v>
      </c>
      <c r="B26" s="11"/>
      <c r="C26" s="11"/>
      <c r="D26" s="12"/>
      <c r="E26" s="12"/>
      <c r="F26" s="13"/>
      <c r="G26" s="14"/>
      <c r="H26" s="15"/>
      <c r="I26" s="15"/>
      <c r="J26" s="11"/>
    </row>
    <row r="27" s="3" customFormat="1" ht="16" customHeight="1" spans="1:10">
      <c r="A27" s="11">
        <v>22</v>
      </c>
      <c r="B27" s="16"/>
      <c r="C27" s="16"/>
      <c r="D27" s="12"/>
      <c r="E27" s="12"/>
      <c r="F27" s="13"/>
      <c r="G27" s="14"/>
      <c r="H27" s="15"/>
      <c r="I27" s="15"/>
      <c r="J27" s="11"/>
    </row>
    <row r="28" s="3" customFormat="1" ht="16" customHeight="1" spans="1:10">
      <c r="A28" s="11">
        <v>23</v>
      </c>
      <c r="B28" s="16"/>
      <c r="C28" s="16"/>
      <c r="D28" s="16"/>
      <c r="E28" s="17"/>
      <c r="F28" s="13"/>
      <c r="G28" s="14"/>
      <c r="H28" s="18"/>
      <c r="I28" s="15"/>
      <c r="J28" s="16"/>
    </row>
    <row r="29" s="3" customFormat="1" ht="16" customHeight="1" spans="1:10">
      <c r="A29" s="11">
        <v>24</v>
      </c>
      <c r="B29" s="11"/>
      <c r="C29" s="11"/>
      <c r="D29" s="16"/>
      <c r="E29" s="12"/>
      <c r="F29" s="13"/>
      <c r="G29" s="14"/>
      <c r="H29" s="15"/>
      <c r="I29" s="15"/>
      <c r="J29" s="11"/>
    </row>
    <row r="30" s="3" customFormat="1" ht="16" customHeight="1" spans="1:10">
      <c r="A30" s="11">
        <v>25</v>
      </c>
      <c r="B30" s="11"/>
      <c r="C30" s="11"/>
      <c r="D30" s="16"/>
      <c r="E30" s="12"/>
      <c r="F30" s="13"/>
      <c r="G30" s="14"/>
      <c r="H30" s="15"/>
      <c r="I30" s="15"/>
      <c r="J30" s="11"/>
    </row>
    <row r="31" s="3" customFormat="1" ht="16" customHeight="1" spans="1:10">
      <c r="A31" s="11">
        <v>26</v>
      </c>
      <c r="B31" s="11"/>
      <c r="C31" s="11"/>
      <c r="D31" s="11"/>
      <c r="E31" s="12"/>
      <c r="F31" s="13"/>
      <c r="G31" s="14"/>
      <c r="H31" s="15"/>
      <c r="I31" s="15"/>
      <c r="J31" s="11"/>
    </row>
    <row r="32" s="3" customFormat="1" ht="16" customHeight="1" spans="1:10">
      <c r="A32" s="11">
        <v>27</v>
      </c>
      <c r="B32" s="11"/>
      <c r="C32" s="11"/>
      <c r="D32" s="11"/>
      <c r="E32" s="12"/>
      <c r="F32" s="13"/>
      <c r="G32" s="14"/>
      <c r="H32" s="15"/>
      <c r="I32" s="15"/>
      <c r="J32" s="11"/>
    </row>
    <row r="33" s="3" customFormat="1" ht="16" customHeight="1" spans="1:10">
      <c r="A33" s="11">
        <v>28</v>
      </c>
      <c r="B33" s="11"/>
      <c r="C33" s="11"/>
      <c r="D33" s="11"/>
      <c r="E33" s="12"/>
      <c r="F33" s="13"/>
      <c r="G33" s="14"/>
      <c r="H33" s="15"/>
      <c r="I33" s="15"/>
      <c r="J33" s="11"/>
    </row>
    <row r="34" s="3" customFormat="1" ht="16" customHeight="1" spans="1:10">
      <c r="A34" s="11">
        <v>29</v>
      </c>
      <c r="B34" s="11"/>
      <c r="C34" s="11"/>
      <c r="D34" s="11"/>
      <c r="E34" s="12"/>
      <c r="F34" s="13"/>
      <c r="G34" s="14"/>
      <c r="H34" s="15"/>
      <c r="I34" s="15"/>
      <c r="J34" s="11"/>
    </row>
    <row r="35" s="3" customFormat="1" customHeight="1" spans="1:10">
      <c r="A35" s="11" t="s">
        <v>90</v>
      </c>
      <c r="B35" s="19">
        <f>SUM(I6:I34)</f>
        <v>724.48</v>
      </c>
      <c r="C35" s="20"/>
      <c r="D35" s="20"/>
      <c r="E35" s="20"/>
      <c r="F35" s="20"/>
      <c r="G35" s="20"/>
      <c r="H35" s="20"/>
      <c r="I35" s="20"/>
      <c r="J35" s="24"/>
    </row>
    <row r="36" s="3" customFormat="1" customHeight="1" spans="1:10">
      <c r="A36" s="11" t="s">
        <v>43</v>
      </c>
      <c r="B36" s="22">
        <f>B35</f>
        <v>724.48</v>
      </c>
      <c r="C36" s="23"/>
      <c r="D36" s="23"/>
      <c r="E36" s="23"/>
      <c r="F36" s="23"/>
      <c r="G36" s="23"/>
      <c r="H36" s="23"/>
      <c r="I36" s="23"/>
      <c r="J36" s="25"/>
    </row>
    <row r="37" s="3" customFormat="1" customHeight="1" spans="1:1">
      <c r="A37" s="3" t="s">
        <v>44</v>
      </c>
    </row>
    <row r="39" customHeight="1" spans="9:9">
      <c r="I39" s="3">
        <f>B35</f>
        <v>724.48</v>
      </c>
    </row>
  </sheetData>
  <mergeCells count="4">
    <mergeCell ref="A1:J1"/>
    <mergeCell ref="B35:J35"/>
    <mergeCell ref="B36:J36"/>
    <mergeCell ref="A37:J37"/>
  </mergeCells>
  <conditionalFormatting sqref="B6:B34">
    <cfRule type="duplicateValues" dxfId="0" priority="1"/>
  </conditionalFormatting>
  <conditionalFormatting sqref="B6:C26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5" workbookViewId="0">
      <selection activeCell="A6" sqref="A6:A33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8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8" width="11.6666666666667" style="3" customWidth="1"/>
    <col min="16319" max="16319" width="11.6666666666667" style="3"/>
    <col min="16320" max="16325" width="11" style="3"/>
    <col min="16326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="3" customFormat="1" customHeight="1" spans="1:2">
      <c r="A3" s="3" t="s">
        <v>69</v>
      </c>
      <c r="B3" s="3" t="s">
        <v>70</v>
      </c>
    </row>
    <row r="4" s="3" customFormat="1" customHeight="1" spans="1:10">
      <c r="A4" s="3" t="s">
        <v>71</v>
      </c>
      <c r="B4" s="8">
        <v>45145</v>
      </c>
      <c r="C4" s="8"/>
      <c r="D4" s="9"/>
      <c r="E4" s="9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4</v>
      </c>
      <c r="F6" s="13">
        <f t="shared" ref="F6:F24" si="0">H6/0.85</f>
        <v>3.52941176470588</v>
      </c>
      <c r="G6" s="14">
        <f t="shared" ref="G6:G24" si="1">H6/F6</f>
        <v>0.85</v>
      </c>
      <c r="H6" s="15">
        <v>3</v>
      </c>
      <c r="I6" s="15">
        <f t="shared" ref="I6:I24" si="2">E6*H6</f>
        <v>12</v>
      </c>
      <c r="J6" s="11"/>
    </row>
    <row r="7" s="3" customFormat="1" ht="16" customHeight="1" spans="1:10">
      <c r="A7" s="11">
        <v>2</v>
      </c>
      <c r="B7" s="11" t="s">
        <v>46</v>
      </c>
      <c r="C7" s="11" t="s">
        <v>47</v>
      </c>
      <c r="D7" s="12" t="s">
        <v>14</v>
      </c>
      <c r="E7" s="12">
        <v>5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17.5</v>
      </c>
      <c r="J7" s="11"/>
    </row>
    <row r="8" s="3" customFormat="1" ht="16" customHeight="1" spans="1:10">
      <c r="A8" s="11">
        <v>3</v>
      </c>
      <c r="B8" s="11" t="s">
        <v>15</v>
      </c>
      <c r="C8" s="11"/>
      <c r="D8" s="12" t="s">
        <v>14</v>
      </c>
      <c r="E8" s="12">
        <v>4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14</v>
      </c>
      <c r="J8" s="11"/>
    </row>
    <row r="9" s="3" customFormat="1" ht="16" customHeight="1" spans="1:10">
      <c r="A9" s="11">
        <v>4</v>
      </c>
      <c r="B9" s="16" t="s">
        <v>112</v>
      </c>
      <c r="C9" s="16"/>
      <c r="D9" s="12" t="s">
        <v>14</v>
      </c>
      <c r="E9" s="12">
        <v>2</v>
      </c>
      <c r="F9" s="13">
        <f t="shared" si="0"/>
        <v>4.11764705882353</v>
      </c>
      <c r="G9" s="14">
        <f t="shared" si="1"/>
        <v>0.85</v>
      </c>
      <c r="H9" s="15">
        <v>3.5</v>
      </c>
      <c r="I9" s="15">
        <f t="shared" si="2"/>
        <v>7</v>
      </c>
      <c r="J9" s="11"/>
    </row>
    <row r="10" s="3" customFormat="1" ht="16" customHeight="1" spans="1:10">
      <c r="A10" s="11">
        <v>5</v>
      </c>
      <c r="B10" s="16" t="s">
        <v>16</v>
      </c>
      <c r="C10" s="16"/>
      <c r="D10" s="12" t="s">
        <v>14</v>
      </c>
      <c r="E10" s="12">
        <v>2</v>
      </c>
      <c r="F10" s="13">
        <f t="shared" si="0"/>
        <v>4.11764705882353</v>
      </c>
      <c r="G10" s="14">
        <f t="shared" si="1"/>
        <v>0.85</v>
      </c>
      <c r="H10" s="15">
        <v>3.5</v>
      </c>
      <c r="I10" s="15">
        <f t="shared" si="2"/>
        <v>7</v>
      </c>
      <c r="J10" s="11"/>
    </row>
    <row r="11" s="3" customFormat="1" ht="16" customHeight="1" spans="1:10">
      <c r="A11" s="11">
        <v>6</v>
      </c>
      <c r="B11" s="11" t="s">
        <v>91</v>
      </c>
      <c r="C11" s="11"/>
      <c r="D11" s="12" t="s">
        <v>14</v>
      </c>
      <c r="E11" s="12">
        <v>3.3</v>
      </c>
      <c r="F11" s="13">
        <f t="shared" si="0"/>
        <v>2.94117647058824</v>
      </c>
      <c r="G11" s="14">
        <f t="shared" si="1"/>
        <v>0.85</v>
      </c>
      <c r="H11" s="15">
        <v>2.5</v>
      </c>
      <c r="I11" s="15">
        <f t="shared" si="2"/>
        <v>8.25</v>
      </c>
      <c r="J11" s="11"/>
    </row>
    <row r="12" s="3" customFormat="1" ht="16" customHeight="1" spans="1:10">
      <c r="A12" s="11">
        <v>7</v>
      </c>
      <c r="B12" s="11" t="s">
        <v>113</v>
      </c>
      <c r="C12" s="11"/>
      <c r="D12" s="12" t="s">
        <v>14</v>
      </c>
      <c r="E12" s="12">
        <v>4</v>
      </c>
      <c r="F12" s="13">
        <f t="shared" si="0"/>
        <v>15.0588235294118</v>
      </c>
      <c r="G12" s="14">
        <f t="shared" si="1"/>
        <v>0.85</v>
      </c>
      <c r="H12" s="15">
        <v>12.8</v>
      </c>
      <c r="I12" s="15">
        <f t="shared" si="2"/>
        <v>51.2</v>
      </c>
      <c r="J12" s="11"/>
    </row>
    <row r="13" s="3" customFormat="1" ht="16" customHeight="1" spans="1:10">
      <c r="A13" s="11">
        <v>8</v>
      </c>
      <c r="B13" s="11" t="s">
        <v>114</v>
      </c>
      <c r="C13" s="11"/>
      <c r="D13" s="12" t="s">
        <v>14</v>
      </c>
      <c r="E13" s="12">
        <v>20</v>
      </c>
      <c r="F13" s="13">
        <f t="shared" si="0"/>
        <v>4.11764705882353</v>
      </c>
      <c r="G13" s="14">
        <f t="shared" si="1"/>
        <v>0.85</v>
      </c>
      <c r="H13" s="15">
        <v>3.5</v>
      </c>
      <c r="I13" s="15">
        <f t="shared" si="2"/>
        <v>70</v>
      </c>
      <c r="J13" s="11"/>
    </row>
    <row r="14" s="3" customFormat="1" ht="16" customHeight="1" spans="1:10">
      <c r="A14" s="11">
        <v>9</v>
      </c>
      <c r="B14" s="16" t="s">
        <v>49</v>
      </c>
      <c r="C14" s="16"/>
      <c r="D14" s="17" t="s">
        <v>14</v>
      </c>
      <c r="E14" s="17">
        <v>7</v>
      </c>
      <c r="F14" s="13">
        <f t="shared" si="0"/>
        <v>9.17647058823529</v>
      </c>
      <c r="G14" s="14">
        <f t="shared" si="1"/>
        <v>0.85</v>
      </c>
      <c r="H14" s="18">
        <v>7.8</v>
      </c>
      <c r="I14" s="15">
        <f t="shared" si="2"/>
        <v>54.6</v>
      </c>
      <c r="J14" s="16"/>
    </row>
    <row r="15" s="3" customFormat="1" ht="16" customHeight="1" spans="1:10">
      <c r="A15" s="11">
        <v>10</v>
      </c>
      <c r="B15" s="16" t="s">
        <v>20</v>
      </c>
      <c r="C15" s="16"/>
      <c r="D15" s="17" t="s">
        <v>21</v>
      </c>
      <c r="E15" s="17">
        <v>7</v>
      </c>
      <c r="F15" s="13">
        <f t="shared" si="0"/>
        <v>3.52941176470588</v>
      </c>
      <c r="G15" s="14">
        <f t="shared" si="1"/>
        <v>0.85</v>
      </c>
      <c r="H15" s="18">
        <v>3</v>
      </c>
      <c r="I15" s="15">
        <f t="shared" si="2"/>
        <v>21</v>
      </c>
      <c r="J15" s="16"/>
    </row>
    <row r="16" s="3" customFormat="1" ht="16" customHeight="1" spans="1:10">
      <c r="A16" s="11">
        <v>11</v>
      </c>
      <c r="B16" s="16" t="s">
        <v>50</v>
      </c>
      <c r="C16" s="16"/>
      <c r="D16" s="17" t="s">
        <v>14</v>
      </c>
      <c r="E16" s="17">
        <v>7</v>
      </c>
      <c r="F16" s="13">
        <f t="shared" si="0"/>
        <v>5.29411764705882</v>
      </c>
      <c r="G16" s="14">
        <f t="shared" si="1"/>
        <v>0.85</v>
      </c>
      <c r="H16" s="18">
        <v>4.5</v>
      </c>
      <c r="I16" s="15">
        <f t="shared" si="2"/>
        <v>31.5</v>
      </c>
      <c r="J16" s="16"/>
    </row>
    <row r="17" s="3" customFormat="1" ht="16" customHeight="1" spans="1:10">
      <c r="A17" s="11">
        <v>12</v>
      </c>
      <c r="B17" s="11" t="s">
        <v>22</v>
      </c>
      <c r="C17" s="11"/>
      <c r="D17" s="12" t="s">
        <v>14</v>
      </c>
      <c r="E17" s="12">
        <v>3</v>
      </c>
      <c r="F17" s="13">
        <f t="shared" si="0"/>
        <v>3.29411764705882</v>
      </c>
      <c r="G17" s="14">
        <f t="shared" si="1"/>
        <v>0.85</v>
      </c>
      <c r="H17" s="15">
        <v>2.8</v>
      </c>
      <c r="I17" s="15">
        <f t="shared" si="2"/>
        <v>8.4</v>
      </c>
      <c r="J17" s="11"/>
    </row>
    <row r="18" s="3" customFormat="1" ht="16" customHeight="1" spans="1:10">
      <c r="A18" s="11">
        <v>13</v>
      </c>
      <c r="B18" s="16" t="s">
        <v>115</v>
      </c>
      <c r="C18" s="16"/>
      <c r="D18" s="17" t="s">
        <v>14</v>
      </c>
      <c r="E18" s="17">
        <v>12</v>
      </c>
      <c r="F18" s="13">
        <f t="shared" si="0"/>
        <v>2.35294117647059</v>
      </c>
      <c r="G18" s="14">
        <f t="shared" si="1"/>
        <v>0.85</v>
      </c>
      <c r="H18" s="18">
        <v>2</v>
      </c>
      <c r="I18" s="15">
        <f t="shared" si="2"/>
        <v>24</v>
      </c>
      <c r="J18" s="16"/>
    </row>
    <row r="19" s="3" customFormat="1" ht="16" customHeight="1" spans="1:10">
      <c r="A19" s="11">
        <v>14</v>
      </c>
      <c r="B19" s="16" t="s">
        <v>25</v>
      </c>
      <c r="C19" s="16"/>
      <c r="D19" s="17" t="s">
        <v>14</v>
      </c>
      <c r="E19" s="17">
        <v>3</v>
      </c>
      <c r="F19" s="13">
        <f t="shared" si="0"/>
        <v>6.47058823529412</v>
      </c>
      <c r="G19" s="14">
        <f t="shared" si="1"/>
        <v>0.85</v>
      </c>
      <c r="H19" s="18">
        <v>5.5</v>
      </c>
      <c r="I19" s="15">
        <f t="shared" si="2"/>
        <v>16.5</v>
      </c>
      <c r="J19" s="16"/>
    </row>
    <row r="20" s="3" customFormat="1" ht="16" customHeight="1" spans="1:10">
      <c r="A20" s="11">
        <v>15</v>
      </c>
      <c r="B20" s="16" t="s">
        <v>54</v>
      </c>
      <c r="C20" s="16"/>
      <c r="D20" s="17" t="s">
        <v>14</v>
      </c>
      <c r="E20" s="17">
        <v>2</v>
      </c>
      <c r="F20" s="13">
        <f t="shared" si="0"/>
        <v>10.3529411764706</v>
      </c>
      <c r="G20" s="14">
        <f t="shared" si="1"/>
        <v>0.85</v>
      </c>
      <c r="H20" s="18">
        <v>8.8</v>
      </c>
      <c r="I20" s="15">
        <f t="shared" si="2"/>
        <v>17.6</v>
      </c>
      <c r="J20" s="16"/>
    </row>
    <row r="21" s="3" customFormat="1" ht="16" customHeight="1" spans="1:10">
      <c r="A21" s="11">
        <v>16</v>
      </c>
      <c r="B21" s="16" t="s">
        <v>55</v>
      </c>
      <c r="C21" s="16"/>
      <c r="D21" s="16" t="s">
        <v>14</v>
      </c>
      <c r="E21" s="17">
        <v>160.4</v>
      </c>
      <c r="F21" s="13">
        <f t="shared" si="0"/>
        <v>4.11764705882353</v>
      </c>
      <c r="G21" s="14">
        <f t="shared" si="1"/>
        <v>0.85</v>
      </c>
      <c r="H21" s="18">
        <v>3.5</v>
      </c>
      <c r="I21" s="15">
        <f t="shared" si="2"/>
        <v>561.4</v>
      </c>
      <c r="J21" s="16"/>
    </row>
    <row r="22" s="3" customFormat="1" ht="16" customHeight="1" spans="1:10">
      <c r="A22" s="11">
        <v>17</v>
      </c>
      <c r="B22" s="16" t="s">
        <v>116</v>
      </c>
      <c r="C22" s="16"/>
      <c r="D22" s="17" t="s">
        <v>14</v>
      </c>
      <c r="E22" s="17">
        <v>8</v>
      </c>
      <c r="F22" s="13">
        <f t="shared" ref="F22:F33" si="3">H22/0.85</f>
        <v>8</v>
      </c>
      <c r="G22" s="14">
        <f t="shared" ref="G22:G33" si="4">H22/F22</f>
        <v>0.85</v>
      </c>
      <c r="H22" s="18">
        <v>6.8</v>
      </c>
      <c r="I22" s="15">
        <f t="shared" ref="I22:I33" si="5">E22*H22</f>
        <v>54.4</v>
      </c>
      <c r="J22" s="16"/>
    </row>
    <row r="23" s="3" customFormat="1" ht="16" customHeight="1" spans="1:10">
      <c r="A23" s="11">
        <v>18</v>
      </c>
      <c r="B23" s="11" t="s">
        <v>98</v>
      </c>
      <c r="C23" s="11"/>
      <c r="D23" s="12" t="s">
        <v>14</v>
      </c>
      <c r="E23" s="12">
        <v>8</v>
      </c>
      <c r="F23" s="13">
        <f t="shared" si="3"/>
        <v>22.3529411764706</v>
      </c>
      <c r="G23" s="14">
        <f t="shared" si="4"/>
        <v>0.85</v>
      </c>
      <c r="H23" s="15">
        <v>19</v>
      </c>
      <c r="I23" s="15">
        <f t="shared" si="5"/>
        <v>152</v>
      </c>
      <c r="J23" s="11"/>
    </row>
    <row r="24" s="3" customFormat="1" ht="16" customHeight="1" spans="1:10">
      <c r="A24" s="11">
        <v>19</v>
      </c>
      <c r="B24" s="16" t="s">
        <v>29</v>
      </c>
      <c r="C24" s="16"/>
      <c r="D24" s="12" t="s">
        <v>14</v>
      </c>
      <c r="E24" s="12">
        <v>6</v>
      </c>
      <c r="F24" s="13">
        <f t="shared" si="3"/>
        <v>19.7647058823529</v>
      </c>
      <c r="G24" s="14">
        <f t="shared" si="4"/>
        <v>0.85</v>
      </c>
      <c r="H24" s="15">
        <v>16.8</v>
      </c>
      <c r="I24" s="15">
        <f t="shared" si="5"/>
        <v>100.8</v>
      </c>
      <c r="J24" s="11"/>
    </row>
    <row r="25" s="3" customFormat="1" ht="16" customHeight="1" spans="1:10">
      <c r="A25" s="11">
        <v>20</v>
      </c>
      <c r="B25" s="16" t="s">
        <v>106</v>
      </c>
      <c r="C25" s="16"/>
      <c r="D25" s="16" t="s">
        <v>14</v>
      </c>
      <c r="E25" s="17">
        <v>8</v>
      </c>
      <c r="F25" s="13">
        <f t="shared" si="3"/>
        <v>25.8823529411765</v>
      </c>
      <c r="G25" s="14">
        <f t="shared" si="4"/>
        <v>0.85</v>
      </c>
      <c r="H25" s="18">
        <v>22</v>
      </c>
      <c r="I25" s="15">
        <f t="shared" si="5"/>
        <v>176</v>
      </c>
      <c r="J25" s="16"/>
    </row>
    <row r="26" s="3" customFormat="1" ht="16" customHeight="1" spans="1:10">
      <c r="A26" s="11">
        <v>21</v>
      </c>
      <c r="B26" s="11" t="s">
        <v>117</v>
      </c>
      <c r="C26" s="11" t="s">
        <v>118</v>
      </c>
      <c r="D26" s="16" t="s">
        <v>37</v>
      </c>
      <c r="E26" s="12">
        <v>3</v>
      </c>
      <c r="F26" s="13">
        <f t="shared" si="3"/>
        <v>52.9411764705882</v>
      </c>
      <c r="G26" s="14">
        <f t="shared" si="4"/>
        <v>0.85</v>
      </c>
      <c r="H26" s="15">
        <v>45</v>
      </c>
      <c r="I26" s="15">
        <f t="shared" si="5"/>
        <v>135</v>
      </c>
      <c r="J26" s="11"/>
    </row>
    <row r="27" s="3" customFormat="1" ht="16" customHeight="1" spans="1:10">
      <c r="A27" s="11">
        <v>22</v>
      </c>
      <c r="B27" s="11" t="s">
        <v>119</v>
      </c>
      <c r="C27" s="11" t="s">
        <v>63</v>
      </c>
      <c r="D27" s="16" t="s">
        <v>120</v>
      </c>
      <c r="E27" s="12">
        <v>3</v>
      </c>
      <c r="F27" s="13">
        <f t="shared" si="3"/>
        <v>10</v>
      </c>
      <c r="G27" s="14">
        <f t="shared" si="4"/>
        <v>0.85</v>
      </c>
      <c r="H27" s="15">
        <v>8.5</v>
      </c>
      <c r="I27" s="15">
        <f t="shared" si="5"/>
        <v>25.5</v>
      </c>
      <c r="J27" s="11"/>
    </row>
    <row r="28" s="3" customFormat="1" ht="16" customHeight="1" spans="1:10">
      <c r="A28" s="11">
        <v>23</v>
      </c>
      <c r="B28" s="11" t="s">
        <v>121</v>
      </c>
      <c r="C28" s="11" t="s">
        <v>122</v>
      </c>
      <c r="D28" s="11" t="s">
        <v>37</v>
      </c>
      <c r="E28" s="12">
        <v>4</v>
      </c>
      <c r="F28" s="13">
        <f t="shared" si="3"/>
        <v>15.0588235294118</v>
      </c>
      <c r="G28" s="14">
        <f t="shared" si="4"/>
        <v>0.85</v>
      </c>
      <c r="H28" s="15">
        <v>12.8</v>
      </c>
      <c r="I28" s="15">
        <f t="shared" si="5"/>
        <v>51.2</v>
      </c>
      <c r="J28" s="11"/>
    </row>
    <row r="29" s="3" customFormat="1" ht="16" customHeight="1" spans="1:10">
      <c r="A29" s="11">
        <v>24</v>
      </c>
      <c r="B29" s="11" t="s">
        <v>123</v>
      </c>
      <c r="C29" s="11"/>
      <c r="D29" s="11" t="s">
        <v>14</v>
      </c>
      <c r="E29" s="12">
        <v>6.7</v>
      </c>
      <c r="F29" s="13">
        <f t="shared" si="3"/>
        <v>103.529411764706</v>
      </c>
      <c r="G29" s="14">
        <f t="shared" si="4"/>
        <v>0.85</v>
      </c>
      <c r="H29" s="15">
        <v>88</v>
      </c>
      <c r="I29" s="15">
        <f t="shared" si="5"/>
        <v>589.6</v>
      </c>
      <c r="J29" s="11"/>
    </row>
    <row r="30" s="3" customFormat="1" ht="16" customHeight="1" spans="1:10">
      <c r="A30" s="11">
        <v>25</v>
      </c>
      <c r="B30" s="11" t="s">
        <v>35</v>
      </c>
      <c r="C30" s="11" t="s">
        <v>36</v>
      </c>
      <c r="D30" s="11" t="s">
        <v>37</v>
      </c>
      <c r="E30" s="12">
        <v>1</v>
      </c>
      <c r="F30" s="13">
        <f t="shared" si="3"/>
        <v>247.058823529412</v>
      </c>
      <c r="G30" s="14">
        <f t="shared" si="4"/>
        <v>0.85</v>
      </c>
      <c r="H30" s="15">
        <v>210</v>
      </c>
      <c r="I30" s="15">
        <f t="shared" si="5"/>
        <v>210</v>
      </c>
      <c r="J30" s="11"/>
    </row>
    <row r="31" s="3" customFormat="1" ht="16" customHeight="1" spans="1:10">
      <c r="A31" s="11">
        <v>26</v>
      </c>
      <c r="B31" s="11" t="s">
        <v>38</v>
      </c>
      <c r="C31" s="11" t="s">
        <v>39</v>
      </c>
      <c r="D31" s="11" t="s">
        <v>40</v>
      </c>
      <c r="E31" s="12">
        <v>55</v>
      </c>
      <c r="F31" s="13">
        <f t="shared" si="3"/>
        <v>4.11764705882353</v>
      </c>
      <c r="G31" s="14">
        <f t="shared" si="4"/>
        <v>0.85</v>
      </c>
      <c r="H31" s="15">
        <v>3.5</v>
      </c>
      <c r="I31" s="15">
        <f t="shared" si="5"/>
        <v>192.5</v>
      </c>
      <c r="J31" s="11"/>
    </row>
    <row r="32" s="3" customFormat="1" ht="16" customHeight="1" spans="1:10">
      <c r="A32" s="11">
        <v>27</v>
      </c>
      <c r="B32" s="11"/>
      <c r="C32" s="11"/>
      <c r="D32" s="11"/>
      <c r="E32" s="12"/>
      <c r="F32" s="13"/>
      <c r="G32" s="14"/>
      <c r="H32" s="15"/>
      <c r="I32" s="15"/>
      <c r="J32" s="11"/>
    </row>
    <row r="33" s="3" customFormat="1" ht="16" customHeight="1" spans="1:10">
      <c r="A33" s="11">
        <v>28</v>
      </c>
      <c r="B33" s="11"/>
      <c r="C33" s="11"/>
      <c r="D33" s="11"/>
      <c r="E33" s="12"/>
      <c r="F33" s="13"/>
      <c r="G33" s="14"/>
      <c r="H33" s="15"/>
      <c r="I33" s="15"/>
      <c r="J33" s="11"/>
    </row>
    <row r="34" s="3" customFormat="1" customHeight="1" spans="1:10">
      <c r="A34" s="11" t="s">
        <v>90</v>
      </c>
      <c r="B34" s="19">
        <f>SUM(I6:I33)</f>
        <v>2608.95</v>
      </c>
      <c r="C34" s="20"/>
      <c r="D34" s="20"/>
      <c r="E34" s="20"/>
      <c r="F34" s="20"/>
      <c r="G34" s="20"/>
      <c r="H34" s="20"/>
      <c r="I34" s="20"/>
      <c r="J34" s="24"/>
    </row>
    <row r="35" s="3" customFormat="1" customHeight="1" spans="1:10">
      <c r="A35" s="11" t="s">
        <v>43</v>
      </c>
      <c r="B35" s="22">
        <f>B34</f>
        <v>2608.95</v>
      </c>
      <c r="C35" s="23"/>
      <c r="D35" s="23"/>
      <c r="E35" s="23"/>
      <c r="F35" s="23"/>
      <c r="G35" s="23"/>
      <c r="H35" s="23"/>
      <c r="I35" s="23"/>
      <c r="J35" s="25"/>
    </row>
    <row r="36" s="3" customFormat="1" customHeight="1" spans="1:1">
      <c r="A36" s="3" t="s">
        <v>44</v>
      </c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6:C23">
    <cfRule type="duplicateValues" dxfId="0" priority="3"/>
  </conditionalFormatting>
  <pageMargins left="0.751388888888889" right="0.751388888888889" top="0.409027777777778" bottom="0.2125" header="0.5" footer="0.5"/>
  <pageSetup paperSize="9" scale="93" orientation="portrait" horizont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5" workbookViewId="0">
      <selection activeCell="I15" sqref="I$1:I$104857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8" width="11.6666666666667" style="3" customWidth="1"/>
    <col min="16319" max="16319" width="11.6666666666667" style="3"/>
    <col min="16320" max="16325" width="11" style="3"/>
    <col min="16326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="3" customFormat="1" customHeight="1" spans="1:2">
      <c r="A3" s="3" t="s">
        <v>69</v>
      </c>
      <c r="B3" s="3" t="s">
        <v>70</v>
      </c>
    </row>
    <row r="4" s="3" customFormat="1" customHeight="1" spans="1:10">
      <c r="A4" s="3" t="s">
        <v>71</v>
      </c>
      <c r="B4" s="8">
        <v>45146</v>
      </c>
      <c r="C4" s="8"/>
      <c r="D4" s="9"/>
      <c r="E4" s="9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4</v>
      </c>
      <c r="F6" s="13">
        <f>H6/0.85</f>
        <v>3.52941176470588</v>
      </c>
      <c r="G6" s="14">
        <f>H6/F6</f>
        <v>0.85</v>
      </c>
      <c r="H6" s="15">
        <v>3</v>
      </c>
      <c r="I6" s="15">
        <f>E6*H6</f>
        <v>12</v>
      </c>
      <c r="J6" s="11"/>
    </row>
    <row r="7" s="3" customFormat="1" ht="16" customHeight="1" spans="1:10">
      <c r="A7" s="11">
        <v>2</v>
      </c>
      <c r="B7" s="11" t="s">
        <v>15</v>
      </c>
      <c r="C7" s="11"/>
      <c r="D7" s="12" t="s">
        <v>14</v>
      </c>
      <c r="E7" s="12">
        <v>4</v>
      </c>
      <c r="F7" s="13">
        <f>H7/0.85</f>
        <v>4.11764705882353</v>
      </c>
      <c r="G7" s="14">
        <f>H7/F7</f>
        <v>0.85</v>
      </c>
      <c r="H7" s="15">
        <v>3.5</v>
      </c>
      <c r="I7" s="15">
        <f>E7*H7</f>
        <v>14</v>
      </c>
      <c r="J7" s="11"/>
    </row>
    <row r="8" s="3" customFormat="1" ht="16" customHeight="1" spans="1:10">
      <c r="A8" s="11">
        <v>3</v>
      </c>
      <c r="B8" s="11" t="s">
        <v>72</v>
      </c>
      <c r="C8" s="11"/>
      <c r="D8" s="12" t="s">
        <v>14</v>
      </c>
      <c r="E8" s="12">
        <v>2</v>
      </c>
      <c r="F8" s="13">
        <f t="shared" ref="F8:F22" si="0">H8/0.85</f>
        <v>4.11764705882353</v>
      </c>
      <c r="G8" s="14">
        <f t="shared" ref="G8:G22" si="1">H8/F8</f>
        <v>0.85</v>
      </c>
      <c r="H8" s="15">
        <v>3.5</v>
      </c>
      <c r="I8" s="15">
        <f t="shared" ref="I8:I22" si="2">E8*H8</f>
        <v>7</v>
      </c>
      <c r="J8" s="11"/>
    </row>
    <row r="9" s="3" customFormat="1" ht="16" customHeight="1" spans="1:10">
      <c r="A9" s="11">
        <v>4</v>
      </c>
      <c r="B9" s="16" t="s">
        <v>73</v>
      </c>
      <c r="C9" s="16"/>
      <c r="D9" s="12" t="s">
        <v>14</v>
      </c>
      <c r="E9" s="12">
        <v>12</v>
      </c>
      <c r="F9" s="13">
        <f t="shared" si="0"/>
        <v>4.11764705882353</v>
      </c>
      <c r="G9" s="14">
        <f t="shared" si="1"/>
        <v>0.85</v>
      </c>
      <c r="H9" s="15">
        <v>3.5</v>
      </c>
      <c r="I9" s="15">
        <f t="shared" si="2"/>
        <v>42</v>
      </c>
      <c r="J9" s="11"/>
    </row>
    <row r="10" s="3" customFormat="1" ht="16" customHeight="1" spans="1:10">
      <c r="A10" s="11">
        <v>5</v>
      </c>
      <c r="B10" s="16" t="s">
        <v>49</v>
      </c>
      <c r="C10" s="16"/>
      <c r="D10" s="12" t="s">
        <v>14</v>
      </c>
      <c r="E10" s="12">
        <v>2</v>
      </c>
      <c r="F10" s="13">
        <f t="shared" si="0"/>
        <v>9.17647058823529</v>
      </c>
      <c r="G10" s="14">
        <f t="shared" si="1"/>
        <v>0.85</v>
      </c>
      <c r="H10" s="15">
        <v>7.8</v>
      </c>
      <c r="I10" s="15">
        <f t="shared" si="2"/>
        <v>15.6</v>
      </c>
      <c r="J10" s="11"/>
    </row>
    <row r="11" s="3" customFormat="1" ht="16" customHeight="1" spans="1:10">
      <c r="A11" s="11">
        <v>6</v>
      </c>
      <c r="B11" s="11" t="s">
        <v>50</v>
      </c>
      <c r="C11" s="11"/>
      <c r="D11" s="12" t="s">
        <v>14</v>
      </c>
      <c r="E11" s="12">
        <v>2</v>
      </c>
      <c r="F11" s="13">
        <f t="shared" si="0"/>
        <v>5.29411764705882</v>
      </c>
      <c r="G11" s="14">
        <f t="shared" si="1"/>
        <v>0.85</v>
      </c>
      <c r="H11" s="15">
        <v>4.5</v>
      </c>
      <c r="I11" s="15">
        <f t="shared" si="2"/>
        <v>9</v>
      </c>
      <c r="J11" s="11"/>
    </row>
    <row r="12" s="3" customFormat="1" ht="16" customHeight="1" spans="1:10">
      <c r="A12" s="11">
        <v>7</v>
      </c>
      <c r="B12" s="11" t="s">
        <v>51</v>
      </c>
      <c r="C12" s="11"/>
      <c r="D12" s="12" t="s">
        <v>14</v>
      </c>
      <c r="E12" s="12">
        <v>4</v>
      </c>
      <c r="F12" s="13">
        <f t="shared" si="0"/>
        <v>4.47058823529412</v>
      </c>
      <c r="G12" s="14">
        <f t="shared" si="1"/>
        <v>0.85</v>
      </c>
      <c r="H12" s="15">
        <v>3.8</v>
      </c>
      <c r="I12" s="15">
        <f t="shared" si="2"/>
        <v>15.2</v>
      </c>
      <c r="J12" s="11"/>
    </row>
    <row r="13" s="3" customFormat="1" ht="16" customHeight="1" spans="1:10">
      <c r="A13" s="11">
        <v>8</v>
      </c>
      <c r="B13" s="11" t="s">
        <v>124</v>
      </c>
      <c r="C13" s="11"/>
      <c r="D13" s="12" t="s">
        <v>14</v>
      </c>
      <c r="E13" s="12">
        <v>12</v>
      </c>
      <c r="F13" s="13">
        <f t="shared" si="0"/>
        <v>4.11764705882353</v>
      </c>
      <c r="G13" s="14">
        <f t="shared" si="1"/>
        <v>0.85</v>
      </c>
      <c r="H13" s="15">
        <v>3.5</v>
      </c>
      <c r="I13" s="15">
        <f t="shared" si="2"/>
        <v>42</v>
      </c>
      <c r="J13" s="11"/>
    </row>
    <row r="14" s="3" customFormat="1" ht="16" customHeight="1" spans="1:10">
      <c r="A14" s="11">
        <v>9</v>
      </c>
      <c r="B14" s="16" t="s">
        <v>125</v>
      </c>
      <c r="C14" s="16"/>
      <c r="D14" s="17" t="s">
        <v>14</v>
      </c>
      <c r="E14" s="17">
        <v>8</v>
      </c>
      <c r="F14" s="13">
        <f t="shared" si="0"/>
        <v>11.5294117647059</v>
      </c>
      <c r="G14" s="14">
        <f t="shared" si="1"/>
        <v>0.85</v>
      </c>
      <c r="H14" s="15">
        <v>9.8</v>
      </c>
      <c r="I14" s="15">
        <f t="shared" si="2"/>
        <v>78.4</v>
      </c>
      <c r="J14" s="16"/>
    </row>
    <row r="15" s="3" customFormat="1" ht="16" customHeight="1" spans="1:10">
      <c r="A15" s="11">
        <v>10</v>
      </c>
      <c r="B15" s="16" t="s">
        <v>126</v>
      </c>
      <c r="C15" s="16"/>
      <c r="D15" s="17" t="s">
        <v>14</v>
      </c>
      <c r="E15" s="17">
        <v>13</v>
      </c>
      <c r="F15" s="13">
        <f t="shared" si="0"/>
        <v>5.29411764705882</v>
      </c>
      <c r="G15" s="14">
        <f t="shared" si="1"/>
        <v>0.85</v>
      </c>
      <c r="H15" s="15">
        <v>4.5</v>
      </c>
      <c r="I15" s="15">
        <f t="shared" si="2"/>
        <v>58.5</v>
      </c>
      <c r="J15" s="16"/>
    </row>
    <row r="16" s="3" customFormat="1" ht="16" customHeight="1" spans="1:10">
      <c r="A16" s="11">
        <v>11</v>
      </c>
      <c r="B16" s="16" t="s">
        <v>127</v>
      </c>
      <c r="C16" s="16"/>
      <c r="D16" s="17" t="s">
        <v>14</v>
      </c>
      <c r="E16" s="17">
        <v>12</v>
      </c>
      <c r="F16" s="13">
        <f t="shared" si="0"/>
        <v>17.4117647058824</v>
      </c>
      <c r="G16" s="14">
        <f t="shared" si="1"/>
        <v>0.85</v>
      </c>
      <c r="H16" s="15">
        <v>14.8</v>
      </c>
      <c r="I16" s="15">
        <f t="shared" si="2"/>
        <v>177.6</v>
      </c>
      <c r="J16" s="16"/>
    </row>
    <row r="17" s="3" customFormat="1" ht="16" customHeight="1" spans="1:10">
      <c r="A17" s="11">
        <v>12</v>
      </c>
      <c r="B17" s="16" t="s">
        <v>29</v>
      </c>
      <c r="C17" s="16"/>
      <c r="D17" s="17" t="s">
        <v>14</v>
      </c>
      <c r="E17" s="17">
        <v>5</v>
      </c>
      <c r="F17" s="13">
        <f t="shared" si="0"/>
        <v>19.7647058823529</v>
      </c>
      <c r="G17" s="14">
        <f t="shared" si="1"/>
        <v>0.85</v>
      </c>
      <c r="H17" s="15">
        <v>16.8</v>
      </c>
      <c r="I17" s="15">
        <f t="shared" si="2"/>
        <v>84</v>
      </c>
      <c r="J17" s="16"/>
    </row>
    <row r="18" s="3" customFormat="1" ht="16" customHeight="1" spans="1:10">
      <c r="A18" s="11">
        <v>13</v>
      </c>
      <c r="B18" s="16" t="s">
        <v>101</v>
      </c>
      <c r="C18" s="16"/>
      <c r="D18" s="17" t="s">
        <v>14</v>
      </c>
      <c r="E18" s="17">
        <v>5</v>
      </c>
      <c r="F18" s="13">
        <f t="shared" si="0"/>
        <v>5.76470588235294</v>
      </c>
      <c r="G18" s="14">
        <f t="shared" si="1"/>
        <v>0.85</v>
      </c>
      <c r="H18" s="15">
        <v>4.9</v>
      </c>
      <c r="I18" s="15">
        <f t="shared" si="2"/>
        <v>24.5</v>
      </c>
      <c r="J18" s="16"/>
    </row>
    <row r="19" s="3" customFormat="1" ht="16" customHeight="1" spans="1:10">
      <c r="A19" s="11">
        <v>14</v>
      </c>
      <c r="B19" s="11" t="s">
        <v>128</v>
      </c>
      <c r="C19" s="11" t="s">
        <v>129</v>
      </c>
      <c r="D19" s="12" t="s">
        <v>64</v>
      </c>
      <c r="E19" s="12">
        <v>2</v>
      </c>
      <c r="F19" s="13">
        <f t="shared" si="0"/>
        <v>52.9411764705882</v>
      </c>
      <c r="G19" s="14">
        <f t="shared" si="1"/>
        <v>0.85</v>
      </c>
      <c r="H19" s="15">
        <v>45</v>
      </c>
      <c r="I19" s="15">
        <f t="shared" si="2"/>
        <v>90</v>
      </c>
      <c r="J19" s="11"/>
    </row>
    <row r="20" s="3" customFormat="1" ht="16" customHeight="1" spans="1:10">
      <c r="A20" s="11">
        <v>15</v>
      </c>
      <c r="B20" s="16" t="s">
        <v>38</v>
      </c>
      <c r="C20" s="16" t="s">
        <v>39</v>
      </c>
      <c r="D20" s="17" t="s">
        <v>40</v>
      </c>
      <c r="E20" s="17">
        <v>40</v>
      </c>
      <c r="F20" s="13">
        <f t="shared" si="0"/>
        <v>4.11764705882353</v>
      </c>
      <c r="G20" s="14">
        <f t="shared" si="1"/>
        <v>0.85</v>
      </c>
      <c r="H20" s="15">
        <v>3.5</v>
      </c>
      <c r="I20" s="15">
        <f t="shared" si="2"/>
        <v>140</v>
      </c>
      <c r="J20" s="16"/>
    </row>
    <row r="21" s="3" customFormat="1" ht="16" customHeight="1" spans="1:10">
      <c r="A21" s="11">
        <v>16</v>
      </c>
      <c r="B21" s="16"/>
      <c r="C21" s="16"/>
      <c r="D21" s="17"/>
      <c r="E21" s="17"/>
      <c r="F21" s="13"/>
      <c r="G21" s="14"/>
      <c r="H21" s="15"/>
      <c r="I21" s="15"/>
      <c r="J21" s="16"/>
    </row>
    <row r="22" s="3" customFormat="1" ht="16" customHeight="1" spans="1:10">
      <c r="A22" s="11">
        <v>17</v>
      </c>
      <c r="B22" s="16"/>
      <c r="C22" s="16"/>
      <c r="D22" s="17"/>
      <c r="E22" s="17"/>
      <c r="F22" s="13"/>
      <c r="G22" s="14"/>
      <c r="H22" s="15"/>
      <c r="I22" s="15"/>
      <c r="J22" s="16"/>
    </row>
    <row r="23" s="3" customFormat="1" ht="16" customHeight="1" spans="1:10">
      <c r="A23" s="11">
        <v>18</v>
      </c>
      <c r="B23" s="16"/>
      <c r="C23" s="16"/>
      <c r="D23" s="16"/>
      <c r="E23" s="17"/>
      <c r="F23" s="13"/>
      <c r="G23" s="14"/>
      <c r="H23" s="18"/>
      <c r="I23" s="15"/>
      <c r="J23" s="16"/>
    </row>
    <row r="24" s="3" customFormat="1" ht="16" customHeight="1" spans="1:10">
      <c r="A24" s="11">
        <v>19</v>
      </c>
      <c r="B24" s="16"/>
      <c r="C24" s="16"/>
      <c r="D24" s="17"/>
      <c r="E24" s="17"/>
      <c r="F24" s="13"/>
      <c r="G24" s="14"/>
      <c r="H24" s="18"/>
      <c r="I24" s="15"/>
      <c r="J24" s="16"/>
    </row>
    <row r="25" s="3" customFormat="1" ht="16" customHeight="1" spans="1:10">
      <c r="A25" s="11">
        <v>20</v>
      </c>
      <c r="B25" s="16"/>
      <c r="C25" s="16"/>
      <c r="D25" s="17"/>
      <c r="E25" s="17"/>
      <c r="F25" s="13"/>
      <c r="G25" s="14"/>
      <c r="H25" s="18"/>
      <c r="I25" s="15"/>
      <c r="J25" s="16"/>
    </row>
    <row r="26" s="3" customFormat="1" ht="16" customHeight="1" spans="1:10">
      <c r="A26" s="11">
        <v>21</v>
      </c>
      <c r="B26" s="11"/>
      <c r="C26" s="11"/>
      <c r="D26" s="12"/>
      <c r="E26" s="12"/>
      <c r="F26" s="13"/>
      <c r="G26" s="14"/>
      <c r="H26" s="15"/>
      <c r="I26" s="15"/>
      <c r="J26" s="11"/>
    </row>
    <row r="27" s="3" customFormat="1" ht="16" customHeight="1" spans="1:10">
      <c r="A27" s="11">
        <v>22</v>
      </c>
      <c r="B27" s="16"/>
      <c r="C27" s="16"/>
      <c r="D27" s="12"/>
      <c r="E27" s="12"/>
      <c r="F27" s="13"/>
      <c r="G27" s="14"/>
      <c r="H27" s="15"/>
      <c r="I27" s="15"/>
      <c r="J27" s="11"/>
    </row>
    <row r="28" s="3" customFormat="1" ht="16" customHeight="1" spans="1:10">
      <c r="A28" s="11">
        <v>23</v>
      </c>
      <c r="B28" s="16"/>
      <c r="C28" s="16"/>
      <c r="D28" s="16"/>
      <c r="E28" s="17"/>
      <c r="F28" s="13"/>
      <c r="G28" s="14"/>
      <c r="H28" s="18"/>
      <c r="I28" s="15"/>
      <c r="J28" s="16"/>
    </row>
    <row r="29" s="3" customFormat="1" ht="16" customHeight="1" spans="1:10">
      <c r="A29" s="11">
        <v>24</v>
      </c>
      <c r="B29" s="11"/>
      <c r="C29" s="11"/>
      <c r="D29" s="16"/>
      <c r="E29" s="12"/>
      <c r="F29" s="13"/>
      <c r="G29" s="14"/>
      <c r="H29" s="15"/>
      <c r="I29" s="15"/>
      <c r="J29" s="11"/>
    </row>
    <row r="30" s="3" customFormat="1" ht="16" customHeight="1" spans="1:10">
      <c r="A30" s="11">
        <v>25</v>
      </c>
      <c r="B30" s="11"/>
      <c r="C30" s="11"/>
      <c r="D30" s="16"/>
      <c r="E30" s="12"/>
      <c r="F30" s="13"/>
      <c r="G30" s="14"/>
      <c r="H30" s="15"/>
      <c r="I30" s="15"/>
      <c r="J30" s="11"/>
    </row>
    <row r="31" s="3" customFormat="1" ht="16" customHeight="1" spans="1:10">
      <c r="A31" s="11">
        <v>26</v>
      </c>
      <c r="B31" s="11"/>
      <c r="C31" s="11"/>
      <c r="D31" s="11"/>
      <c r="E31" s="12"/>
      <c r="F31" s="13"/>
      <c r="G31" s="14"/>
      <c r="H31" s="15"/>
      <c r="I31" s="15"/>
      <c r="J31" s="11"/>
    </row>
    <row r="32" s="3" customFormat="1" ht="16" customHeight="1" spans="1:10">
      <c r="A32" s="11">
        <v>27</v>
      </c>
      <c r="B32" s="11"/>
      <c r="C32" s="11"/>
      <c r="D32" s="11"/>
      <c r="E32" s="12"/>
      <c r="F32" s="13"/>
      <c r="G32" s="14"/>
      <c r="H32" s="15"/>
      <c r="I32" s="15"/>
      <c r="J32" s="11"/>
    </row>
    <row r="33" s="3" customFormat="1" ht="16" customHeight="1" spans="1:10">
      <c r="A33" s="11">
        <v>28</v>
      </c>
      <c r="B33" s="11"/>
      <c r="C33" s="11"/>
      <c r="D33" s="11"/>
      <c r="E33" s="12"/>
      <c r="F33" s="13"/>
      <c r="G33" s="14"/>
      <c r="H33" s="15"/>
      <c r="I33" s="15"/>
      <c r="J33" s="11"/>
    </row>
    <row r="34" s="3" customFormat="1" customHeight="1" spans="1:10">
      <c r="A34" s="11" t="s">
        <v>90</v>
      </c>
      <c r="B34" s="19">
        <f>SUM(I6:I33)</f>
        <v>809.8</v>
      </c>
      <c r="C34" s="20"/>
      <c r="D34" s="20"/>
      <c r="E34" s="20"/>
      <c r="F34" s="20"/>
      <c r="G34" s="20"/>
      <c r="H34" s="20"/>
      <c r="I34" s="20"/>
      <c r="J34" s="24"/>
    </row>
    <row r="35" s="3" customFormat="1" customHeight="1" spans="1:10">
      <c r="A35" s="11" t="s">
        <v>43</v>
      </c>
      <c r="B35" s="22">
        <f>B34</f>
        <v>809.8</v>
      </c>
      <c r="C35" s="23"/>
      <c r="D35" s="23"/>
      <c r="E35" s="23"/>
      <c r="F35" s="23"/>
      <c r="G35" s="23"/>
      <c r="H35" s="23"/>
      <c r="I35" s="23"/>
      <c r="J35" s="25"/>
    </row>
    <row r="36" s="3" customFormat="1" customHeight="1" spans="1:1">
      <c r="A36" s="3" t="s">
        <v>44</v>
      </c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1"/>
  </conditionalFormatting>
  <conditionalFormatting sqref="B6:C26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4"/>
  <sheetViews>
    <sheetView topLeftCell="A10" workbookViewId="0">
      <selection activeCell="I13" sqref="I$1:I$104857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8" width="11.6666666666667" style="3" customWidth="1"/>
    <col min="16319" max="16319" width="11.6666666666667" style="3"/>
    <col min="16320" max="16325" width="11" style="3"/>
    <col min="16326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="3" customFormat="1" customHeight="1" spans="1:2">
      <c r="A3" s="3" t="s">
        <v>69</v>
      </c>
      <c r="B3" s="3" t="s">
        <v>70</v>
      </c>
    </row>
    <row r="4" s="3" customFormat="1" customHeight="1" spans="1:10">
      <c r="A4" s="3" t="s">
        <v>71</v>
      </c>
      <c r="B4" s="8">
        <v>45147</v>
      </c>
      <c r="C4" s="8"/>
      <c r="D4" s="9"/>
      <c r="E4" s="9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4</v>
      </c>
      <c r="F6" s="13">
        <f>H6/0.85</f>
        <v>3.52941176470588</v>
      </c>
      <c r="G6" s="14">
        <f>H6/F6</f>
        <v>0.85</v>
      </c>
      <c r="H6" s="15">
        <v>3</v>
      </c>
      <c r="I6" s="15">
        <f>E6*H6</f>
        <v>12</v>
      </c>
      <c r="J6" s="11"/>
    </row>
    <row r="7" s="3" customFormat="1" ht="16" customHeight="1" spans="1:10">
      <c r="A7" s="11">
        <v>2</v>
      </c>
      <c r="B7" s="11" t="s">
        <v>46</v>
      </c>
      <c r="C7" s="11" t="s">
        <v>47</v>
      </c>
      <c r="D7" s="12" t="s">
        <v>14</v>
      </c>
      <c r="E7" s="12">
        <v>5</v>
      </c>
      <c r="F7" s="13">
        <f>H7/0.85</f>
        <v>4.11764705882353</v>
      </c>
      <c r="G7" s="14">
        <f>H7/F7</f>
        <v>0.85</v>
      </c>
      <c r="H7" s="15">
        <v>3.5</v>
      </c>
      <c r="I7" s="15">
        <f>E7*H7</f>
        <v>17.5</v>
      </c>
      <c r="J7" s="11"/>
    </row>
    <row r="8" s="3" customFormat="1" ht="16" customHeight="1" spans="1:10">
      <c r="A8" s="11">
        <v>3</v>
      </c>
      <c r="B8" s="11" t="s">
        <v>15</v>
      </c>
      <c r="C8" s="11"/>
      <c r="D8" s="12" t="s">
        <v>14</v>
      </c>
      <c r="E8" s="12">
        <v>4</v>
      </c>
      <c r="F8" s="13">
        <f>H8/0.85</f>
        <v>4.11764705882353</v>
      </c>
      <c r="G8" s="14">
        <f>H8/F8</f>
        <v>0.85</v>
      </c>
      <c r="H8" s="15">
        <v>3.5</v>
      </c>
      <c r="I8" s="15">
        <f>E8*H8</f>
        <v>14</v>
      </c>
      <c r="J8" s="11"/>
    </row>
    <row r="9" s="3" customFormat="1" ht="16" customHeight="1" spans="1:10">
      <c r="A9" s="11">
        <v>4</v>
      </c>
      <c r="B9" s="16" t="s">
        <v>20</v>
      </c>
      <c r="C9" s="16"/>
      <c r="D9" s="12" t="s">
        <v>21</v>
      </c>
      <c r="E9" s="12">
        <v>13</v>
      </c>
      <c r="F9" s="13">
        <f>H9/0.85</f>
        <v>3.52941176470588</v>
      </c>
      <c r="G9" s="14">
        <f>H9/F9</f>
        <v>0.85</v>
      </c>
      <c r="H9" s="15">
        <v>3</v>
      </c>
      <c r="I9" s="15">
        <f>E9*H9</f>
        <v>39</v>
      </c>
      <c r="J9" s="11"/>
    </row>
    <row r="10" s="3" customFormat="1" ht="16" customHeight="1" spans="1:10">
      <c r="A10" s="11">
        <v>5</v>
      </c>
      <c r="B10" s="11" t="s">
        <v>130</v>
      </c>
      <c r="C10" s="11"/>
      <c r="D10" s="12" t="s">
        <v>14</v>
      </c>
      <c r="E10" s="12">
        <v>8</v>
      </c>
      <c r="F10" s="13">
        <f t="shared" ref="F10:F19" si="0">H10/0.85</f>
        <v>8</v>
      </c>
      <c r="G10" s="14">
        <f t="shared" ref="G10:G19" si="1">H10/F10</f>
        <v>0.85</v>
      </c>
      <c r="H10" s="15">
        <v>6.8</v>
      </c>
      <c r="I10" s="15">
        <f t="shared" ref="I10:I19" si="2">E10*H10</f>
        <v>54.4</v>
      </c>
      <c r="J10" s="11"/>
    </row>
    <row r="11" s="3" customFormat="1" ht="16" customHeight="1" spans="1:10">
      <c r="A11" s="11">
        <v>6</v>
      </c>
      <c r="B11" s="11" t="s">
        <v>104</v>
      </c>
      <c r="C11" s="11"/>
      <c r="D11" s="12" t="s">
        <v>14</v>
      </c>
      <c r="E11" s="12">
        <v>1</v>
      </c>
      <c r="F11" s="13">
        <f t="shared" si="0"/>
        <v>9.17647058823529</v>
      </c>
      <c r="G11" s="14">
        <f t="shared" si="1"/>
        <v>0.85</v>
      </c>
      <c r="H11" s="15">
        <v>7.8</v>
      </c>
      <c r="I11" s="15">
        <f t="shared" si="2"/>
        <v>7.8</v>
      </c>
      <c r="J11" s="11"/>
    </row>
    <row r="12" s="3" customFormat="1" ht="16" customHeight="1" spans="1:10">
      <c r="A12" s="11">
        <v>7</v>
      </c>
      <c r="B12" s="11" t="s">
        <v>53</v>
      </c>
      <c r="C12" s="11"/>
      <c r="D12" s="12" t="s">
        <v>14</v>
      </c>
      <c r="E12" s="12">
        <v>13</v>
      </c>
      <c r="F12" s="13">
        <f t="shared" si="0"/>
        <v>2.11764705882353</v>
      </c>
      <c r="G12" s="14">
        <f t="shared" si="1"/>
        <v>0.85</v>
      </c>
      <c r="H12" s="15">
        <v>1.8</v>
      </c>
      <c r="I12" s="15">
        <f t="shared" si="2"/>
        <v>23.4</v>
      </c>
      <c r="J12" s="11"/>
    </row>
    <row r="13" s="3" customFormat="1" ht="16" customHeight="1" spans="1:10">
      <c r="A13" s="11">
        <v>8</v>
      </c>
      <c r="B13" s="16" t="s">
        <v>97</v>
      </c>
      <c r="C13" s="16"/>
      <c r="D13" s="17" t="s">
        <v>14</v>
      </c>
      <c r="E13" s="17">
        <v>1</v>
      </c>
      <c r="F13" s="13">
        <f t="shared" si="0"/>
        <v>5.88235294117647</v>
      </c>
      <c r="G13" s="14">
        <f t="shared" si="1"/>
        <v>0.85</v>
      </c>
      <c r="H13" s="15">
        <v>5</v>
      </c>
      <c r="I13" s="15">
        <f t="shared" si="2"/>
        <v>5</v>
      </c>
      <c r="J13" s="16"/>
    </row>
    <row r="14" s="3" customFormat="1" ht="16" customHeight="1" spans="1:10">
      <c r="A14" s="11">
        <v>9</v>
      </c>
      <c r="B14" s="16" t="s">
        <v>55</v>
      </c>
      <c r="C14" s="16"/>
      <c r="D14" s="17" t="s">
        <v>14</v>
      </c>
      <c r="E14" s="17">
        <v>45</v>
      </c>
      <c r="F14" s="13">
        <f t="shared" si="0"/>
        <v>4.11764705882353</v>
      </c>
      <c r="G14" s="14">
        <f t="shared" si="1"/>
        <v>0.85</v>
      </c>
      <c r="H14" s="15">
        <v>3.5</v>
      </c>
      <c r="I14" s="15">
        <f t="shared" si="2"/>
        <v>157.5</v>
      </c>
      <c r="J14" s="16"/>
    </row>
    <row r="15" s="3" customFormat="1" ht="16" customHeight="1" spans="1:10">
      <c r="A15" s="11">
        <v>10</v>
      </c>
      <c r="B15" s="16" t="s">
        <v>76</v>
      </c>
      <c r="C15" s="16"/>
      <c r="D15" s="17" t="s">
        <v>14</v>
      </c>
      <c r="E15" s="17">
        <v>5</v>
      </c>
      <c r="F15" s="13">
        <f t="shared" si="0"/>
        <v>4.11764705882353</v>
      </c>
      <c r="G15" s="14">
        <f t="shared" si="1"/>
        <v>0.85</v>
      </c>
      <c r="H15" s="15">
        <v>3.5</v>
      </c>
      <c r="I15" s="15">
        <f t="shared" si="2"/>
        <v>17.5</v>
      </c>
      <c r="J15" s="16"/>
    </row>
    <row r="16" s="3" customFormat="1" ht="16" customHeight="1" spans="1:10">
      <c r="A16" s="11">
        <v>11</v>
      </c>
      <c r="B16" s="16" t="s">
        <v>26</v>
      </c>
      <c r="C16" s="16" t="s">
        <v>27</v>
      </c>
      <c r="D16" s="17" t="s">
        <v>28</v>
      </c>
      <c r="E16" s="17">
        <v>1</v>
      </c>
      <c r="F16" s="13">
        <f t="shared" si="0"/>
        <v>352.941176470588</v>
      </c>
      <c r="G16" s="14">
        <f t="shared" si="1"/>
        <v>0.85</v>
      </c>
      <c r="H16" s="15">
        <v>300</v>
      </c>
      <c r="I16" s="15">
        <f t="shared" si="2"/>
        <v>300</v>
      </c>
      <c r="J16" s="16"/>
    </row>
    <row r="17" s="3" customFormat="1" ht="16" customHeight="1" spans="1:10">
      <c r="A17" s="11">
        <v>12</v>
      </c>
      <c r="B17" s="16" t="s">
        <v>105</v>
      </c>
      <c r="C17" s="16"/>
      <c r="D17" s="17" t="s">
        <v>14</v>
      </c>
      <c r="E17" s="17">
        <v>3</v>
      </c>
      <c r="F17" s="13">
        <f t="shared" si="0"/>
        <v>16.2352941176471</v>
      </c>
      <c r="G17" s="14">
        <f t="shared" si="1"/>
        <v>0.85</v>
      </c>
      <c r="H17" s="15">
        <v>13.8</v>
      </c>
      <c r="I17" s="15">
        <f t="shared" si="2"/>
        <v>41.4</v>
      </c>
      <c r="J17" s="16"/>
    </row>
    <row r="18" s="3" customFormat="1" ht="16" customHeight="1" spans="1:10">
      <c r="A18" s="11">
        <v>13</v>
      </c>
      <c r="B18" s="11" t="s">
        <v>127</v>
      </c>
      <c r="C18" s="11"/>
      <c r="D18" s="12" t="s">
        <v>14</v>
      </c>
      <c r="E18" s="12">
        <v>6</v>
      </c>
      <c r="F18" s="13">
        <f t="shared" si="0"/>
        <v>17.4117647058824</v>
      </c>
      <c r="G18" s="14">
        <f t="shared" si="1"/>
        <v>0.85</v>
      </c>
      <c r="H18" s="15">
        <v>14.8</v>
      </c>
      <c r="I18" s="15">
        <f t="shared" si="2"/>
        <v>88.8</v>
      </c>
      <c r="J18" s="11"/>
    </row>
    <row r="19" s="3" customFormat="1" ht="16" customHeight="1" spans="1:10">
      <c r="A19" s="11">
        <v>14</v>
      </c>
      <c r="B19" s="16" t="s">
        <v>29</v>
      </c>
      <c r="C19" s="16"/>
      <c r="D19" s="17" t="s">
        <v>14</v>
      </c>
      <c r="E19" s="17">
        <v>2</v>
      </c>
      <c r="F19" s="13">
        <f t="shared" si="0"/>
        <v>19.7647058823529</v>
      </c>
      <c r="G19" s="14">
        <f t="shared" si="1"/>
        <v>0.85</v>
      </c>
      <c r="H19" s="15">
        <v>16.8</v>
      </c>
      <c r="I19" s="15">
        <f t="shared" si="2"/>
        <v>33.6</v>
      </c>
      <c r="J19" s="16"/>
    </row>
    <row r="20" s="3" customFormat="1" ht="16" customHeight="1" spans="1:10">
      <c r="A20" s="11">
        <v>15</v>
      </c>
      <c r="B20" s="16" t="s">
        <v>99</v>
      </c>
      <c r="C20" s="16"/>
      <c r="D20" s="17" t="s">
        <v>14</v>
      </c>
      <c r="E20" s="17">
        <v>1</v>
      </c>
      <c r="F20" s="13">
        <f t="shared" ref="F20:F31" si="3">H20/0.85</f>
        <v>11.7647058823529</v>
      </c>
      <c r="G20" s="14">
        <f t="shared" ref="G20:G31" si="4">H20/F20</f>
        <v>0.85</v>
      </c>
      <c r="H20" s="15">
        <v>10</v>
      </c>
      <c r="I20" s="15">
        <f t="shared" ref="I20:I31" si="5">E20*H20</f>
        <v>10</v>
      </c>
      <c r="J20" s="16"/>
    </row>
    <row r="21" s="3" customFormat="1" ht="16" customHeight="1" spans="1:10">
      <c r="A21" s="11">
        <v>16</v>
      </c>
      <c r="B21" s="16" t="s">
        <v>78</v>
      </c>
      <c r="C21" s="16"/>
      <c r="D21" s="17" t="s">
        <v>14</v>
      </c>
      <c r="E21" s="17">
        <v>8</v>
      </c>
      <c r="F21" s="13">
        <f t="shared" si="3"/>
        <v>30.5882352941176</v>
      </c>
      <c r="G21" s="14">
        <f t="shared" si="4"/>
        <v>0.85</v>
      </c>
      <c r="H21" s="15">
        <v>26</v>
      </c>
      <c r="I21" s="15">
        <f t="shared" si="5"/>
        <v>208</v>
      </c>
      <c r="J21" s="16"/>
    </row>
    <row r="22" s="3" customFormat="1" ht="16" customHeight="1" spans="1:10">
      <c r="A22" s="11">
        <v>17</v>
      </c>
      <c r="B22" s="16" t="s">
        <v>131</v>
      </c>
      <c r="C22" s="16"/>
      <c r="D22" s="16" t="s">
        <v>14</v>
      </c>
      <c r="E22" s="17">
        <v>7</v>
      </c>
      <c r="F22" s="13">
        <f t="shared" si="3"/>
        <v>5.88235294117647</v>
      </c>
      <c r="G22" s="14">
        <f t="shared" si="4"/>
        <v>0.85</v>
      </c>
      <c r="H22" s="15">
        <v>5</v>
      </c>
      <c r="I22" s="15">
        <f t="shared" si="5"/>
        <v>35</v>
      </c>
      <c r="J22" s="16"/>
    </row>
    <row r="23" s="3" customFormat="1" ht="16" customHeight="1" spans="1:10">
      <c r="A23" s="11">
        <v>18</v>
      </c>
      <c r="B23" s="16" t="s">
        <v>132</v>
      </c>
      <c r="C23" s="16"/>
      <c r="D23" s="17" t="s">
        <v>14</v>
      </c>
      <c r="E23" s="17">
        <v>5</v>
      </c>
      <c r="F23" s="13">
        <f t="shared" si="3"/>
        <v>76.4705882352941</v>
      </c>
      <c r="G23" s="14">
        <f t="shared" si="4"/>
        <v>0.85</v>
      </c>
      <c r="H23" s="15">
        <v>65</v>
      </c>
      <c r="I23" s="15">
        <f t="shared" si="5"/>
        <v>325</v>
      </c>
      <c r="J23" s="16"/>
    </row>
    <row r="24" s="3" customFormat="1" ht="16" customHeight="1" spans="1:10">
      <c r="A24" s="11">
        <v>19</v>
      </c>
      <c r="B24" s="16" t="s">
        <v>133</v>
      </c>
      <c r="C24" s="16" t="s">
        <v>134</v>
      </c>
      <c r="D24" s="17" t="s">
        <v>37</v>
      </c>
      <c r="E24" s="17">
        <v>6</v>
      </c>
      <c r="F24" s="13">
        <f t="shared" si="3"/>
        <v>70.5882352941177</v>
      </c>
      <c r="G24" s="14">
        <f t="shared" si="4"/>
        <v>0.85</v>
      </c>
      <c r="H24" s="15">
        <v>60</v>
      </c>
      <c r="I24" s="15">
        <f t="shared" si="5"/>
        <v>360</v>
      </c>
      <c r="J24" s="16"/>
    </row>
    <row r="25" s="3" customFormat="1" ht="16" customHeight="1" spans="1:10">
      <c r="A25" s="11">
        <v>20</v>
      </c>
      <c r="B25" s="11" t="s">
        <v>135</v>
      </c>
      <c r="C25" s="11" t="s">
        <v>136</v>
      </c>
      <c r="D25" s="12" t="s">
        <v>37</v>
      </c>
      <c r="E25" s="12">
        <v>3</v>
      </c>
      <c r="F25" s="13">
        <f t="shared" si="3"/>
        <v>42.8235294117647</v>
      </c>
      <c r="G25" s="14">
        <f t="shared" si="4"/>
        <v>0.85</v>
      </c>
      <c r="H25" s="15">
        <v>36.4</v>
      </c>
      <c r="I25" s="15">
        <f t="shared" si="5"/>
        <v>109.2</v>
      </c>
      <c r="J25" s="11"/>
    </row>
    <row r="26" s="3" customFormat="1" ht="16" customHeight="1" spans="1:10">
      <c r="A26" s="11">
        <v>21</v>
      </c>
      <c r="B26" s="16" t="s">
        <v>137</v>
      </c>
      <c r="C26" s="16" t="s">
        <v>138</v>
      </c>
      <c r="D26" s="12" t="s">
        <v>37</v>
      </c>
      <c r="E26" s="12">
        <v>4</v>
      </c>
      <c r="F26" s="13">
        <f t="shared" si="3"/>
        <v>97.6470588235294</v>
      </c>
      <c r="G26" s="14">
        <f t="shared" si="4"/>
        <v>0.85</v>
      </c>
      <c r="H26" s="15">
        <v>83</v>
      </c>
      <c r="I26" s="15">
        <f t="shared" si="5"/>
        <v>332</v>
      </c>
      <c r="J26" s="11"/>
    </row>
    <row r="27" s="3" customFormat="1" ht="16" customHeight="1" spans="1:10">
      <c r="A27" s="11">
        <v>22</v>
      </c>
      <c r="B27" s="16" t="s">
        <v>139</v>
      </c>
      <c r="C27" s="16" t="s">
        <v>140</v>
      </c>
      <c r="D27" s="16" t="s">
        <v>37</v>
      </c>
      <c r="E27" s="17">
        <v>1</v>
      </c>
      <c r="F27" s="13">
        <f t="shared" si="3"/>
        <v>30.5882352941176</v>
      </c>
      <c r="G27" s="14">
        <f t="shared" si="4"/>
        <v>0.85</v>
      </c>
      <c r="H27" s="15">
        <v>26</v>
      </c>
      <c r="I27" s="15">
        <f t="shared" si="5"/>
        <v>26</v>
      </c>
      <c r="J27" s="16"/>
    </row>
    <row r="28" s="3" customFormat="1" ht="16" customHeight="1" spans="1:10">
      <c r="A28" s="11">
        <v>23</v>
      </c>
      <c r="B28" s="11" t="s">
        <v>141</v>
      </c>
      <c r="C28" s="11" t="s">
        <v>142</v>
      </c>
      <c r="D28" s="16" t="s">
        <v>37</v>
      </c>
      <c r="E28" s="12">
        <v>3</v>
      </c>
      <c r="F28" s="13">
        <f t="shared" si="3"/>
        <v>15.0588235294118</v>
      </c>
      <c r="G28" s="14">
        <f t="shared" si="4"/>
        <v>0.85</v>
      </c>
      <c r="H28" s="15">
        <v>12.8</v>
      </c>
      <c r="I28" s="15">
        <f t="shared" si="5"/>
        <v>38.4</v>
      </c>
      <c r="J28" s="11"/>
    </row>
    <row r="29" s="3" customFormat="1" ht="16" customHeight="1" spans="1:10">
      <c r="A29" s="11">
        <v>24</v>
      </c>
      <c r="B29" s="11" t="s">
        <v>143</v>
      </c>
      <c r="C29" s="11" t="s">
        <v>144</v>
      </c>
      <c r="D29" s="16" t="s">
        <v>81</v>
      </c>
      <c r="E29" s="12">
        <v>36</v>
      </c>
      <c r="F29" s="13">
        <f t="shared" si="3"/>
        <v>2.94117647058824</v>
      </c>
      <c r="G29" s="14">
        <f t="shared" si="4"/>
        <v>0.85</v>
      </c>
      <c r="H29" s="15">
        <v>2.5</v>
      </c>
      <c r="I29" s="15">
        <f t="shared" si="5"/>
        <v>90</v>
      </c>
      <c r="J29" s="11"/>
    </row>
    <row r="30" s="3" customFormat="1" ht="16" customHeight="1" spans="1:10">
      <c r="A30" s="11">
        <v>25</v>
      </c>
      <c r="B30" s="11" t="s">
        <v>145</v>
      </c>
      <c r="C30" s="11" t="s">
        <v>144</v>
      </c>
      <c r="D30" s="11" t="s">
        <v>81</v>
      </c>
      <c r="E30" s="12">
        <v>15</v>
      </c>
      <c r="F30" s="13">
        <f t="shared" si="3"/>
        <v>2.94117647058824</v>
      </c>
      <c r="G30" s="14">
        <f t="shared" si="4"/>
        <v>0.85</v>
      </c>
      <c r="H30" s="15">
        <v>2.5</v>
      </c>
      <c r="I30" s="15">
        <f t="shared" si="5"/>
        <v>37.5</v>
      </c>
      <c r="J30" s="11"/>
    </row>
    <row r="31" s="3" customFormat="1" ht="16" customHeight="1" spans="1:10">
      <c r="A31" s="11">
        <v>26</v>
      </c>
      <c r="B31" s="11"/>
      <c r="C31" s="11"/>
      <c r="D31" s="11"/>
      <c r="E31" s="12"/>
      <c r="F31" s="13"/>
      <c r="G31" s="14"/>
      <c r="H31" s="15"/>
      <c r="I31" s="15"/>
      <c r="J31" s="11"/>
    </row>
    <row r="32" s="3" customFormat="1" customHeight="1" spans="1:10">
      <c r="A32" s="11" t="s">
        <v>90</v>
      </c>
      <c r="B32" s="19">
        <f>SUM(I6:I31)</f>
        <v>2383</v>
      </c>
      <c r="C32" s="20"/>
      <c r="D32" s="20"/>
      <c r="E32" s="20"/>
      <c r="F32" s="20"/>
      <c r="G32" s="20"/>
      <c r="H32" s="20"/>
      <c r="I32" s="20"/>
      <c r="J32" s="24"/>
    </row>
    <row r="33" s="3" customFormat="1" customHeight="1" spans="1:10">
      <c r="A33" s="11" t="s">
        <v>43</v>
      </c>
      <c r="B33" s="22">
        <f>B32</f>
        <v>2383</v>
      </c>
      <c r="C33" s="23"/>
      <c r="D33" s="23"/>
      <c r="E33" s="23"/>
      <c r="F33" s="23"/>
      <c r="G33" s="23"/>
      <c r="H33" s="23"/>
      <c r="I33" s="23"/>
      <c r="J33" s="25"/>
    </row>
    <row r="34" s="3" customFormat="1" customHeight="1" spans="1:1">
      <c r="A34" s="3" t="s">
        <v>44</v>
      </c>
    </row>
  </sheetData>
  <mergeCells count="4">
    <mergeCell ref="A1:J1"/>
    <mergeCell ref="B32:J32"/>
    <mergeCell ref="B33:J33"/>
    <mergeCell ref="A34:J34"/>
  </mergeCells>
  <conditionalFormatting sqref="B6:B31">
    <cfRule type="duplicateValues" dxfId="0" priority="1"/>
  </conditionalFormatting>
  <conditionalFormatting sqref="B6:C25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4"/>
  <sheetViews>
    <sheetView topLeftCell="A12" workbookViewId="0">
      <selection activeCell="I12" sqref="I$1:I$104857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8" width="11.6666666666667" style="3" customWidth="1"/>
    <col min="16319" max="16319" width="11.6666666666667" style="3"/>
    <col min="16320" max="16325" width="11" style="3"/>
    <col min="16326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="3" customFormat="1" customHeight="1" spans="1:2">
      <c r="A3" s="3" t="s">
        <v>69</v>
      </c>
      <c r="B3" s="3" t="s">
        <v>70</v>
      </c>
    </row>
    <row r="4" s="3" customFormat="1" customHeight="1" spans="1:10">
      <c r="A4" s="3" t="s">
        <v>71</v>
      </c>
      <c r="B4" s="8">
        <v>45148</v>
      </c>
      <c r="C4" s="8"/>
      <c r="D4" s="9"/>
      <c r="E4" s="9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4</v>
      </c>
      <c r="F6" s="13">
        <f t="shared" ref="F6:F33" si="0">H6/0.85</f>
        <v>3.52941176470588</v>
      </c>
      <c r="G6" s="14">
        <f t="shared" ref="G6:G33" si="1">H6/F6</f>
        <v>0.85</v>
      </c>
      <c r="H6" s="15">
        <v>3</v>
      </c>
      <c r="I6" s="15">
        <f t="shared" ref="I6:I33" si="2">E6*H6</f>
        <v>12</v>
      </c>
      <c r="J6" s="11"/>
    </row>
    <row r="7" s="3" customFormat="1" ht="16" customHeight="1" spans="1:10">
      <c r="A7" s="11">
        <v>2</v>
      </c>
      <c r="B7" s="11" t="s">
        <v>15</v>
      </c>
      <c r="C7" s="11"/>
      <c r="D7" s="12" t="s">
        <v>14</v>
      </c>
      <c r="E7" s="12">
        <v>4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14</v>
      </c>
      <c r="J7" s="11"/>
    </row>
    <row r="8" s="3" customFormat="1" ht="16" customHeight="1" spans="1:10">
      <c r="A8" s="11">
        <v>3</v>
      </c>
      <c r="B8" s="11" t="s">
        <v>146</v>
      </c>
      <c r="C8" s="11"/>
      <c r="D8" s="12" t="s">
        <v>14</v>
      </c>
      <c r="E8" s="12">
        <v>15</v>
      </c>
      <c r="F8" s="13">
        <f t="shared" si="0"/>
        <v>9.17647058823529</v>
      </c>
      <c r="G8" s="14">
        <f t="shared" si="1"/>
        <v>0.85</v>
      </c>
      <c r="H8" s="15">
        <v>7.8</v>
      </c>
      <c r="I8" s="15">
        <f t="shared" si="2"/>
        <v>117</v>
      </c>
      <c r="J8" s="11"/>
    </row>
    <row r="9" s="3" customFormat="1" ht="16" customHeight="1" spans="1:10">
      <c r="A9" s="11">
        <v>4</v>
      </c>
      <c r="B9" s="16" t="s">
        <v>147</v>
      </c>
      <c r="C9" s="16"/>
      <c r="D9" s="12" t="s">
        <v>14</v>
      </c>
      <c r="E9" s="12">
        <v>12.64</v>
      </c>
      <c r="F9" s="13">
        <f t="shared" si="0"/>
        <v>8</v>
      </c>
      <c r="G9" s="14">
        <f t="shared" si="1"/>
        <v>0.85</v>
      </c>
      <c r="H9" s="15">
        <v>6.8</v>
      </c>
      <c r="I9" s="15">
        <f t="shared" si="2"/>
        <v>85.952</v>
      </c>
      <c r="J9" s="11"/>
    </row>
    <row r="10" s="3" customFormat="1" ht="16" customHeight="1" spans="1:10">
      <c r="A10" s="11">
        <v>5</v>
      </c>
      <c r="B10" s="16" t="s">
        <v>49</v>
      </c>
      <c r="C10" s="16"/>
      <c r="D10" s="12" t="s">
        <v>14</v>
      </c>
      <c r="E10" s="12">
        <v>4</v>
      </c>
      <c r="F10" s="13">
        <f t="shared" si="0"/>
        <v>9.17647058823529</v>
      </c>
      <c r="G10" s="14">
        <f t="shared" si="1"/>
        <v>0.85</v>
      </c>
      <c r="H10" s="15">
        <v>7.8</v>
      </c>
      <c r="I10" s="15">
        <f t="shared" si="2"/>
        <v>31.2</v>
      </c>
      <c r="J10" s="11"/>
    </row>
    <row r="11" s="3" customFormat="1" ht="16" customHeight="1" spans="1:10">
      <c r="A11" s="11">
        <v>6</v>
      </c>
      <c r="B11" s="11" t="s">
        <v>50</v>
      </c>
      <c r="C11" s="11"/>
      <c r="D11" s="12" t="s">
        <v>14</v>
      </c>
      <c r="E11" s="12">
        <v>4</v>
      </c>
      <c r="F11" s="13">
        <f t="shared" si="0"/>
        <v>5.29411764705882</v>
      </c>
      <c r="G11" s="14">
        <f t="shared" si="1"/>
        <v>0.85</v>
      </c>
      <c r="H11" s="15">
        <v>4.5</v>
      </c>
      <c r="I11" s="15">
        <f t="shared" si="2"/>
        <v>18</v>
      </c>
      <c r="J11" s="11"/>
    </row>
    <row r="12" s="3" customFormat="1" ht="16" customHeight="1" spans="1:10">
      <c r="A12" s="11">
        <v>7</v>
      </c>
      <c r="B12" s="11" t="s">
        <v>51</v>
      </c>
      <c r="C12" s="11"/>
      <c r="D12" s="12" t="s">
        <v>14</v>
      </c>
      <c r="E12" s="12">
        <v>3.3</v>
      </c>
      <c r="F12" s="13">
        <f t="shared" si="0"/>
        <v>4.47058823529412</v>
      </c>
      <c r="G12" s="14">
        <f t="shared" si="1"/>
        <v>0.85</v>
      </c>
      <c r="H12" s="15">
        <v>3.8</v>
      </c>
      <c r="I12" s="15">
        <f t="shared" si="2"/>
        <v>12.54</v>
      </c>
      <c r="J12" s="11"/>
    </row>
    <row r="13" s="3" customFormat="1" ht="16" customHeight="1" spans="1:10">
      <c r="A13" s="11">
        <v>8</v>
      </c>
      <c r="B13" s="11" t="s">
        <v>148</v>
      </c>
      <c r="C13" s="11"/>
      <c r="D13" s="12" t="s">
        <v>14</v>
      </c>
      <c r="E13" s="12">
        <v>6</v>
      </c>
      <c r="F13" s="13">
        <f t="shared" si="0"/>
        <v>3.29411764705882</v>
      </c>
      <c r="G13" s="14">
        <f t="shared" si="1"/>
        <v>0.85</v>
      </c>
      <c r="H13" s="15">
        <v>2.8</v>
      </c>
      <c r="I13" s="15">
        <f t="shared" si="2"/>
        <v>16.8</v>
      </c>
      <c r="J13" s="11"/>
    </row>
    <row r="14" s="3" customFormat="1" ht="16" customHeight="1" spans="1:10">
      <c r="A14" s="11">
        <v>9</v>
      </c>
      <c r="B14" s="16" t="s">
        <v>149</v>
      </c>
      <c r="C14" s="16"/>
      <c r="D14" s="17" t="s">
        <v>14</v>
      </c>
      <c r="E14" s="17">
        <v>13</v>
      </c>
      <c r="F14" s="13">
        <f t="shared" si="0"/>
        <v>15.0588235294118</v>
      </c>
      <c r="G14" s="14">
        <f t="shared" si="1"/>
        <v>0.85</v>
      </c>
      <c r="H14" s="18">
        <v>12.8</v>
      </c>
      <c r="I14" s="15">
        <f t="shared" si="2"/>
        <v>166.4</v>
      </c>
      <c r="J14" s="16"/>
    </row>
    <row r="15" s="3" customFormat="1" ht="16" customHeight="1" spans="1:10">
      <c r="A15" s="11">
        <v>10</v>
      </c>
      <c r="B15" s="16" t="s">
        <v>29</v>
      </c>
      <c r="C15" s="16"/>
      <c r="D15" s="17" t="s">
        <v>14</v>
      </c>
      <c r="E15" s="17">
        <v>5</v>
      </c>
      <c r="F15" s="13">
        <f t="shared" si="0"/>
        <v>19.7647058823529</v>
      </c>
      <c r="G15" s="14">
        <f t="shared" si="1"/>
        <v>0.85</v>
      </c>
      <c r="H15" s="18">
        <v>16.8</v>
      </c>
      <c r="I15" s="15">
        <f t="shared" si="2"/>
        <v>84</v>
      </c>
      <c r="J15" s="16"/>
    </row>
    <row r="16" s="3" customFormat="1" ht="16" customHeight="1" spans="1:10">
      <c r="A16" s="11">
        <v>11</v>
      </c>
      <c r="B16" s="16" t="s">
        <v>99</v>
      </c>
      <c r="C16" s="16"/>
      <c r="D16" s="17" t="s">
        <v>14</v>
      </c>
      <c r="E16" s="17">
        <v>7</v>
      </c>
      <c r="F16" s="13">
        <f t="shared" si="0"/>
        <v>11.7647058823529</v>
      </c>
      <c r="G16" s="14">
        <f t="shared" si="1"/>
        <v>0.85</v>
      </c>
      <c r="H16" s="18">
        <v>10</v>
      </c>
      <c r="I16" s="15">
        <f t="shared" si="2"/>
        <v>70</v>
      </c>
      <c r="J16" s="16"/>
    </row>
    <row r="17" s="3" customFormat="1" ht="16" customHeight="1" spans="1:10">
      <c r="A17" s="11">
        <v>12</v>
      </c>
      <c r="B17" s="16" t="s">
        <v>60</v>
      </c>
      <c r="C17" s="16" t="s">
        <v>61</v>
      </c>
      <c r="D17" s="17" t="s">
        <v>37</v>
      </c>
      <c r="E17" s="17">
        <v>16</v>
      </c>
      <c r="F17" s="13">
        <f t="shared" si="0"/>
        <v>14.1176470588235</v>
      </c>
      <c r="G17" s="14">
        <f t="shared" si="1"/>
        <v>0.85</v>
      </c>
      <c r="H17" s="18">
        <v>12</v>
      </c>
      <c r="I17" s="15">
        <f t="shared" si="2"/>
        <v>192</v>
      </c>
      <c r="J17" s="16"/>
    </row>
    <row r="18" s="3" customFormat="1" ht="16" customHeight="1" spans="1:10">
      <c r="A18" s="11">
        <v>13</v>
      </c>
      <c r="B18" s="16" t="s">
        <v>85</v>
      </c>
      <c r="C18" s="16" t="s">
        <v>86</v>
      </c>
      <c r="D18" s="17" t="s">
        <v>81</v>
      </c>
      <c r="E18" s="17">
        <v>1</v>
      </c>
      <c r="F18" s="13">
        <f t="shared" si="0"/>
        <v>10</v>
      </c>
      <c r="G18" s="14">
        <f t="shared" si="1"/>
        <v>0.85</v>
      </c>
      <c r="H18" s="18">
        <v>8.5</v>
      </c>
      <c r="I18" s="15">
        <f t="shared" si="2"/>
        <v>8.5</v>
      </c>
      <c r="J18" s="16"/>
    </row>
    <row r="19" s="3" customFormat="1" ht="16" customHeight="1" spans="1:10">
      <c r="A19" s="11">
        <v>14</v>
      </c>
      <c r="B19" s="11" t="s">
        <v>150</v>
      </c>
      <c r="C19" s="11" t="s">
        <v>151</v>
      </c>
      <c r="D19" s="12" t="s">
        <v>28</v>
      </c>
      <c r="E19" s="12">
        <v>1</v>
      </c>
      <c r="F19" s="13">
        <f t="shared" si="0"/>
        <v>64.7058823529412</v>
      </c>
      <c r="G19" s="14">
        <f t="shared" si="1"/>
        <v>0.85</v>
      </c>
      <c r="H19" s="15">
        <v>55</v>
      </c>
      <c r="I19" s="15">
        <f t="shared" si="2"/>
        <v>55</v>
      </c>
      <c r="J19" s="11"/>
    </row>
    <row r="20" s="3" customFormat="1" ht="16" customHeight="1" spans="1:10">
      <c r="A20" s="11">
        <v>15</v>
      </c>
      <c r="B20" s="16" t="s">
        <v>143</v>
      </c>
      <c r="C20" s="16" t="s">
        <v>144</v>
      </c>
      <c r="D20" s="17" t="s">
        <v>81</v>
      </c>
      <c r="E20" s="17">
        <v>60</v>
      </c>
      <c r="F20" s="13">
        <f t="shared" si="0"/>
        <v>2.94117647058824</v>
      </c>
      <c r="G20" s="14">
        <f t="shared" si="1"/>
        <v>0.85</v>
      </c>
      <c r="H20" s="18">
        <v>2.5</v>
      </c>
      <c r="I20" s="15">
        <f t="shared" si="2"/>
        <v>150</v>
      </c>
      <c r="J20" s="16"/>
    </row>
    <row r="21" s="3" customFormat="1" ht="16" customHeight="1" spans="1:10">
      <c r="A21" s="11">
        <v>16</v>
      </c>
      <c r="B21" s="16"/>
      <c r="C21" s="16"/>
      <c r="D21" s="16"/>
      <c r="E21" s="17"/>
      <c r="F21" s="13"/>
      <c r="G21" s="14"/>
      <c r="H21" s="18"/>
      <c r="I21" s="15"/>
      <c r="J21" s="16"/>
    </row>
    <row r="22" s="3" customFormat="1" ht="16" customHeight="1" spans="1:10">
      <c r="A22" s="11">
        <v>17</v>
      </c>
      <c r="B22" s="16"/>
      <c r="C22" s="16"/>
      <c r="D22" s="17"/>
      <c r="E22" s="17"/>
      <c r="F22" s="13"/>
      <c r="G22" s="14"/>
      <c r="H22" s="18"/>
      <c r="I22" s="15"/>
      <c r="J22" s="16"/>
    </row>
    <row r="23" s="3" customFormat="1" ht="16" customHeight="1" spans="1:10">
      <c r="A23" s="11">
        <v>18</v>
      </c>
      <c r="B23" s="16"/>
      <c r="C23" s="16"/>
      <c r="D23" s="17"/>
      <c r="E23" s="17"/>
      <c r="F23" s="13"/>
      <c r="G23" s="14"/>
      <c r="H23" s="18"/>
      <c r="I23" s="15"/>
      <c r="J23" s="16"/>
    </row>
    <row r="24" s="3" customFormat="1" ht="16" customHeight="1" spans="1:10">
      <c r="A24" s="11">
        <v>19</v>
      </c>
      <c r="B24" s="11"/>
      <c r="C24" s="11"/>
      <c r="D24" s="12"/>
      <c r="E24" s="12"/>
      <c r="F24" s="13"/>
      <c r="G24" s="14"/>
      <c r="H24" s="15"/>
      <c r="I24" s="15"/>
      <c r="J24" s="11"/>
    </row>
    <row r="25" s="3" customFormat="1" ht="16" customHeight="1" spans="1:10">
      <c r="A25" s="11">
        <v>20</v>
      </c>
      <c r="B25" s="16"/>
      <c r="C25" s="16"/>
      <c r="D25" s="12"/>
      <c r="E25" s="12"/>
      <c r="F25" s="13"/>
      <c r="G25" s="14"/>
      <c r="H25" s="15"/>
      <c r="I25" s="15"/>
      <c r="J25" s="11"/>
    </row>
    <row r="26" s="3" customFormat="1" ht="16" customHeight="1" spans="1:10">
      <c r="A26" s="11">
        <v>21</v>
      </c>
      <c r="B26" s="16"/>
      <c r="C26" s="16"/>
      <c r="D26" s="16"/>
      <c r="E26" s="17"/>
      <c r="F26" s="13"/>
      <c r="G26" s="14"/>
      <c r="H26" s="18"/>
      <c r="I26" s="15"/>
      <c r="J26" s="16"/>
    </row>
    <row r="27" s="3" customFormat="1" ht="16" customHeight="1" spans="1:10">
      <c r="A27" s="11">
        <v>22</v>
      </c>
      <c r="B27" s="11"/>
      <c r="C27" s="11"/>
      <c r="D27" s="16"/>
      <c r="E27" s="12"/>
      <c r="F27" s="13"/>
      <c r="G27" s="14"/>
      <c r="H27" s="15"/>
      <c r="I27" s="15"/>
      <c r="J27" s="11"/>
    </row>
    <row r="28" s="3" customFormat="1" ht="16" customHeight="1" spans="1:10">
      <c r="A28" s="11">
        <v>23</v>
      </c>
      <c r="B28" s="11"/>
      <c r="C28" s="11"/>
      <c r="D28" s="16"/>
      <c r="E28" s="12"/>
      <c r="F28" s="13"/>
      <c r="G28" s="14"/>
      <c r="H28" s="15"/>
      <c r="I28" s="15"/>
      <c r="J28" s="11"/>
    </row>
    <row r="29" s="3" customFormat="1" ht="16" customHeight="1" spans="1:10">
      <c r="A29" s="11">
        <v>24</v>
      </c>
      <c r="B29" s="11"/>
      <c r="C29" s="11"/>
      <c r="D29" s="11"/>
      <c r="E29" s="12"/>
      <c r="F29" s="13"/>
      <c r="G29" s="14"/>
      <c r="H29" s="15"/>
      <c r="I29" s="15"/>
      <c r="J29" s="11"/>
    </row>
    <row r="30" s="3" customFormat="1" ht="16" customHeight="1" spans="1:10">
      <c r="A30" s="11">
        <v>25</v>
      </c>
      <c r="B30" s="11"/>
      <c r="C30" s="11"/>
      <c r="D30" s="11"/>
      <c r="E30" s="12"/>
      <c r="F30" s="13"/>
      <c r="G30" s="14"/>
      <c r="H30" s="15"/>
      <c r="I30" s="15"/>
      <c r="J30" s="11"/>
    </row>
    <row r="31" s="3" customFormat="1" ht="16" customHeight="1" spans="1:10">
      <c r="A31" s="11">
        <v>26</v>
      </c>
      <c r="B31" s="11"/>
      <c r="C31" s="11"/>
      <c r="D31" s="11"/>
      <c r="E31" s="12"/>
      <c r="F31" s="13"/>
      <c r="G31" s="14"/>
      <c r="H31" s="15"/>
      <c r="I31" s="15"/>
      <c r="J31" s="11"/>
    </row>
    <row r="32" s="3" customFormat="1" customHeight="1" spans="1:10">
      <c r="A32" s="11" t="s">
        <v>90</v>
      </c>
      <c r="B32" s="19">
        <f>SUM(I6:I31)</f>
        <v>1033.392</v>
      </c>
      <c r="C32" s="20"/>
      <c r="D32" s="20"/>
      <c r="E32" s="20"/>
      <c r="F32" s="20"/>
      <c r="G32" s="20"/>
      <c r="H32" s="20"/>
      <c r="I32" s="20"/>
      <c r="J32" s="24"/>
    </row>
    <row r="33" s="3" customFormat="1" customHeight="1" spans="1:10">
      <c r="A33" s="11" t="s">
        <v>43</v>
      </c>
      <c r="B33" s="22">
        <f>B32</f>
        <v>1033.392</v>
      </c>
      <c r="C33" s="23"/>
      <c r="D33" s="23"/>
      <c r="E33" s="23"/>
      <c r="F33" s="23"/>
      <c r="G33" s="23"/>
      <c r="H33" s="23"/>
      <c r="I33" s="23"/>
      <c r="J33" s="25"/>
    </row>
    <row r="34" s="3" customFormat="1" customHeight="1" spans="1:1">
      <c r="A34" s="3" t="s">
        <v>44</v>
      </c>
    </row>
  </sheetData>
  <mergeCells count="4">
    <mergeCell ref="A1:J1"/>
    <mergeCell ref="B32:J32"/>
    <mergeCell ref="B33:J33"/>
    <mergeCell ref="A34:J34"/>
  </mergeCells>
  <conditionalFormatting sqref="B6:B31">
    <cfRule type="duplicateValues" dxfId="0" priority="1"/>
  </conditionalFormatting>
  <conditionalFormatting sqref="B6:C24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5" workbookViewId="0">
      <selection activeCell="I15" sqref="I$1:I$104857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8" width="11.6666666666667" style="3" customWidth="1"/>
    <col min="16319" max="16319" width="11.6666666666667" style="3"/>
    <col min="16320" max="16325" width="11" style="3"/>
    <col min="16326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69</v>
      </c>
      <c r="B3" s="3" t="s">
        <v>70</v>
      </c>
      <c r="E3" s="4"/>
    </row>
    <row r="4" s="3" customFormat="1" customHeight="1" spans="1:10">
      <c r="A4" s="3" t="s">
        <v>71</v>
      </c>
      <c r="B4" s="8">
        <v>45149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4</v>
      </c>
      <c r="F6" s="13">
        <f>H6/0.85</f>
        <v>3.52941176470588</v>
      </c>
      <c r="G6" s="14">
        <f t="shared" ref="G6:G25" si="0">H6/F6</f>
        <v>0.85</v>
      </c>
      <c r="H6" s="15">
        <v>3</v>
      </c>
      <c r="I6" s="15">
        <f t="shared" ref="I6:I25" si="1">E6*H6</f>
        <v>12</v>
      </c>
      <c r="J6" s="11"/>
    </row>
    <row r="7" s="3" customFormat="1" ht="16" customHeight="1" spans="1:10">
      <c r="A7" s="11">
        <v>2</v>
      </c>
      <c r="B7" s="11" t="s">
        <v>152</v>
      </c>
      <c r="C7" s="11"/>
      <c r="D7" s="12" t="s">
        <v>14</v>
      </c>
      <c r="E7" s="12">
        <v>3</v>
      </c>
      <c r="F7" s="13">
        <f t="shared" ref="F7:F25" si="2">H7/0.85</f>
        <v>4.11764705882353</v>
      </c>
      <c r="G7" s="14">
        <f t="shared" si="0"/>
        <v>0.85</v>
      </c>
      <c r="H7" s="15">
        <v>3.5</v>
      </c>
      <c r="I7" s="15">
        <f t="shared" si="1"/>
        <v>10.5</v>
      </c>
      <c r="J7" s="11"/>
    </row>
    <row r="8" s="3" customFormat="1" ht="16" customHeight="1" spans="1:10">
      <c r="A8" s="11">
        <v>3</v>
      </c>
      <c r="B8" s="11" t="s">
        <v>15</v>
      </c>
      <c r="C8" s="11"/>
      <c r="D8" s="12" t="s">
        <v>14</v>
      </c>
      <c r="E8" s="12">
        <v>4</v>
      </c>
      <c r="F8" s="13">
        <f t="shared" si="2"/>
        <v>4.11764705882353</v>
      </c>
      <c r="G8" s="14">
        <f t="shared" si="0"/>
        <v>0.85</v>
      </c>
      <c r="H8" s="15">
        <v>3.5</v>
      </c>
      <c r="I8" s="15">
        <f t="shared" si="1"/>
        <v>14</v>
      </c>
      <c r="J8" s="11"/>
    </row>
    <row r="9" s="3" customFormat="1" ht="16" customHeight="1" spans="1:10">
      <c r="A9" s="11">
        <v>4</v>
      </c>
      <c r="B9" s="16" t="s">
        <v>153</v>
      </c>
      <c r="C9" s="16"/>
      <c r="D9" s="12" t="s">
        <v>14</v>
      </c>
      <c r="E9" s="12">
        <v>4</v>
      </c>
      <c r="F9" s="13">
        <f t="shared" si="2"/>
        <v>9.17647058823529</v>
      </c>
      <c r="G9" s="14">
        <f t="shared" si="0"/>
        <v>0.85</v>
      </c>
      <c r="H9" s="15">
        <v>7.8</v>
      </c>
      <c r="I9" s="15">
        <f t="shared" si="1"/>
        <v>31.2</v>
      </c>
      <c r="J9" s="11"/>
    </row>
    <row r="10" s="3" customFormat="1" ht="16" customHeight="1" spans="1:10">
      <c r="A10" s="11">
        <v>5</v>
      </c>
      <c r="B10" s="16" t="s">
        <v>17</v>
      </c>
      <c r="C10" s="16"/>
      <c r="D10" s="12" t="s">
        <v>14</v>
      </c>
      <c r="E10" s="12">
        <v>8</v>
      </c>
      <c r="F10" s="13">
        <f t="shared" si="2"/>
        <v>2.35294117647059</v>
      </c>
      <c r="G10" s="14">
        <f t="shared" si="0"/>
        <v>0.85</v>
      </c>
      <c r="H10" s="15">
        <v>2</v>
      </c>
      <c r="I10" s="15">
        <f t="shared" si="1"/>
        <v>16</v>
      </c>
      <c r="J10" s="11"/>
    </row>
    <row r="11" s="3" customFormat="1" ht="16" customHeight="1" spans="1:10">
      <c r="A11" s="11">
        <v>6</v>
      </c>
      <c r="B11" s="11" t="s">
        <v>49</v>
      </c>
      <c r="C11" s="11"/>
      <c r="D11" s="12" t="s">
        <v>14</v>
      </c>
      <c r="E11" s="12">
        <v>3</v>
      </c>
      <c r="F11" s="13">
        <f t="shared" si="2"/>
        <v>9.17647058823529</v>
      </c>
      <c r="G11" s="14">
        <f t="shared" si="0"/>
        <v>0.85</v>
      </c>
      <c r="H11" s="15">
        <v>7.8</v>
      </c>
      <c r="I11" s="15">
        <f t="shared" si="1"/>
        <v>23.4</v>
      </c>
      <c r="J11" s="11"/>
    </row>
    <row r="12" s="3" customFormat="1" ht="16" customHeight="1" spans="1:10">
      <c r="A12" s="11">
        <v>7</v>
      </c>
      <c r="B12" s="11" t="s">
        <v>109</v>
      </c>
      <c r="C12" s="11"/>
      <c r="D12" s="12" t="s">
        <v>14</v>
      </c>
      <c r="E12" s="12">
        <v>8</v>
      </c>
      <c r="F12" s="13">
        <f t="shared" si="2"/>
        <v>11.5294117647059</v>
      </c>
      <c r="G12" s="14">
        <f t="shared" si="0"/>
        <v>0.85</v>
      </c>
      <c r="H12" s="15">
        <v>9.8</v>
      </c>
      <c r="I12" s="15">
        <f t="shared" si="1"/>
        <v>78.4</v>
      </c>
      <c r="J12" s="11"/>
    </row>
    <row r="13" s="3" customFormat="1" ht="16" customHeight="1" spans="1:10">
      <c r="A13" s="11">
        <v>8</v>
      </c>
      <c r="B13" s="11" t="s">
        <v>50</v>
      </c>
      <c r="C13" s="11"/>
      <c r="D13" s="12" t="s">
        <v>14</v>
      </c>
      <c r="E13" s="12">
        <v>3</v>
      </c>
      <c r="F13" s="13">
        <f t="shared" si="2"/>
        <v>5.29411764705882</v>
      </c>
      <c r="G13" s="14">
        <f t="shared" si="0"/>
        <v>0.85</v>
      </c>
      <c r="H13" s="15">
        <v>4.5</v>
      </c>
      <c r="I13" s="15">
        <f t="shared" si="1"/>
        <v>13.5</v>
      </c>
      <c r="J13" s="11"/>
    </row>
    <row r="14" s="3" customFormat="1" ht="16" customHeight="1" spans="1:10">
      <c r="A14" s="11">
        <v>9</v>
      </c>
      <c r="B14" s="16" t="s">
        <v>125</v>
      </c>
      <c r="C14" s="16"/>
      <c r="D14" s="17" t="s">
        <v>14</v>
      </c>
      <c r="E14" s="17">
        <v>10</v>
      </c>
      <c r="F14" s="13">
        <f t="shared" si="2"/>
        <v>11.5294117647059</v>
      </c>
      <c r="G14" s="14">
        <f t="shared" si="0"/>
        <v>0.85</v>
      </c>
      <c r="H14" s="18">
        <v>9.8</v>
      </c>
      <c r="I14" s="15">
        <f t="shared" si="1"/>
        <v>98</v>
      </c>
      <c r="J14" s="16"/>
    </row>
    <row r="15" s="3" customFormat="1" ht="16" customHeight="1" spans="1:10">
      <c r="A15" s="11">
        <v>10</v>
      </c>
      <c r="B15" s="16" t="s">
        <v>24</v>
      </c>
      <c r="C15" s="16"/>
      <c r="D15" s="17" t="s">
        <v>14</v>
      </c>
      <c r="E15" s="17">
        <v>14</v>
      </c>
      <c r="F15" s="13">
        <f t="shared" si="2"/>
        <v>6.47058823529412</v>
      </c>
      <c r="G15" s="14">
        <f t="shared" si="0"/>
        <v>0.85</v>
      </c>
      <c r="H15" s="18">
        <v>5.5</v>
      </c>
      <c r="I15" s="15">
        <f t="shared" si="1"/>
        <v>77</v>
      </c>
      <c r="J15" s="16"/>
    </row>
    <row r="16" s="3" customFormat="1" ht="16" customHeight="1" spans="1:10">
      <c r="A16" s="11">
        <v>11</v>
      </c>
      <c r="B16" s="16" t="s">
        <v>25</v>
      </c>
      <c r="C16" s="16"/>
      <c r="D16" s="17" t="s">
        <v>14</v>
      </c>
      <c r="E16" s="17">
        <v>2</v>
      </c>
      <c r="F16" s="13">
        <f t="shared" si="2"/>
        <v>6.47058823529412</v>
      </c>
      <c r="G16" s="14">
        <f t="shared" si="0"/>
        <v>0.85</v>
      </c>
      <c r="H16" s="18">
        <v>5.5</v>
      </c>
      <c r="I16" s="15">
        <f t="shared" si="1"/>
        <v>11</v>
      </c>
      <c r="J16" s="16"/>
    </row>
    <row r="17" s="3" customFormat="1" ht="16" customHeight="1" spans="1:10">
      <c r="A17" s="11">
        <v>12</v>
      </c>
      <c r="B17" s="16" t="s">
        <v>105</v>
      </c>
      <c r="C17" s="16"/>
      <c r="D17" s="17" t="s">
        <v>14</v>
      </c>
      <c r="E17" s="17">
        <v>5</v>
      </c>
      <c r="F17" s="13">
        <f t="shared" si="2"/>
        <v>16.2352941176471</v>
      </c>
      <c r="G17" s="14">
        <f t="shared" si="0"/>
        <v>0.85</v>
      </c>
      <c r="H17" s="18">
        <v>13.8</v>
      </c>
      <c r="I17" s="15">
        <f t="shared" si="1"/>
        <v>69</v>
      </c>
      <c r="J17" s="16"/>
    </row>
    <row r="18" s="3" customFormat="1" ht="16" customHeight="1" spans="1:10">
      <c r="A18" s="11">
        <v>13</v>
      </c>
      <c r="B18" s="16" t="s">
        <v>98</v>
      </c>
      <c r="C18" s="16"/>
      <c r="D18" s="17" t="s">
        <v>14</v>
      </c>
      <c r="E18" s="17">
        <v>12</v>
      </c>
      <c r="F18" s="13">
        <f t="shared" si="2"/>
        <v>22.3529411764706</v>
      </c>
      <c r="G18" s="14">
        <f t="shared" si="0"/>
        <v>0.85</v>
      </c>
      <c r="H18" s="18">
        <v>19</v>
      </c>
      <c r="I18" s="15">
        <f t="shared" si="1"/>
        <v>228</v>
      </c>
      <c r="J18" s="16"/>
    </row>
    <row r="19" s="3" customFormat="1" ht="16" customHeight="1" spans="1:10">
      <c r="A19" s="11">
        <v>14</v>
      </c>
      <c r="B19" s="11" t="s">
        <v>30</v>
      </c>
      <c r="C19" s="11"/>
      <c r="D19" s="12" t="s">
        <v>14</v>
      </c>
      <c r="E19" s="12">
        <v>6</v>
      </c>
      <c r="F19" s="13">
        <f t="shared" si="2"/>
        <v>16.4705882352941</v>
      </c>
      <c r="G19" s="14">
        <f t="shared" si="0"/>
        <v>0.85</v>
      </c>
      <c r="H19" s="15">
        <v>14</v>
      </c>
      <c r="I19" s="15">
        <f t="shared" si="1"/>
        <v>84</v>
      </c>
      <c r="J19" s="11"/>
    </row>
    <row r="20" s="3" customFormat="1" ht="16" customHeight="1" spans="1:10">
      <c r="A20" s="11">
        <v>15</v>
      </c>
      <c r="B20" s="16" t="s">
        <v>154</v>
      </c>
      <c r="C20" s="16"/>
      <c r="D20" s="17" t="s">
        <v>14</v>
      </c>
      <c r="E20" s="17">
        <v>57</v>
      </c>
      <c r="F20" s="13">
        <f t="shared" si="2"/>
        <v>4.11764705882353</v>
      </c>
      <c r="G20" s="14">
        <f t="shared" si="0"/>
        <v>0.85</v>
      </c>
      <c r="H20" s="15">
        <v>3.5</v>
      </c>
      <c r="I20" s="15">
        <f t="shared" si="1"/>
        <v>199.5</v>
      </c>
      <c r="J20" s="16"/>
    </row>
    <row r="21" s="3" customFormat="1" ht="16" customHeight="1" spans="1:10">
      <c r="A21" s="11">
        <v>16</v>
      </c>
      <c r="B21" s="16"/>
      <c r="C21" s="16"/>
      <c r="D21" s="17"/>
      <c r="E21" s="17"/>
      <c r="F21" s="13"/>
      <c r="G21" s="14"/>
      <c r="H21" s="18"/>
      <c r="I21" s="15"/>
      <c r="J21" s="16"/>
    </row>
    <row r="22" s="3" customFormat="1" ht="16" customHeight="1" spans="1:10">
      <c r="A22" s="11">
        <v>17</v>
      </c>
      <c r="B22" s="16"/>
      <c r="C22" s="16"/>
      <c r="D22" s="17"/>
      <c r="E22" s="17"/>
      <c r="F22" s="13"/>
      <c r="G22" s="14"/>
      <c r="H22" s="18"/>
      <c r="I22" s="15"/>
      <c r="J22" s="16"/>
    </row>
    <row r="23" s="3" customFormat="1" ht="16" customHeight="1" spans="1:10">
      <c r="A23" s="11">
        <v>18</v>
      </c>
      <c r="B23" s="16"/>
      <c r="C23" s="16"/>
      <c r="D23" s="16"/>
      <c r="E23" s="17"/>
      <c r="F23" s="13"/>
      <c r="G23" s="14"/>
      <c r="H23" s="18"/>
      <c r="I23" s="15"/>
      <c r="J23" s="16"/>
    </row>
    <row r="24" s="3" customFormat="1" ht="16" customHeight="1" spans="1:10">
      <c r="A24" s="11">
        <v>19</v>
      </c>
      <c r="B24" s="16"/>
      <c r="C24" s="16"/>
      <c r="D24" s="17"/>
      <c r="E24" s="17"/>
      <c r="F24" s="13"/>
      <c r="G24" s="14"/>
      <c r="H24" s="18"/>
      <c r="I24" s="15"/>
      <c r="J24" s="16"/>
    </row>
    <row r="25" s="3" customFormat="1" ht="16" customHeight="1" spans="1:10">
      <c r="A25" s="11">
        <v>20</v>
      </c>
      <c r="B25" s="16"/>
      <c r="C25" s="16"/>
      <c r="D25" s="17"/>
      <c r="E25" s="17"/>
      <c r="F25" s="13"/>
      <c r="G25" s="14"/>
      <c r="H25" s="18"/>
      <c r="I25" s="15"/>
      <c r="J25" s="16"/>
    </row>
    <row r="26" s="3" customFormat="1" ht="16" customHeight="1" spans="1:10">
      <c r="A26" s="11">
        <v>21</v>
      </c>
      <c r="B26" s="11"/>
      <c r="C26" s="11"/>
      <c r="D26" s="12"/>
      <c r="E26" s="12"/>
      <c r="F26" s="13"/>
      <c r="G26" s="14"/>
      <c r="H26" s="18"/>
      <c r="I26" s="15"/>
      <c r="J26" s="11"/>
    </row>
    <row r="27" s="3" customFormat="1" ht="16" customHeight="1" spans="1:10">
      <c r="A27" s="11">
        <v>22</v>
      </c>
      <c r="B27" s="16"/>
      <c r="C27" s="16"/>
      <c r="D27" s="12"/>
      <c r="E27" s="12"/>
      <c r="F27" s="13"/>
      <c r="G27" s="14"/>
      <c r="H27" s="18"/>
      <c r="I27" s="15"/>
      <c r="J27" s="11"/>
    </row>
    <row r="28" s="3" customFormat="1" ht="16" customHeight="1" spans="1:10">
      <c r="A28" s="11">
        <v>23</v>
      </c>
      <c r="B28" s="16"/>
      <c r="C28" s="16"/>
      <c r="D28" s="16"/>
      <c r="E28" s="17"/>
      <c r="F28" s="13"/>
      <c r="G28" s="14"/>
      <c r="H28" s="18"/>
      <c r="I28" s="15"/>
      <c r="J28" s="16"/>
    </row>
    <row r="29" s="3" customFormat="1" ht="16" customHeight="1" spans="1:10">
      <c r="A29" s="11">
        <v>24</v>
      </c>
      <c r="B29" s="11"/>
      <c r="C29" s="11"/>
      <c r="D29" s="16"/>
      <c r="E29" s="12"/>
      <c r="F29" s="13"/>
      <c r="G29" s="14"/>
      <c r="H29" s="18"/>
      <c r="I29" s="15"/>
      <c r="J29" s="11"/>
    </row>
    <row r="30" s="3" customFormat="1" ht="16" customHeight="1" spans="1:10">
      <c r="A30" s="11">
        <v>25</v>
      </c>
      <c r="B30" s="11"/>
      <c r="C30" s="11"/>
      <c r="D30" s="16"/>
      <c r="E30" s="12"/>
      <c r="F30" s="13"/>
      <c r="G30" s="14"/>
      <c r="H30" s="18"/>
      <c r="I30" s="15"/>
      <c r="J30" s="11"/>
    </row>
    <row r="31" s="3" customFormat="1" ht="16" customHeight="1" spans="1:10">
      <c r="A31" s="11">
        <v>26</v>
      </c>
      <c r="B31" s="11"/>
      <c r="C31" s="11"/>
      <c r="D31" s="11"/>
      <c r="E31" s="12"/>
      <c r="F31" s="13"/>
      <c r="G31" s="14"/>
      <c r="H31" s="18"/>
      <c r="I31" s="15"/>
      <c r="J31" s="11"/>
    </row>
    <row r="32" s="3" customFormat="1" ht="16" customHeight="1" spans="1:10">
      <c r="A32" s="11">
        <v>27</v>
      </c>
      <c r="B32" s="11"/>
      <c r="C32" s="11"/>
      <c r="D32" s="11"/>
      <c r="E32" s="12"/>
      <c r="F32" s="13"/>
      <c r="G32" s="14"/>
      <c r="H32" s="18"/>
      <c r="I32" s="15"/>
      <c r="J32" s="11"/>
    </row>
    <row r="33" s="3" customFormat="1" ht="16" customHeight="1" spans="1:10">
      <c r="A33" s="11">
        <v>28</v>
      </c>
      <c r="B33" s="11"/>
      <c r="C33" s="11"/>
      <c r="D33" s="11"/>
      <c r="E33" s="12"/>
      <c r="F33" s="13"/>
      <c r="G33" s="14"/>
      <c r="H33" s="18"/>
      <c r="I33" s="15"/>
      <c r="J33" s="11"/>
    </row>
    <row r="34" s="3" customFormat="1" customHeight="1" spans="1:10">
      <c r="A34" s="11" t="s">
        <v>90</v>
      </c>
      <c r="B34" s="19">
        <f>SUM(I6:I33)</f>
        <v>965.5</v>
      </c>
      <c r="C34" s="20"/>
      <c r="D34" s="20"/>
      <c r="E34" s="21"/>
      <c r="F34" s="20"/>
      <c r="G34" s="20"/>
      <c r="H34" s="20"/>
      <c r="I34" s="20"/>
      <c r="J34" s="24"/>
    </row>
    <row r="35" s="3" customFormat="1" customHeight="1" spans="1:10">
      <c r="A35" s="11" t="s">
        <v>43</v>
      </c>
      <c r="B35" s="22">
        <f>B34</f>
        <v>965.5</v>
      </c>
      <c r="C35" s="23"/>
      <c r="D35" s="23"/>
      <c r="E35" s="21"/>
      <c r="F35" s="23"/>
      <c r="G35" s="23"/>
      <c r="H35" s="23"/>
      <c r="I35" s="23"/>
      <c r="J35" s="25"/>
    </row>
    <row r="36" s="3" customFormat="1" customHeight="1" spans="1:5">
      <c r="A36" s="3" t="s">
        <v>44</v>
      </c>
      <c r="E36" s="4"/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1"/>
  </conditionalFormatting>
  <conditionalFormatting sqref="B6:C26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14" workbookViewId="0">
      <selection activeCell="I14" sqref="I$1:I$104857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3" width="11.6666666666667" style="3" customWidth="1"/>
    <col min="16314" max="16314" width="11.6666666666667" style="3"/>
    <col min="16315" max="16320" width="11" style="3"/>
    <col min="16321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69</v>
      </c>
      <c r="B3" s="3" t="s">
        <v>70</v>
      </c>
      <c r="E3" s="4"/>
    </row>
    <row r="4" s="3" customFormat="1" customHeight="1" spans="1:10">
      <c r="A4" s="3" t="s">
        <v>71</v>
      </c>
      <c r="B4" s="8">
        <v>45152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4</v>
      </c>
      <c r="F6" s="13">
        <f t="shared" ref="F6:F16" si="0">H6/0.85</f>
        <v>3.52941176470588</v>
      </c>
      <c r="G6" s="14">
        <f t="shared" ref="G6:G16" si="1">H6/F6</f>
        <v>0.85</v>
      </c>
      <c r="H6" s="15">
        <v>3</v>
      </c>
      <c r="I6" s="15">
        <f t="shared" ref="I6:I16" si="2">E6*H6</f>
        <v>12</v>
      </c>
      <c r="J6" s="11"/>
    </row>
    <row r="7" s="3" customFormat="1" ht="16" customHeight="1" spans="1:10">
      <c r="A7" s="11">
        <v>2</v>
      </c>
      <c r="B7" s="11" t="s">
        <v>46</v>
      </c>
      <c r="C7" s="11" t="s">
        <v>47</v>
      </c>
      <c r="D7" s="12" t="s">
        <v>14</v>
      </c>
      <c r="E7" s="12">
        <v>5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17.5</v>
      </c>
      <c r="J7" s="11"/>
    </row>
    <row r="8" s="3" customFormat="1" ht="16" customHeight="1" spans="1:10">
      <c r="A8" s="11">
        <v>3</v>
      </c>
      <c r="B8" s="11" t="s">
        <v>15</v>
      </c>
      <c r="C8" s="11"/>
      <c r="D8" s="12" t="s">
        <v>14</v>
      </c>
      <c r="E8" s="12">
        <v>4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14</v>
      </c>
      <c r="J8" s="11"/>
    </row>
    <row r="9" s="3" customFormat="1" ht="16" customHeight="1" spans="1:10">
      <c r="A9" s="11">
        <v>4</v>
      </c>
      <c r="B9" s="16" t="s">
        <v>103</v>
      </c>
      <c r="C9" s="16"/>
      <c r="D9" s="12" t="s">
        <v>14</v>
      </c>
      <c r="E9" s="12">
        <v>1</v>
      </c>
      <c r="F9" s="13">
        <f t="shared" si="0"/>
        <v>8</v>
      </c>
      <c r="G9" s="14">
        <f t="shared" si="1"/>
        <v>0.85</v>
      </c>
      <c r="H9" s="15">
        <v>6.8</v>
      </c>
      <c r="I9" s="15">
        <f t="shared" si="2"/>
        <v>6.8</v>
      </c>
      <c r="J9" s="11"/>
    </row>
    <row r="10" s="3" customFormat="1" ht="16" customHeight="1" spans="1:10">
      <c r="A10" s="11">
        <v>5</v>
      </c>
      <c r="B10" s="11" t="s">
        <v>155</v>
      </c>
      <c r="C10" s="11"/>
      <c r="D10" s="12" t="s">
        <v>14</v>
      </c>
      <c r="E10" s="12">
        <v>3</v>
      </c>
      <c r="F10" s="13">
        <f t="shared" si="0"/>
        <v>23.5294117647059</v>
      </c>
      <c r="G10" s="14">
        <f t="shared" si="1"/>
        <v>0.85</v>
      </c>
      <c r="H10" s="15">
        <v>20</v>
      </c>
      <c r="I10" s="15">
        <f t="shared" si="2"/>
        <v>60</v>
      </c>
      <c r="J10" s="11"/>
    </row>
    <row r="11" s="3" customFormat="1" ht="16" customHeight="1" spans="1:10">
      <c r="A11" s="11">
        <v>6</v>
      </c>
      <c r="B11" s="11" t="s">
        <v>156</v>
      </c>
      <c r="C11" s="11"/>
      <c r="D11" s="12" t="s">
        <v>14</v>
      </c>
      <c r="E11" s="12">
        <v>3</v>
      </c>
      <c r="F11" s="13">
        <f t="shared" si="0"/>
        <v>41.1764705882353</v>
      </c>
      <c r="G11" s="14">
        <f t="shared" si="1"/>
        <v>0.85</v>
      </c>
      <c r="H11" s="15">
        <v>35</v>
      </c>
      <c r="I11" s="15">
        <f t="shared" si="2"/>
        <v>105</v>
      </c>
      <c r="J11" s="11"/>
    </row>
    <row r="12" s="3" customFormat="1" ht="16" customHeight="1" spans="1:10">
      <c r="A12" s="11">
        <v>7</v>
      </c>
      <c r="B12" s="16" t="s">
        <v>157</v>
      </c>
      <c r="C12" s="16"/>
      <c r="D12" s="17" t="s">
        <v>14</v>
      </c>
      <c r="E12" s="17">
        <v>9</v>
      </c>
      <c r="F12" s="13">
        <f t="shared" si="0"/>
        <v>14.1176470588235</v>
      </c>
      <c r="G12" s="14">
        <f t="shared" si="1"/>
        <v>0.85</v>
      </c>
      <c r="H12" s="18">
        <v>12</v>
      </c>
      <c r="I12" s="15">
        <f t="shared" si="2"/>
        <v>108</v>
      </c>
      <c r="J12" s="16"/>
    </row>
    <row r="13" s="3" customFormat="1" ht="16" customHeight="1" spans="1:10">
      <c r="A13" s="11">
        <v>8</v>
      </c>
      <c r="B13" s="16" t="s">
        <v>18</v>
      </c>
      <c r="C13" s="16"/>
      <c r="D13" s="17" t="s">
        <v>14</v>
      </c>
      <c r="E13" s="17">
        <v>5</v>
      </c>
      <c r="F13" s="13">
        <f t="shared" si="0"/>
        <v>4.11764705882353</v>
      </c>
      <c r="G13" s="14">
        <f t="shared" si="1"/>
        <v>0.85</v>
      </c>
      <c r="H13" s="18">
        <v>3.5</v>
      </c>
      <c r="I13" s="15">
        <f t="shared" si="2"/>
        <v>17.5</v>
      </c>
      <c r="J13" s="16"/>
    </row>
    <row r="14" s="3" customFormat="1" ht="16" customHeight="1" spans="1:10">
      <c r="A14" s="11">
        <v>9</v>
      </c>
      <c r="B14" s="16" t="s">
        <v>158</v>
      </c>
      <c r="C14" s="16"/>
      <c r="D14" s="17" t="s">
        <v>14</v>
      </c>
      <c r="E14" s="17">
        <v>10.5</v>
      </c>
      <c r="F14" s="13">
        <f t="shared" si="0"/>
        <v>8</v>
      </c>
      <c r="G14" s="14">
        <f t="shared" si="1"/>
        <v>0.85</v>
      </c>
      <c r="H14" s="18">
        <v>6.8</v>
      </c>
      <c r="I14" s="15">
        <f t="shared" si="2"/>
        <v>71.4</v>
      </c>
      <c r="J14" s="16"/>
    </row>
    <row r="15" s="3" customFormat="1" ht="16" customHeight="1" spans="1:10">
      <c r="A15" s="11">
        <v>10</v>
      </c>
      <c r="B15" s="16" t="s">
        <v>49</v>
      </c>
      <c r="C15" s="16"/>
      <c r="D15" s="17" t="s">
        <v>14</v>
      </c>
      <c r="E15" s="17">
        <v>4</v>
      </c>
      <c r="F15" s="13">
        <f t="shared" si="0"/>
        <v>9.17647058823529</v>
      </c>
      <c r="G15" s="14">
        <f t="shared" si="1"/>
        <v>0.85</v>
      </c>
      <c r="H15" s="18">
        <v>7.8</v>
      </c>
      <c r="I15" s="15">
        <f t="shared" si="2"/>
        <v>31.2</v>
      </c>
      <c r="J15" s="16"/>
    </row>
    <row r="16" s="3" customFormat="1" ht="16" customHeight="1" spans="1:10">
      <c r="A16" s="11">
        <v>11</v>
      </c>
      <c r="B16" s="16" t="s">
        <v>19</v>
      </c>
      <c r="C16" s="16"/>
      <c r="D16" s="17" t="s">
        <v>14</v>
      </c>
      <c r="E16" s="17">
        <v>5</v>
      </c>
      <c r="F16" s="13">
        <f t="shared" si="0"/>
        <v>2.94117647058824</v>
      </c>
      <c r="G16" s="14">
        <f t="shared" si="1"/>
        <v>0.85</v>
      </c>
      <c r="H16" s="18">
        <v>2.5</v>
      </c>
      <c r="I16" s="15">
        <f t="shared" si="2"/>
        <v>12.5</v>
      </c>
      <c r="J16" s="16"/>
    </row>
    <row r="17" s="3" customFormat="1" ht="16" customHeight="1" spans="1:10">
      <c r="A17" s="11">
        <v>12</v>
      </c>
      <c r="B17" s="16" t="s">
        <v>50</v>
      </c>
      <c r="C17" s="16"/>
      <c r="D17" s="17" t="s">
        <v>14</v>
      </c>
      <c r="E17" s="17">
        <v>4</v>
      </c>
      <c r="F17" s="13">
        <f t="shared" ref="F17:F27" si="3">H17/0.85</f>
        <v>5.29411764705882</v>
      </c>
      <c r="G17" s="14">
        <f t="shared" ref="G17:G27" si="4">H17/F17</f>
        <v>0.85</v>
      </c>
      <c r="H17" s="18">
        <v>4.5</v>
      </c>
      <c r="I17" s="15">
        <f t="shared" ref="I17:I27" si="5">E17*H17</f>
        <v>18</v>
      </c>
      <c r="J17" s="16"/>
    </row>
    <row r="18" s="3" customFormat="1" ht="16" customHeight="1" spans="1:10">
      <c r="A18" s="11">
        <v>13</v>
      </c>
      <c r="B18" s="11" t="s">
        <v>51</v>
      </c>
      <c r="C18" s="11"/>
      <c r="D18" s="12" t="s">
        <v>14</v>
      </c>
      <c r="E18" s="12">
        <v>4</v>
      </c>
      <c r="F18" s="13">
        <f t="shared" si="3"/>
        <v>4.47058823529412</v>
      </c>
      <c r="G18" s="14">
        <f t="shared" si="4"/>
        <v>0.85</v>
      </c>
      <c r="H18" s="18">
        <v>3.8</v>
      </c>
      <c r="I18" s="15">
        <f t="shared" si="5"/>
        <v>15.2</v>
      </c>
      <c r="J18" s="11"/>
    </row>
    <row r="19" s="3" customFormat="1" ht="16" customHeight="1" spans="1:10">
      <c r="A19" s="11">
        <v>14</v>
      </c>
      <c r="B19" s="16" t="s">
        <v>25</v>
      </c>
      <c r="C19" s="16"/>
      <c r="D19" s="16" t="s">
        <v>14</v>
      </c>
      <c r="E19" s="17">
        <v>3</v>
      </c>
      <c r="F19" s="13">
        <f t="shared" si="3"/>
        <v>6.47058823529412</v>
      </c>
      <c r="G19" s="14">
        <f t="shared" si="4"/>
        <v>0.85</v>
      </c>
      <c r="H19" s="18">
        <v>5.5</v>
      </c>
      <c r="I19" s="15">
        <f t="shared" si="5"/>
        <v>16.5</v>
      </c>
      <c r="J19" s="16"/>
    </row>
    <row r="20" s="3" customFormat="1" ht="16" customHeight="1" spans="1:10">
      <c r="A20" s="11">
        <v>15</v>
      </c>
      <c r="B20" s="11" t="s">
        <v>159</v>
      </c>
      <c r="C20" s="11"/>
      <c r="D20" s="16" t="s">
        <v>14</v>
      </c>
      <c r="E20" s="12">
        <v>13</v>
      </c>
      <c r="F20" s="13">
        <f t="shared" si="3"/>
        <v>4.11764705882353</v>
      </c>
      <c r="G20" s="14">
        <f t="shared" si="4"/>
        <v>0.85</v>
      </c>
      <c r="H20" s="18">
        <v>3.5</v>
      </c>
      <c r="I20" s="15">
        <f t="shared" si="5"/>
        <v>45.5</v>
      </c>
      <c r="J20" s="11"/>
    </row>
    <row r="21" s="3" customFormat="1" ht="16" customHeight="1" spans="1:10">
      <c r="A21" s="11">
        <v>16</v>
      </c>
      <c r="B21" s="11" t="s">
        <v>55</v>
      </c>
      <c r="C21" s="11"/>
      <c r="D21" s="11" t="s">
        <v>14</v>
      </c>
      <c r="E21" s="12">
        <v>40</v>
      </c>
      <c r="F21" s="13">
        <f t="shared" si="3"/>
        <v>4.11764705882353</v>
      </c>
      <c r="G21" s="14">
        <f t="shared" si="4"/>
        <v>0.85</v>
      </c>
      <c r="H21" s="18">
        <v>3.5</v>
      </c>
      <c r="I21" s="15">
        <f t="shared" si="5"/>
        <v>140</v>
      </c>
      <c r="J21" s="11"/>
    </row>
    <row r="22" s="3" customFormat="1" ht="16" customHeight="1" spans="1:10">
      <c r="A22" s="11">
        <v>17</v>
      </c>
      <c r="B22" s="11" t="s">
        <v>29</v>
      </c>
      <c r="C22" s="11"/>
      <c r="D22" s="11" t="s">
        <v>14</v>
      </c>
      <c r="E22" s="12">
        <v>6</v>
      </c>
      <c r="F22" s="13">
        <f t="shared" si="3"/>
        <v>19.7647058823529</v>
      </c>
      <c r="G22" s="14">
        <f t="shared" si="4"/>
        <v>0.85</v>
      </c>
      <c r="H22" s="18">
        <v>16.8</v>
      </c>
      <c r="I22" s="15">
        <f t="shared" si="5"/>
        <v>100.8</v>
      </c>
      <c r="J22" s="11"/>
    </row>
    <row r="23" s="3" customFormat="1" ht="16" customHeight="1" spans="1:10">
      <c r="A23" s="11">
        <v>18</v>
      </c>
      <c r="B23" s="11" t="s">
        <v>60</v>
      </c>
      <c r="C23" s="11" t="s">
        <v>61</v>
      </c>
      <c r="D23" s="11" t="s">
        <v>37</v>
      </c>
      <c r="E23" s="12">
        <v>4</v>
      </c>
      <c r="F23" s="13">
        <f t="shared" si="3"/>
        <v>14.1176470588235</v>
      </c>
      <c r="G23" s="14">
        <f t="shared" si="4"/>
        <v>0.85</v>
      </c>
      <c r="H23" s="18">
        <v>12</v>
      </c>
      <c r="I23" s="15">
        <f t="shared" si="5"/>
        <v>48</v>
      </c>
      <c r="J23" s="11"/>
    </row>
    <row r="24" s="3" customFormat="1" customHeight="1" spans="1:10">
      <c r="A24" s="11">
        <v>19</v>
      </c>
      <c r="B24" s="13" t="s">
        <v>160</v>
      </c>
      <c r="C24" s="13" t="s">
        <v>161</v>
      </c>
      <c r="D24" s="13" t="s">
        <v>37</v>
      </c>
      <c r="E24" s="12">
        <v>1</v>
      </c>
      <c r="F24" s="13">
        <f t="shared" si="3"/>
        <v>29.4117647058824</v>
      </c>
      <c r="G24" s="14">
        <f t="shared" si="4"/>
        <v>0.85</v>
      </c>
      <c r="H24" s="18">
        <v>25</v>
      </c>
      <c r="I24" s="15">
        <f t="shared" si="5"/>
        <v>25</v>
      </c>
      <c r="J24" s="13"/>
    </row>
    <row r="25" s="3" customFormat="1" customHeight="1" spans="1:10">
      <c r="A25" s="11">
        <v>20</v>
      </c>
      <c r="B25" s="13" t="s">
        <v>162</v>
      </c>
      <c r="C25" s="13"/>
      <c r="D25" s="13" t="s">
        <v>14</v>
      </c>
      <c r="E25" s="12">
        <v>5</v>
      </c>
      <c r="F25" s="13">
        <f t="shared" si="3"/>
        <v>103.529411764706</v>
      </c>
      <c r="G25" s="14">
        <f t="shared" si="4"/>
        <v>0.85</v>
      </c>
      <c r="H25" s="18">
        <v>88</v>
      </c>
      <c r="I25" s="15">
        <f t="shared" si="5"/>
        <v>440</v>
      </c>
      <c r="J25" s="13"/>
    </row>
    <row r="26" s="3" customFormat="1" customHeight="1" spans="1:10">
      <c r="A26" s="11">
        <v>21</v>
      </c>
      <c r="B26" s="13" t="s">
        <v>163</v>
      </c>
      <c r="C26" s="13" t="s">
        <v>36</v>
      </c>
      <c r="D26" s="13" t="s">
        <v>37</v>
      </c>
      <c r="E26" s="12">
        <v>1</v>
      </c>
      <c r="F26" s="13">
        <f t="shared" si="3"/>
        <v>174.117647058824</v>
      </c>
      <c r="G26" s="14">
        <f t="shared" si="4"/>
        <v>0.85</v>
      </c>
      <c r="H26" s="18">
        <v>148</v>
      </c>
      <c r="I26" s="15">
        <f t="shared" si="5"/>
        <v>148</v>
      </c>
      <c r="J26" s="13"/>
    </row>
    <row r="27" s="3" customFormat="1" customHeight="1" spans="1:10">
      <c r="A27" s="11">
        <v>22</v>
      </c>
      <c r="B27" s="13" t="s">
        <v>164</v>
      </c>
      <c r="C27" s="13" t="s">
        <v>165</v>
      </c>
      <c r="D27" s="13" t="s">
        <v>40</v>
      </c>
      <c r="E27" s="12">
        <v>60</v>
      </c>
      <c r="F27" s="13">
        <f t="shared" si="3"/>
        <v>4.11764705882353</v>
      </c>
      <c r="G27" s="14">
        <f t="shared" si="4"/>
        <v>0.85</v>
      </c>
      <c r="H27" s="18">
        <v>3.5</v>
      </c>
      <c r="I27" s="15">
        <f t="shared" si="5"/>
        <v>210</v>
      </c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 t="s">
        <v>90</v>
      </c>
      <c r="B33" s="19">
        <f>SUM(I6:I32)</f>
        <v>1662.9</v>
      </c>
      <c r="C33" s="20"/>
      <c r="D33" s="20"/>
      <c r="E33" s="21"/>
      <c r="F33" s="20"/>
      <c r="G33" s="20"/>
      <c r="H33" s="20"/>
      <c r="I33" s="20"/>
      <c r="J33" s="24"/>
    </row>
    <row r="34" s="3" customFormat="1" customHeight="1" spans="1:10">
      <c r="A34" s="11" t="s">
        <v>43</v>
      </c>
      <c r="B34" s="22">
        <f>B33</f>
        <v>1662.9</v>
      </c>
      <c r="C34" s="23"/>
      <c r="D34" s="23"/>
      <c r="E34" s="21"/>
      <c r="F34" s="23"/>
      <c r="G34" s="23"/>
      <c r="H34" s="23"/>
      <c r="I34" s="23"/>
      <c r="J34" s="25"/>
    </row>
    <row r="35" s="3" customFormat="1" customHeight="1" spans="1:5">
      <c r="A35" s="3" t="s">
        <v>44</v>
      </c>
      <c r="E35" s="4"/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2"/>
  </conditionalFormatting>
  <conditionalFormatting sqref="B1:B32 B35:B1048576">
    <cfRule type="duplicateValues" dxfId="0" priority="1"/>
  </conditionalFormatting>
  <conditionalFormatting sqref="B6:C18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5" workbookViewId="0">
      <selection activeCell="I15" sqref="I$1:I$104857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3" width="11.6666666666667" style="3" customWidth="1"/>
    <col min="16314" max="16314" width="11.6666666666667" style="3"/>
    <col min="16315" max="16320" width="11" style="3"/>
    <col min="16321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69</v>
      </c>
      <c r="B3" s="3" t="s">
        <v>70</v>
      </c>
      <c r="E3" s="4"/>
    </row>
    <row r="4" s="3" customFormat="1" customHeight="1" spans="1:10">
      <c r="A4" s="3" t="s">
        <v>71</v>
      </c>
      <c r="B4" s="8">
        <v>45153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4</v>
      </c>
      <c r="F6" s="13">
        <f t="shared" ref="F6:F25" si="0">H6/0.85</f>
        <v>3.52941176470588</v>
      </c>
      <c r="G6" s="14">
        <f t="shared" ref="G6:G25" si="1">H6/F6</f>
        <v>0.85</v>
      </c>
      <c r="H6" s="15">
        <v>3</v>
      </c>
      <c r="I6" s="15">
        <f t="shared" ref="I6:I25" si="2">E6*H6</f>
        <v>12</v>
      </c>
      <c r="J6" s="11"/>
    </row>
    <row r="7" s="3" customFormat="1" ht="16" customHeight="1" spans="1:10">
      <c r="A7" s="11">
        <v>2</v>
      </c>
      <c r="B7" s="11" t="s">
        <v>45</v>
      </c>
      <c r="C7" s="11"/>
      <c r="D7" s="12" t="s">
        <v>14</v>
      </c>
      <c r="E7" s="12">
        <v>2</v>
      </c>
      <c r="F7" s="13">
        <f t="shared" si="0"/>
        <v>4.70588235294118</v>
      </c>
      <c r="G7" s="14">
        <f t="shared" si="1"/>
        <v>0.85</v>
      </c>
      <c r="H7" s="15">
        <v>4</v>
      </c>
      <c r="I7" s="15">
        <f t="shared" si="2"/>
        <v>8</v>
      </c>
      <c r="J7" s="11"/>
    </row>
    <row r="8" s="3" customFormat="1" ht="16" customHeight="1" spans="1:10">
      <c r="A8" s="11">
        <v>3</v>
      </c>
      <c r="B8" s="11" t="s">
        <v>15</v>
      </c>
      <c r="C8" s="11"/>
      <c r="D8" s="12" t="s">
        <v>14</v>
      </c>
      <c r="E8" s="12">
        <v>4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14</v>
      </c>
      <c r="J8" s="11"/>
    </row>
    <row r="9" s="3" customFormat="1" ht="16" customHeight="1" spans="1:10">
      <c r="A9" s="11">
        <v>4</v>
      </c>
      <c r="B9" s="16" t="s">
        <v>113</v>
      </c>
      <c r="C9" s="16"/>
      <c r="D9" s="12" t="s">
        <v>14</v>
      </c>
      <c r="E9" s="12">
        <v>5</v>
      </c>
      <c r="F9" s="13">
        <f t="shared" si="0"/>
        <v>15.0588235294118</v>
      </c>
      <c r="G9" s="14">
        <f t="shared" si="1"/>
        <v>0.85</v>
      </c>
      <c r="H9" s="15">
        <v>12.8</v>
      </c>
      <c r="I9" s="15">
        <f t="shared" si="2"/>
        <v>64</v>
      </c>
      <c r="J9" s="11"/>
    </row>
    <row r="10" s="3" customFormat="1" ht="16" customHeight="1" spans="1:10">
      <c r="A10" s="11">
        <v>5</v>
      </c>
      <c r="B10" s="11" t="s">
        <v>93</v>
      </c>
      <c r="C10" s="11"/>
      <c r="D10" s="12" t="s">
        <v>14</v>
      </c>
      <c r="E10" s="12">
        <v>6</v>
      </c>
      <c r="F10" s="13">
        <f t="shared" si="0"/>
        <v>5.29411764705882</v>
      </c>
      <c r="G10" s="14">
        <f t="shared" si="1"/>
        <v>0.85</v>
      </c>
      <c r="H10" s="15">
        <v>4.5</v>
      </c>
      <c r="I10" s="15">
        <f t="shared" si="2"/>
        <v>27</v>
      </c>
      <c r="J10" s="11"/>
    </row>
    <row r="11" s="3" customFormat="1" ht="16" customHeight="1" spans="1:10">
      <c r="A11" s="11">
        <v>6</v>
      </c>
      <c r="B11" s="11" t="s">
        <v>20</v>
      </c>
      <c r="C11" s="11"/>
      <c r="D11" s="12" t="s">
        <v>21</v>
      </c>
      <c r="E11" s="12">
        <v>7</v>
      </c>
      <c r="F11" s="13">
        <f t="shared" si="0"/>
        <v>3.52941176470588</v>
      </c>
      <c r="G11" s="14">
        <f t="shared" si="1"/>
        <v>0.85</v>
      </c>
      <c r="H11" s="15">
        <v>3</v>
      </c>
      <c r="I11" s="15">
        <f t="shared" si="2"/>
        <v>21</v>
      </c>
      <c r="J11" s="11"/>
    </row>
    <row r="12" s="3" customFormat="1" ht="16" customHeight="1" spans="1:10">
      <c r="A12" s="11">
        <v>7</v>
      </c>
      <c r="B12" s="16" t="s">
        <v>95</v>
      </c>
      <c r="C12" s="16"/>
      <c r="D12" s="17" t="s">
        <v>14</v>
      </c>
      <c r="E12" s="17">
        <v>6</v>
      </c>
      <c r="F12" s="13">
        <f t="shared" si="0"/>
        <v>4.47058823529412</v>
      </c>
      <c r="G12" s="14">
        <f t="shared" si="1"/>
        <v>0.85</v>
      </c>
      <c r="H12" s="18">
        <v>3.8</v>
      </c>
      <c r="I12" s="15">
        <f t="shared" si="2"/>
        <v>22.8</v>
      </c>
      <c r="J12" s="16"/>
    </row>
    <row r="13" s="3" customFormat="1" ht="16" customHeight="1" spans="1:10">
      <c r="A13" s="11">
        <v>8</v>
      </c>
      <c r="B13" s="16" t="s">
        <v>23</v>
      </c>
      <c r="C13" s="16"/>
      <c r="D13" s="17" t="s">
        <v>14</v>
      </c>
      <c r="E13" s="17">
        <v>5</v>
      </c>
      <c r="F13" s="13">
        <f t="shared" si="0"/>
        <v>5.29411764705882</v>
      </c>
      <c r="G13" s="14">
        <f t="shared" si="1"/>
        <v>0.85</v>
      </c>
      <c r="H13" s="18">
        <v>4.5</v>
      </c>
      <c r="I13" s="15">
        <f t="shared" si="2"/>
        <v>22.5</v>
      </c>
      <c r="J13" s="16"/>
    </row>
    <row r="14" s="3" customFormat="1" ht="16" customHeight="1" spans="1:10">
      <c r="A14" s="11">
        <v>9</v>
      </c>
      <c r="B14" s="16" t="s">
        <v>166</v>
      </c>
      <c r="C14" s="16"/>
      <c r="D14" s="17" t="s">
        <v>14</v>
      </c>
      <c r="E14" s="17">
        <v>12</v>
      </c>
      <c r="F14" s="13">
        <f t="shared" si="0"/>
        <v>4.11764705882353</v>
      </c>
      <c r="G14" s="14">
        <f t="shared" si="1"/>
        <v>0.85</v>
      </c>
      <c r="H14" s="18">
        <v>3.5</v>
      </c>
      <c r="I14" s="15">
        <f t="shared" si="2"/>
        <v>42</v>
      </c>
      <c r="J14" s="16"/>
    </row>
    <row r="15" s="3" customFormat="1" ht="16" customHeight="1" spans="1:10">
      <c r="A15" s="11">
        <v>10</v>
      </c>
      <c r="B15" s="16" t="s">
        <v>26</v>
      </c>
      <c r="C15" s="16" t="s">
        <v>27</v>
      </c>
      <c r="D15" s="17" t="s">
        <v>28</v>
      </c>
      <c r="E15" s="17">
        <v>1</v>
      </c>
      <c r="F15" s="13">
        <f t="shared" si="0"/>
        <v>352.941176470588</v>
      </c>
      <c r="G15" s="14">
        <f t="shared" si="1"/>
        <v>0.85</v>
      </c>
      <c r="H15" s="18">
        <v>300</v>
      </c>
      <c r="I15" s="15">
        <f t="shared" si="2"/>
        <v>300</v>
      </c>
      <c r="J15" s="16"/>
    </row>
    <row r="16" s="3" customFormat="1" ht="16" customHeight="1" spans="1:10">
      <c r="A16" s="11">
        <v>11</v>
      </c>
      <c r="B16" s="16" t="s">
        <v>29</v>
      </c>
      <c r="C16" s="16"/>
      <c r="D16" s="17" t="s">
        <v>14</v>
      </c>
      <c r="E16" s="17">
        <v>8</v>
      </c>
      <c r="F16" s="13">
        <f t="shared" si="0"/>
        <v>19.7647058823529</v>
      </c>
      <c r="G16" s="14">
        <f t="shared" si="1"/>
        <v>0.85</v>
      </c>
      <c r="H16" s="18">
        <v>16.8</v>
      </c>
      <c r="I16" s="15">
        <f t="shared" si="2"/>
        <v>134.4</v>
      </c>
      <c r="J16" s="16"/>
    </row>
    <row r="17" s="3" customFormat="1" ht="16" customHeight="1" spans="1:10">
      <c r="A17" s="11">
        <v>12</v>
      </c>
      <c r="B17" s="16" t="s">
        <v>167</v>
      </c>
      <c r="C17" s="16"/>
      <c r="D17" s="17" t="s">
        <v>14</v>
      </c>
      <c r="E17" s="17">
        <v>3</v>
      </c>
      <c r="F17" s="13">
        <f t="shared" si="0"/>
        <v>25.8823529411765</v>
      </c>
      <c r="G17" s="14">
        <f t="shared" si="1"/>
        <v>0.85</v>
      </c>
      <c r="H17" s="18">
        <v>22</v>
      </c>
      <c r="I17" s="15">
        <f t="shared" si="2"/>
        <v>66</v>
      </c>
      <c r="J17" s="16"/>
    </row>
    <row r="18" s="3" customFormat="1" ht="16" customHeight="1" spans="1:10">
      <c r="A18" s="11">
        <v>13</v>
      </c>
      <c r="B18" s="11" t="s">
        <v>168</v>
      </c>
      <c r="C18" s="11" t="s">
        <v>169</v>
      </c>
      <c r="D18" s="12" t="s">
        <v>14</v>
      </c>
      <c r="E18" s="12">
        <v>15.6</v>
      </c>
      <c r="F18" s="13">
        <f t="shared" si="0"/>
        <v>17.4117647058824</v>
      </c>
      <c r="G18" s="14">
        <f t="shared" si="1"/>
        <v>0.85</v>
      </c>
      <c r="H18" s="18">
        <v>14.8</v>
      </c>
      <c r="I18" s="15">
        <f t="shared" si="2"/>
        <v>230.88</v>
      </c>
      <c r="J18" s="11"/>
    </row>
    <row r="19" s="3" customFormat="1" ht="16" customHeight="1" spans="1:10">
      <c r="A19" s="11">
        <v>14</v>
      </c>
      <c r="B19" s="16" t="s">
        <v>123</v>
      </c>
      <c r="C19" s="16"/>
      <c r="D19" s="16" t="s">
        <v>14</v>
      </c>
      <c r="E19" s="17">
        <v>5</v>
      </c>
      <c r="F19" s="13">
        <f t="shared" si="0"/>
        <v>103.529411764706</v>
      </c>
      <c r="G19" s="14">
        <f t="shared" si="1"/>
        <v>0.85</v>
      </c>
      <c r="H19" s="18">
        <v>88</v>
      </c>
      <c r="I19" s="15">
        <f t="shared" si="2"/>
        <v>440</v>
      </c>
      <c r="J19" s="16"/>
    </row>
    <row r="20" s="3" customFormat="1" ht="16" customHeight="1" spans="1:10">
      <c r="A20" s="11">
        <v>15</v>
      </c>
      <c r="B20" s="11" t="s">
        <v>35</v>
      </c>
      <c r="C20" s="11" t="s">
        <v>36</v>
      </c>
      <c r="D20" s="16" t="s">
        <v>37</v>
      </c>
      <c r="E20" s="12">
        <v>1</v>
      </c>
      <c r="F20" s="13">
        <f t="shared" si="0"/>
        <v>247.058823529412</v>
      </c>
      <c r="G20" s="14">
        <f t="shared" si="1"/>
        <v>0.85</v>
      </c>
      <c r="H20" s="18">
        <v>210</v>
      </c>
      <c r="I20" s="15">
        <f t="shared" si="2"/>
        <v>210</v>
      </c>
      <c r="J20" s="11"/>
    </row>
    <row r="21" s="3" customFormat="1" ht="16" customHeight="1" spans="1:10">
      <c r="A21" s="11">
        <v>16</v>
      </c>
      <c r="B21" s="11" t="s">
        <v>111</v>
      </c>
      <c r="C21" s="11"/>
      <c r="D21" s="11" t="s">
        <v>40</v>
      </c>
      <c r="E21" s="12">
        <v>50</v>
      </c>
      <c r="F21" s="13">
        <f t="shared" si="0"/>
        <v>4.11764705882353</v>
      </c>
      <c r="G21" s="14">
        <f t="shared" si="1"/>
        <v>0.85</v>
      </c>
      <c r="H21" s="18">
        <v>3.5</v>
      </c>
      <c r="I21" s="15">
        <f t="shared" si="2"/>
        <v>175</v>
      </c>
      <c r="J21" s="11"/>
    </row>
    <row r="22" s="3" customFormat="1" ht="16" customHeight="1" spans="1:10">
      <c r="A22" s="11">
        <v>17</v>
      </c>
      <c r="B22" s="11"/>
      <c r="C22" s="11"/>
      <c r="D22" s="11"/>
      <c r="E22" s="12"/>
      <c r="F22" s="13"/>
      <c r="G22" s="14"/>
      <c r="H22" s="18"/>
      <c r="I22" s="15"/>
      <c r="J22" s="11"/>
    </row>
    <row r="23" s="3" customFormat="1" ht="16" customHeight="1" spans="1:10">
      <c r="A23" s="11">
        <v>18</v>
      </c>
      <c r="B23" s="11"/>
      <c r="C23" s="11"/>
      <c r="D23" s="11"/>
      <c r="E23" s="12"/>
      <c r="F23" s="13"/>
      <c r="G23" s="14"/>
      <c r="H23" s="18"/>
      <c r="I23" s="15"/>
      <c r="J23" s="11"/>
    </row>
    <row r="24" s="3" customFormat="1" ht="16" customHeight="1" spans="1:10">
      <c r="A24" s="11">
        <v>19</v>
      </c>
      <c r="B24" s="11"/>
      <c r="C24" s="11"/>
      <c r="D24" s="11"/>
      <c r="E24" s="12"/>
      <c r="F24" s="13"/>
      <c r="G24" s="14"/>
      <c r="H24" s="18"/>
      <c r="I24" s="15"/>
      <c r="J24" s="11"/>
    </row>
    <row r="25" s="3" customFormat="1" customHeight="1" spans="1:10">
      <c r="A25" s="11">
        <v>20</v>
      </c>
      <c r="B25" s="13"/>
      <c r="C25" s="13"/>
      <c r="D25" s="13"/>
      <c r="E25" s="12"/>
      <c r="F25" s="13"/>
      <c r="G25" s="14"/>
      <c r="H25" s="18"/>
      <c r="I25" s="15"/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>
        <v>28</v>
      </c>
      <c r="B33" s="13"/>
      <c r="C33" s="13"/>
      <c r="D33" s="13"/>
      <c r="E33" s="12"/>
      <c r="F33" s="13"/>
      <c r="G33" s="14"/>
      <c r="H33" s="18"/>
      <c r="I33" s="15"/>
      <c r="J33" s="13"/>
    </row>
    <row r="34" s="3" customFormat="1" customHeight="1" spans="1:10">
      <c r="A34" s="11" t="s">
        <v>90</v>
      </c>
      <c r="B34" s="19">
        <f>SUM(I6:I33)</f>
        <v>1789.58</v>
      </c>
      <c r="C34" s="20"/>
      <c r="D34" s="20"/>
      <c r="E34" s="21"/>
      <c r="F34" s="20"/>
      <c r="G34" s="20"/>
      <c r="H34" s="20"/>
      <c r="I34" s="20"/>
      <c r="J34" s="24"/>
    </row>
    <row r="35" s="3" customFormat="1" customHeight="1" spans="1:10">
      <c r="A35" s="11" t="s">
        <v>43</v>
      </c>
      <c r="B35" s="22">
        <f>B34</f>
        <v>1789.58</v>
      </c>
      <c r="C35" s="23"/>
      <c r="D35" s="23"/>
      <c r="E35" s="21"/>
      <c r="F35" s="23"/>
      <c r="G35" s="23"/>
      <c r="H35" s="23"/>
      <c r="I35" s="23"/>
      <c r="J35" s="25"/>
    </row>
    <row r="36" s="3" customFormat="1" customHeight="1" spans="1:5">
      <c r="A36" s="3" t="s">
        <v>44</v>
      </c>
      <c r="E36" s="4"/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8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6" workbookViewId="0">
      <selection activeCell="I16" sqref="I$1:I$104857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6.2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3" width="11.6666666666667" style="3" customWidth="1"/>
    <col min="16314" max="16314" width="11.6666666666667" style="3"/>
    <col min="16315" max="16320" width="11" style="3"/>
    <col min="16321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69</v>
      </c>
      <c r="B3" s="3" t="s">
        <v>70</v>
      </c>
      <c r="E3" s="4"/>
    </row>
    <row r="4" s="3" customFormat="1" customHeight="1" spans="1:10">
      <c r="A4" s="3" t="s">
        <v>71</v>
      </c>
      <c r="B4" s="8">
        <v>45154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4</v>
      </c>
      <c r="F6" s="13">
        <f t="shared" ref="F6:F21" si="0">H6/0.85</f>
        <v>3.52941176470588</v>
      </c>
      <c r="G6" s="14">
        <f t="shared" ref="G6:G21" si="1">H6/F6</f>
        <v>0.85</v>
      </c>
      <c r="H6" s="15">
        <v>3</v>
      </c>
      <c r="I6" s="15">
        <f t="shared" ref="I6:I21" si="2">E6*H6</f>
        <v>12</v>
      </c>
      <c r="J6" s="11"/>
    </row>
    <row r="7" s="3" customFormat="1" ht="16" customHeight="1" spans="1:10">
      <c r="A7" s="11">
        <v>2</v>
      </c>
      <c r="B7" s="11" t="s">
        <v>15</v>
      </c>
      <c r="C7" s="11"/>
      <c r="D7" s="12" t="s">
        <v>14</v>
      </c>
      <c r="E7" s="12">
        <v>4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14</v>
      </c>
      <c r="J7" s="11"/>
    </row>
    <row r="8" s="3" customFormat="1" ht="16" customHeight="1" spans="1:10">
      <c r="A8" s="11">
        <v>3</v>
      </c>
      <c r="B8" s="11" t="s">
        <v>170</v>
      </c>
      <c r="C8" s="11"/>
      <c r="D8" s="12" t="s">
        <v>14</v>
      </c>
      <c r="E8" s="12">
        <v>3</v>
      </c>
      <c r="F8" s="13">
        <f t="shared" si="0"/>
        <v>7.05882352941176</v>
      </c>
      <c r="G8" s="14">
        <f t="shared" si="1"/>
        <v>0.85</v>
      </c>
      <c r="H8" s="15">
        <v>6</v>
      </c>
      <c r="I8" s="15">
        <f t="shared" si="2"/>
        <v>18</v>
      </c>
      <c r="J8" s="11"/>
    </row>
    <row r="9" s="3" customFormat="1" ht="16" customHeight="1" spans="1:10">
      <c r="A9" s="11">
        <v>4</v>
      </c>
      <c r="B9" s="16" t="s">
        <v>49</v>
      </c>
      <c r="C9" s="16"/>
      <c r="D9" s="12" t="s">
        <v>14</v>
      </c>
      <c r="E9" s="12">
        <v>3</v>
      </c>
      <c r="F9" s="13">
        <f t="shared" si="0"/>
        <v>9.17647058823529</v>
      </c>
      <c r="G9" s="14">
        <f t="shared" si="1"/>
        <v>0.85</v>
      </c>
      <c r="H9" s="15">
        <v>7.8</v>
      </c>
      <c r="I9" s="15">
        <f t="shared" si="2"/>
        <v>23.4</v>
      </c>
      <c r="J9" s="11"/>
    </row>
    <row r="10" s="3" customFormat="1" ht="16" customHeight="1" spans="1:10">
      <c r="A10" s="11">
        <v>5</v>
      </c>
      <c r="B10" s="11" t="s">
        <v>171</v>
      </c>
      <c r="C10" s="11"/>
      <c r="D10" s="12" t="s">
        <v>14</v>
      </c>
      <c r="E10" s="12">
        <v>3</v>
      </c>
      <c r="F10" s="13">
        <f t="shared" si="0"/>
        <v>9.17647058823529</v>
      </c>
      <c r="G10" s="14">
        <f t="shared" si="1"/>
        <v>0.85</v>
      </c>
      <c r="H10" s="15">
        <v>7.8</v>
      </c>
      <c r="I10" s="15">
        <f t="shared" si="2"/>
        <v>23.4</v>
      </c>
      <c r="J10" s="11"/>
    </row>
    <row r="11" s="3" customFormat="1" ht="16" customHeight="1" spans="1:10">
      <c r="A11" s="11">
        <v>6</v>
      </c>
      <c r="B11" s="11" t="s">
        <v>50</v>
      </c>
      <c r="C11" s="11"/>
      <c r="D11" s="12" t="s">
        <v>14</v>
      </c>
      <c r="E11" s="12">
        <v>3</v>
      </c>
      <c r="F11" s="13">
        <f t="shared" si="0"/>
        <v>5.29411764705882</v>
      </c>
      <c r="G11" s="14">
        <f t="shared" si="1"/>
        <v>0.85</v>
      </c>
      <c r="H11" s="15">
        <v>4.5</v>
      </c>
      <c r="I11" s="15">
        <f t="shared" si="2"/>
        <v>13.5</v>
      </c>
      <c r="J11" s="11"/>
    </row>
    <row r="12" s="3" customFormat="1" ht="16" customHeight="1" spans="1:10">
      <c r="A12" s="11">
        <v>7</v>
      </c>
      <c r="B12" s="16" t="s">
        <v>22</v>
      </c>
      <c r="C12" s="16"/>
      <c r="D12" s="17" t="s">
        <v>14</v>
      </c>
      <c r="E12" s="17">
        <v>15</v>
      </c>
      <c r="F12" s="13">
        <f t="shared" si="0"/>
        <v>3.29411764705882</v>
      </c>
      <c r="G12" s="14">
        <f t="shared" si="1"/>
        <v>0.85</v>
      </c>
      <c r="H12" s="18">
        <v>2.8</v>
      </c>
      <c r="I12" s="15">
        <f t="shared" si="2"/>
        <v>42</v>
      </c>
      <c r="J12" s="16"/>
    </row>
    <row r="13" s="3" customFormat="1" ht="16" customHeight="1" spans="1:10">
      <c r="A13" s="11">
        <v>8</v>
      </c>
      <c r="B13" s="16" t="s">
        <v>104</v>
      </c>
      <c r="C13" s="16"/>
      <c r="D13" s="17" t="s">
        <v>14</v>
      </c>
      <c r="E13" s="17">
        <v>1</v>
      </c>
      <c r="F13" s="13">
        <f t="shared" si="0"/>
        <v>9.17647058823529</v>
      </c>
      <c r="G13" s="14">
        <f t="shared" si="1"/>
        <v>0.85</v>
      </c>
      <c r="H13" s="18">
        <v>7.8</v>
      </c>
      <c r="I13" s="15">
        <f t="shared" si="2"/>
        <v>7.8</v>
      </c>
      <c r="J13" s="16"/>
    </row>
    <row r="14" s="3" customFormat="1" ht="16" customHeight="1" spans="1:10">
      <c r="A14" s="11">
        <v>9</v>
      </c>
      <c r="B14" s="16" t="s">
        <v>115</v>
      </c>
      <c r="C14" s="16"/>
      <c r="D14" s="17" t="s">
        <v>14</v>
      </c>
      <c r="E14" s="17">
        <v>13</v>
      </c>
      <c r="F14" s="13">
        <f t="shared" si="0"/>
        <v>2.35294117647059</v>
      </c>
      <c r="G14" s="14">
        <f t="shared" si="1"/>
        <v>0.85</v>
      </c>
      <c r="H14" s="18">
        <v>2</v>
      </c>
      <c r="I14" s="15">
        <f t="shared" si="2"/>
        <v>26</v>
      </c>
      <c r="J14" s="16"/>
    </row>
    <row r="15" s="3" customFormat="1" ht="16" customHeight="1" spans="1:10">
      <c r="A15" s="11">
        <v>10</v>
      </c>
      <c r="B15" s="16" t="s">
        <v>25</v>
      </c>
      <c r="C15" s="16"/>
      <c r="D15" s="17" t="s">
        <v>14</v>
      </c>
      <c r="E15" s="17">
        <v>5</v>
      </c>
      <c r="F15" s="13">
        <f t="shared" si="0"/>
        <v>6.47058823529412</v>
      </c>
      <c r="G15" s="14">
        <f t="shared" si="1"/>
        <v>0.85</v>
      </c>
      <c r="H15" s="18">
        <v>5.5</v>
      </c>
      <c r="I15" s="15">
        <f t="shared" si="2"/>
        <v>27.5</v>
      </c>
      <c r="J15" s="16"/>
    </row>
    <row r="16" s="3" customFormat="1" ht="16" customHeight="1" spans="1:10">
      <c r="A16" s="11">
        <v>11</v>
      </c>
      <c r="B16" s="16" t="s">
        <v>116</v>
      </c>
      <c r="C16" s="16"/>
      <c r="D16" s="17" t="s">
        <v>14</v>
      </c>
      <c r="E16" s="17">
        <v>6</v>
      </c>
      <c r="F16" s="13">
        <f t="shared" si="0"/>
        <v>8</v>
      </c>
      <c r="G16" s="14">
        <f t="shared" si="1"/>
        <v>0.85</v>
      </c>
      <c r="H16" s="18">
        <v>6.8</v>
      </c>
      <c r="I16" s="15">
        <f t="shared" si="2"/>
        <v>40.8</v>
      </c>
      <c r="J16" s="16"/>
    </row>
    <row r="17" s="3" customFormat="1" ht="16" customHeight="1" spans="1:10">
      <c r="A17" s="11">
        <v>12</v>
      </c>
      <c r="B17" s="16" t="s">
        <v>76</v>
      </c>
      <c r="C17" s="16"/>
      <c r="D17" s="17" t="s">
        <v>14</v>
      </c>
      <c r="E17" s="17">
        <v>4</v>
      </c>
      <c r="F17" s="13">
        <f t="shared" si="0"/>
        <v>4.11764705882353</v>
      </c>
      <c r="G17" s="14">
        <f t="shared" si="1"/>
        <v>0.85</v>
      </c>
      <c r="H17" s="18">
        <v>3.5</v>
      </c>
      <c r="I17" s="15">
        <f t="shared" si="2"/>
        <v>14</v>
      </c>
      <c r="J17" s="16"/>
    </row>
    <row r="18" s="3" customFormat="1" ht="16" customHeight="1" spans="1:10">
      <c r="A18" s="11">
        <v>13</v>
      </c>
      <c r="B18" s="11" t="s">
        <v>29</v>
      </c>
      <c r="C18" s="11"/>
      <c r="D18" s="12" t="s">
        <v>14</v>
      </c>
      <c r="E18" s="12">
        <v>2</v>
      </c>
      <c r="F18" s="13">
        <f t="shared" si="0"/>
        <v>19.7647058823529</v>
      </c>
      <c r="G18" s="14">
        <f t="shared" si="1"/>
        <v>0.85</v>
      </c>
      <c r="H18" s="18">
        <v>16.8</v>
      </c>
      <c r="I18" s="15">
        <f t="shared" si="2"/>
        <v>33.6</v>
      </c>
      <c r="J18" s="11"/>
    </row>
    <row r="19" s="3" customFormat="1" ht="16" customHeight="1" spans="1:10">
      <c r="A19" s="11">
        <v>14</v>
      </c>
      <c r="B19" s="16" t="s">
        <v>106</v>
      </c>
      <c r="C19" s="16"/>
      <c r="D19" s="16" t="s">
        <v>14</v>
      </c>
      <c r="E19" s="17">
        <v>5</v>
      </c>
      <c r="F19" s="13">
        <f t="shared" si="0"/>
        <v>25.8823529411765</v>
      </c>
      <c r="G19" s="14">
        <f t="shared" si="1"/>
        <v>0.85</v>
      </c>
      <c r="H19" s="18">
        <v>22</v>
      </c>
      <c r="I19" s="15">
        <f t="shared" si="2"/>
        <v>110</v>
      </c>
      <c r="J19" s="16"/>
    </row>
    <row r="20" s="3" customFormat="1" ht="16" customHeight="1" spans="1:10">
      <c r="A20" s="11">
        <v>15</v>
      </c>
      <c r="B20" s="11" t="s">
        <v>172</v>
      </c>
      <c r="C20" s="11"/>
      <c r="D20" s="16" t="s">
        <v>14</v>
      </c>
      <c r="E20" s="12">
        <v>4.5</v>
      </c>
      <c r="F20" s="13">
        <f t="shared" si="0"/>
        <v>23.5294117647059</v>
      </c>
      <c r="G20" s="14">
        <f t="shared" si="1"/>
        <v>0.85</v>
      </c>
      <c r="H20" s="18">
        <v>20</v>
      </c>
      <c r="I20" s="15">
        <f t="shared" si="2"/>
        <v>90</v>
      </c>
      <c r="J20" s="11"/>
    </row>
    <row r="21" s="3" customFormat="1" ht="16" customHeight="1" spans="1:10">
      <c r="A21" s="11">
        <v>16</v>
      </c>
      <c r="B21" s="11" t="s">
        <v>58</v>
      </c>
      <c r="C21" s="11" t="s">
        <v>59</v>
      </c>
      <c r="D21" s="11" t="s">
        <v>37</v>
      </c>
      <c r="E21" s="12">
        <v>2</v>
      </c>
      <c r="F21" s="13">
        <f t="shared" si="0"/>
        <v>10.5882352941176</v>
      </c>
      <c r="G21" s="14">
        <f t="shared" si="1"/>
        <v>0.85</v>
      </c>
      <c r="H21" s="18">
        <v>9</v>
      </c>
      <c r="I21" s="15">
        <f t="shared" si="2"/>
        <v>18</v>
      </c>
      <c r="J21" s="11"/>
    </row>
    <row r="22" s="3" customFormat="1" ht="16" customHeight="1" spans="1:10">
      <c r="A22" s="11">
        <v>17</v>
      </c>
      <c r="B22" s="11" t="s">
        <v>173</v>
      </c>
      <c r="C22" s="11" t="s">
        <v>174</v>
      </c>
      <c r="D22" s="11" t="s">
        <v>37</v>
      </c>
      <c r="E22" s="12">
        <v>10</v>
      </c>
      <c r="F22" s="13">
        <f t="shared" ref="F22:F31" si="3">H22/0.85</f>
        <v>25.8823529411765</v>
      </c>
      <c r="G22" s="14">
        <f t="shared" ref="G22:G31" si="4">H22/F22</f>
        <v>0.85</v>
      </c>
      <c r="H22" s="18">
        <v>22</v>
      </c>
      <c r="I22" s="15">
        <f t="shared" ref="I22:I31" si="5">E22*H22</f>
        <v>220</v>
      </c>
      <c r="J22" s="11"/>
    </row>
    <row r="23" s="3" customFormat="1" ht="16" customHeight="1" spans="1:10">
      <c r="A23" s="11">
        <v>18</v>
      </c>
      <c r="B23" s="11" t="s">
        <v>175</v>
      </c>
      <c r="C23" s="11" t="s">
        <v>176</v>
      </c>
      <c r="D23" s="11" t="s">
        <v>177</v>
      </c>
      <c r="E23" s="12">
        <v>10</v>
      </c>
      <c r="F23" s="13">
        <f t="shared" si="3"/>
        <v>88.2352941176471</v>
      </c>
      <c r="G23" s="14">
        <f t="shared" si="4"/>
        <v>0.85</v>
      </c>
      <c r="H23" s="18">
        <v>75</v>
      </c>
      <c r="I23" s="15">
        <f t="shared" si="5"/>
        <v>750</v>
      </c>
      <c r="J23" s="11"/>
    </row>
    <row r="24" s="3" customFormat="1" ht="16" customHeight="1" spans="1:10">
      <c r="A24" s="11">
        <v>19</v>
      </c>
      <c r="B24" s="11" t="s">
        <v>178</v>
      </c>
      <c r="C24" s="11" t="s">
        <v>47</v>
      </c>
      <c r="D24" s="11" t="s">
        <v>14</v>
      </c>
      <c r="E24" s="12">
        <v>0.5</v>
      </c>
      <c r="F24" s="13">
        <f t="shared" si="3"/>
        <v>56.4705882352941</v>
      </c>
      <c r="G24" s="14">
        <f t="shared" si="4"/>
        <v>0.85</v>
      </c>
      <c r="H24" s="18">
        <v>48</v>
      </c>
      <c r="I24" s="15">
        <f t="shared" si="5"/>
        <v>24</v>
      </c>
      <c r="J24" s="11"/>
    </row>
    <row r="25" s="3" customFormat="1" customHeight="1" spans="1:10">
      <c r="A25" s="11">
        <v>20</v>
      </c>
      <c r="B25" s="13" t="s">
        <v>101</v>
      </c>
      <c r="C25" s="13"/>
      <c r="D25" s="13" t="s">
        <v>14</v>
      </c>
      <c r="E25" s="12">
        <v>5</v>
      </c>
      <c r="F25" s="13">
        <f t="shared" si="3"/>
        <v>5.76470588235294</v>
      </c>
      <c r="G25" s="14">
        <f t="shared" si="4"/>
        <v>0.85</v>
      </c>
      <c r="H25" s="18">
        <v>4.9</v>
      </c>
      <c r="I25" s="15">
        <f t="shared" si="5"/>
        <v>24.5</v>
      </c>
      <c r="J25" s="13"/>
    </row>
    <row r="26" s="3" customFormat="1" customHeight="1" spans="1:10">
      <c r="A26" s="11">
        <v>21</v>
      </c>
      <c r="B26" s="13" t="s">
        <v>135</v>
      </c>
      <c r="C26" s="13" t="s">
        <v>136</v>
      </c>
      <c r="D26" s="13" t="s">
        <v>37</v>
      </c>
      <c r="E26" s="12">
        <v>3</v>
      </c>
      <c r="F26" s="13">
        <f t="shared" si="3"/>
        <v>42.8235294117647</v>
      </c>
      <c r="G26" s="14">
        <f t="shared" si="4"/>
        <v>0.85</v>
      </c>
      <c r="H26" s="18">
        <v>36.4</v>
      </c>
      <c r="I26" s="15">
        <f t="shared" si="5"/>
        <v>109.2</v>
      </c>
      <c r="J26" s="13"/>
    </row>
    <row r="27" s="3" customFormat="1" customHeight="1" spans="1:10">
      <c r="A27" s="11">
        <v>22</v>
      </c>
      <c r="B27" s="13" t="s">
        <v>179</v>
      </c>
      <c r="C27" s="13"/>
      <c r="D27" s="13" t="s">
        <v>89</v>
      </c>
      <c r="E27" s="12">
        <v>1</v>
      </c>
      <c r="F27" s="13">
        <f t="shared" si="3"/>
        <v>84.7058823529412</v>
      </c>
      <c r="G27" s="14">
        <f t="shared" si="4"/>
        <v>0.85</v>
      </c>
      <c r="H27" s="18">
        <v>72</v>
      </c>
      <c r="I27" s="15">
        <f t="shared" si="5"/>
        <v>72</v>
      </c>
      <c r="J27" s="13"/>
    </row>
    <row r="28" s="3" customFormat="1" customHeight="1" spans="1:10">
      <c r="A28" s="11">
        <v>23</v>
      </c>
      <c r="B28" s="13" t="s">
        <v>180</v>
      </c>
      <c r="C28" s="13" t="s">
        <v>47</v>
      </c>
      <c r="D28" s="13" t="s">
        <v>14</v>
      </c>
      <c r="E28" s="12">
        <v>0.5</v>
      </c>
      <c r="F28" s="13">
        <f t="shared" si="3"/>
        <v>32.9411764705882</v>
      </c>
      <c r="G28" s="14">
        <f t="shared" si="4"/>
        <v>0.85</v>
      </c>
      <c r="H28" s="18">
        <v>28</v>
      </c>
      <c r="I28" s="15">
        <f t="shared" si="5"/>
        <v>14</v>
      </c>
      <c r="J28" s="13"/>
    </row>
    <row r="29" s="3" customFormat="1" customHeight="1" spans="1:10">
      <c r="A29" s="11">
        <v>24</v>
      </c>
      <c r="B29" s="13" t="s">
        <v>181</v>
      </c>
      <c r="C29" s="13" t="s">
        <v>182</v>
      </c>
      <c r="D29" s="13" t="s">
        <v>89</v>
      </c>
      <c r="E29" s="12">
        <v>1</v>
      </c>
      <c r="F29" s="13">
        <f t="shared" si="3"/>
        <v>48.8235294117647</v>
      </c>
      <c r="G29" s="14">
        <f t="shared" si="4"/>
        <v>0.85</v>
      </c>
      <c r="H29" s="18">
        <v>41.5</v>
      </c>
      <c r="I29" s="15">
        <f t="shared" si="5"/>
        <v>41.5</v>
      </c>
      <c r="J29" s="13"/>
    </row>
    <row r="30" s="3" customFormat="1" customHeight="1" spans="1:10">
      <c r="A30" s="11">
        <v>25</v>
      </c>
      <c r="B30" s="13" t="s">
        <v>33</v>
      </c>
      <c r="C30" s="13" t="s">
        <v>34</v>
      </c>
      <c r="D30" s="13" t="s">
        <v>28</v>
      </c>
      <c r="E30" s="12">
        <v>2</v>
      </c>
      <c r="F30" s="13">
        <f t="shared" si="3"/>
        <v>500</v>
      </c>
      <c r="G30" s="14">
        <f t="shared" si="4"/>
        <v>0.85</v>
      </c>
      <c r="H30" s="18">
        <v>425</v>
      </c>
      <c r="I30" s="15">
        <f t="shared" si="5"/>
        <v>850</v>
      </c>
      <c r="J30" s="13"/>
    </row>
    <row r="31" s="3" customFormat="1" customHeight="1" spans="1:10">
      <c r="A31" s="11">
        <v>26</v>
      </c>
      <c r="B31" s="13" t="s">
        <v>164</v>
      </c>
      <c r="C31" s="13" t="s">
        <v>165</v>
      </c>
      <c r="D31" s="13" t="s">
        <v>40</v>
      </c>
      <c r="E31" s="12">
        <v>65</v>
      </c>
      <c r="F31" s="13">
        <f t="shared" si="3"/>
        <v>4.11764705882353</v>
      </c>
      <c r="G31" s="14">
        <f t="shared" si="4"/>
        <v>0.85</v>
      </c>
      <c r="H31" s="18">
        <v>3.5</v>
      </c>
      <c r="I31" s="15">
        <f t="shared" si="5"/>
        <v>227.5</v>
      </c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>
        <v>28</v>
      </c>
      <c r="B33" s="13"/>
      <c r="C33" s="13"/>
      <c r="D33" s="13"/>
      <c r="E33" s="12"/>
      <c r="F33" s="13"/>
      <c r="G33" s="14"/>
      <c r="H33" s="18"/>
      <c r="I33" s="15"/>
      <c r="J33" s="13"/>
    </row>
    <row r="34" s="3" customFormat="1" customHeight="1" spans="1:10">
      <c r="A34" s="11" t="s">
        <v>90</v>
      </c>
      <c r="B34" s="19">
        <f>SUM(I6:I33)</f>
        <v>2846.7</v>
      </c>
      <c r="C34" s="20"/>
      <c r="D34" s="20"/>
      <c r="E34" s="21"/>
      <c r="F34" s="20"/>
      <c r="G34" s="20"/>
      <c r="H34" s="20"/>
      <c r="I34" s="20"/>
      <c r="J34" s="24"/>
    </row>
    <row r="35" s="3" customFormat="1" customHeight="1" spans="1:10">
      <c r="A35" s="11" t="s">
        <v>43</v>
      </c>
      <c r="B35" s="22">
        <f>B34</f>
        <v>2846.7</v>
      </c>
      <c r="C35" s="23"/>
      <c r="D35" s="23"/>
      <c r="E35" s="21"/>
      <c r="F35" s="23"/>
      <c r="G35" s="23"/>
      <c r="H35" s="23"/>
      <c r="I35" s="23"/>
      <c r="J35" s="25"/>
    </row>
    <row r="36" s="3" customFormat="1" customHeight="1" spans="1:5">
      <c r="A36" s="3" t="s">
        <v>44</v>
      </c>
      <c r="E36" s="4"/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8">
    <cfRule type="duplicateValues" dxfId="0" priority="3"/>
  </conditionalFormatting>
  <pageMargins left="0.751388888888889" right="0.751388888888889" top="0.409027777777778" bottom="0.2125" header="0.5" footer="0.5"/>
  <pageSetup paperSize="9" scale="91" orientation="portrait" horizontalDpi="6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14" workbookViewId="0">
      <selection activeCell="I14" sqref="I$1:I$104857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3" width="11.6666666666667" style="3" customWidth="1"/>
    <col min="16314" max="16314" width="11.6666666666667" style="3"/>
    <col min="16315" max="16320" width="11" style="3"/>
    <col min="16321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69</v>
      </c>
      <c r="B3" s="3" t="s">
        <v>70</v>
      </c>
      <c r="E3" s="4"/>
    </row>
    <row r="4" s="3" customFormat="1" customHeight="1" spans="1:10">
      <c r="A4" s="3" t="s">
        <v>71</v>
      </c>
      <c r="B4" s="8">
        <v>45155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4</v>
      </c>
      <c r="F6" s="13">
        <f t="shared" ref="F6:F14" si="0">H6/0.85</f>
        <v>3.52941176470588</v>
      </c>
      <c r="G6" s="14">
        <f t="shared" ref="G6:G14" si="1">H6/F6</f>
        <v>0.85</v>
      </c>
      <c r="H6" s="15">
        <v>3</v>
      </c>
      <c r="I6" s="15">
        <f t="shared" ref="I6:I14" si="2">E6*H6</f>
        <v>12</v>
      </c>
      <c r="J6" s="11"/>
    </row>
    <row r="7" s="3" customFormat="1" ht="16" customHeight="1" spans="1:10">
      <c r="A7" s="11">
        <v>2</v>
      </c>
      <c r="B7" s="11" t="s">
        <v>15</v>
      </c>
      <c r="C7" s="11"/>
      <c r="D7" s="12" t="s">
        <v>14</v>
      </c>
      <c r="E7" s="12">
        <v>4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14</v>
      </c>
      <c r="J7" s="11"/>
    </row>
    <row r="8" s="3" customFormat="1" ht="16" customHeight="1" spans="1:10">
      <c r="A8" s="11">
        <v>3</v>
      </c>
      <c r="B8" s="11" t="s">
        <v>17</v>
      </c>
      <c r="C8" s="11"/>
      <c r="D8" s="12" t="s">
        <v>14</v>
      </c>
      <c r="E8" s="12">
        <v>19</v>
      </c>
      <c r="F8" s="13">
        <f t="shared" si="0"/>
        <v>2.35294117647059</v>
      </c>
      <c r="G8" s="14">
        <f t="shared" si="1"/>
        <v>0.85</v>
      </c>
      <c r="H8" s="15">
        <v>2</v>
      </c>
      <c r="I8" s="15">
        <f t="shared" si="2"/>
        <v>38</v>
      </c>
      <c r="J8" s="11"/>
    </row>
    <row r="9" s="3" customFormat="1" ht="16" customHeight="1" spans="1:10">
      <c r="A9" s="11">
        <v>4</v>
      </c>
      <c r="B9" s="16" t="s">
        <v>19</v>
      </c>
      <c r="C9" s="16"/>
      <c r="D9" s="12" t="s">
        <v>14</v>
      </c>
      <c r="E9" s="12">
        <v>9.1</v>
      </c>
      <c r="F9" s="13">
        <f t="shared" si="0"/>
        <v>2.94117647058824</v>
      </c>
      <c r="G9" s="14">
        <f t="shared" si="1"/>
        <v>0.85</v>
      </c>
      <c r="H9" s="15">
        <v>2.5</v>
      </c>
      <c r="I9" s="15">
        <f t="shared" si="2"/>
        <v>22.75</v>
      </c>
      <c r="J9" s="11"/>
    </row>
    <row r="10" s="3" customFormat="1" ht="16" customHeight="1" spans="1:10">
      <c r="A10" s="11">
        <v>5</v>
      </c>
      <c r="B10" s="11" t="s">
        <v>20</v>
      </c>
      <c r="C10" s="11"/>
      <c r="D10" s="12" t="s">
        <v>21</v>
      </c>
      <c r="E10" s="12">
        <v>7</v>
      </c>
      <c r="F10" s="13">
        <f t="shared" si="0"/>
        <v>3.52941176470588</v>
      </c>
      <c r="G10" s="14">
        <f t="shared" si="1"/>
        <v>0.85</v>
      </c>
      <c r="H10" s="15">
        <v>3</v>
      </c>
      <c r="I10" s="15">
        <f t="shared" si="2"/>
        <v>21</v>
      </c>
      <c r="J10" s="11"/>
    </row>
    <row r="11" s="3" customFormat="1" ht="16" customHeight="1" spans="1:10">
      <c r="A11" s="11">
        <v>6</v>
      </c>
      <c r="B11" s="11" t="s">
        <v>51</v>
      </c>
      <c r="C11" s="11"/>
      <c r="D11" s="12" t="s">
        <v>14</v>
      </c>
      <c r="E11" s="12">
        <v>13</v>
      </c>
      <c r="F11" s="13">
        <f t="shared" si="0"/>
        <v>4.47058823529412</v>
      </c>
      <c r="G11" s="14">
        <f t="shared" si="1"/>
        <v>0.85</v>
      </c>
      <c r="H11" s="15">
        <v>3.8</v>
      </c>
      <c r="I11" s="15">
        <f t="shared" si="2"/>
        <v>49.4</v>
      </c>
      <c r="J11" s="11"/>
    </row>
    <row r="12" s="3" customFormat="1" ht="16" customHeight="1" spans="1:10">
      <c r="A12" s="11">
        <v>7</v>
      </c>
      <c r="B12" s="16" t="s">
        <v>104</v>
      </c>
      <c r="C12" s="16"/>
      <c r="D12" s="17" t="s">
        <v>14</v>
      </c>
      <c r="E12" s="17">
        <v>4</v>
      </c>
      <c r="F12" s="13">
        <f t="shared" si="0"/>
        <v>9.17647058823529</v>
      </c>
      <c r="G12" s="14">
        <f t="shared" si="1"/>
        <v>0.85</v>
      </c>
      <c r="H12" s="18">
        <v>7.8</v>
      </c>
      <c r="I12" s="15">
        <f t="shared" si="2"/>
        <v>31.2</v>
      </c>
      <c r="J12" s="16"/>
    </row>
    <row r="13" s="3" customFormat="1" ht="16" customHeight="1" spans="1:10">
      <c r="A13" s="11">
        <v>8</v>
      </c>
      <c r="B13" s="16" t="s">
        <v>125</v>
      </c>
      <c r="C13" s="16"/>
      <c r="D13" s="17" t="s">
        <v>14</v>
      </c>
      <c r="E13" s="17">
        <v>2</v>
      </c>
      <c r="F13" s="13">
        <f t="shared" si="0"/>
        <v>10.3529411764706</v>
      </c>
      <c r="G13" s="14">
        <f t="shared" si="1"/>
        <v>0.85</v>
      </c>
      <c r="H13" s="18">
        <v>8.8</v>
      </c>
      <c r="I13" s="15">
        <f t="shared" si="2"/>
        <v>17.6</v>
      </c>
      <c r="J13" s="16"/>
    </row>
    <row r="14" s="3" customFormat="1" ht="16" customHeight="1" spans="1:10">
      <c r="A14" s="11">
        <v>9</v>
      </c>
      <c r="B14" s="16" t="s">
        <v>183</v>
      </c>
      <c r="C14" s="16" t="s">
        <v>184</v>
      </c>
      <c r="D14" s="17" t="s">
        <v>14</v>
      </c>
      <c r="E14" s="17">
        <v>14</v>
      </c>
      <c r="F14" s="13">
        <f t="shared" si="0"/>
        <v>6.82352941176471</v>
      </c>
      <c r="G14" s="14">
        <f t="shared" si="1"/>
        <v>0.85</v>
      </c>
      <c r="H14" s="18">
        <v>5.8</v>
      </c>
      <c r="I14" s="15">
        <f t="shared" si="2"/>
        <v>81.2</v>
      </c>
      <c r="J14" s="16"/>
    </row>
    <row r="15" s="3" customFormat="1" ht="16" customHeight="1" spans="1:10">
      <c r="A15" s="11">
        <v>10</v>
      </c>
      <c r="B15" s="16" t="s">
        <v>55</v>
      </c>
      <c r="C15" s="16"/>
      <c r="D15" s="17" t="s">
        <v>14</v>
      </c>
      <c r="E15" s="17">
        <v>49</v>
      </c>
      <c r="F15" s="13">
        <f t="shared" ref="F15:F25" si="3">H15/0.85</f>
        <v>4.11764705882353</v>
      </c>
      <c r="G15" s="14">
        <f t="shared" ref="G15:G25" si="4">H15/F15</f>
        <v>0.85</v>
      </c>
      <c r="H15" s="18">
        <v>3.5</v>
      </c>
      <c r="I15" s="15">
        <f t="shared" ref="I15:I25" si="5">E15*H15</f>
        <v>171.5</v>
      </c>
      <c r="J15" s="16"/>
    </row>
    <row r="16" s="3" customFormat="1" ht="16" customHeight="1" spans="1:10">
      <c r="A16" s="11">
        <v>11</v>
      </c>
      <c r="B16" s="16" t="s">
        <v>29</v>
      </c>
      <c r="C16" s="16"/>
      <c r="D16" s="17" t="s">
        <v>14</v>
      </c>
      <c r="E16" s="17">
        <v>2</v>
      </c>
      <c r="F16" s="13">
        <f t="shared" si="3"/>
        <v>19.7647058823529</v>
      </c>
      <c r="G16" s="14">
        <f t="shared" si="4"/>
        <v>0.85</v>
      </c>
      <c r="H16" s="18">
        <v>16.8</v>
      </c>
      <c r="I16" s="15">
        <f t="shared" si="5"/>
        <v>33.6</v>
      </c>
      <c r="J16" s="16"/>
    </row>
    <row r="17" s="3" customFormat="1" ht="16" customHeight="1" spans="1:10">
      <c r="A17" s="11">
        <v>12</v>
      </c>
      <c r="B17" s="11" t="s">
        <v>185</v>
      </c>
      <c r="C17" s="11" t="s">
        <v>186</v>
      </c>
      <c r="D17" s="12" t="s">
        <v>37</v>
      </c>
      <c r="E17" s="12">
        <v>1</v>
      </c>
      <c r="F17" s="13">
        <f t="shared" si="3"/>
        <v>21.1764705882353</v>
      </c>
      <c r="G17" s="14">
        <f t="shared" si="4"/>
        <v>0.85</v>
      </c>
      <c r="H17" s="18">
        <v>18</v>
      </c>
      <c r="I17" s="15">
        <f t="shared" si="5"/>
        <v>18</v>
      </c>
      <c r="J17" s="11"/>
    </row>
    <row r="18" s="3" customFormat="1" ht="16" customHeight="1" spans="1:10">
      <c r="A18" s="11">
        <v>13</v>
      </c>
      <c r="B18" s="16" t="s">
        <v>187</v>
      </c>
      <c r="C18" s="16" t="s">
        <v>47</v>
      </c>
      <c r="D18" s="16" t="s">
        <v>14</v>
      </c>
      <c r="E18" s="17">
        <v>1</v>
      </c>
      <c r="F18" s="13">
        <f t="shared" si="3"/>
        <v>18.8235294117647</v>
      </c>
      <c r="G18" s="14">
        <f t="shared" si="4"/>
        <v>0.85</v>
      </c>
      <c r="H18" s="18">
        <v>16</v>
      </c>
      <c r="I18" s="15">
        <f t="shared" si="5"/>
        <v>16</v>
      </c>
      <c r="J18" s="16"/>
    </row>
    <row r="19" s="3" customFormat="1" ht="16" customHeight="1" spans="1:10">
      <c r="A19" s="11">
        <v>14</v>
      </c>
      <c r="B19" s="11" t="s">
        <v>188</v>
      </c>
      <c r="C19" s="11"/>
      <c r="D19" s="16" t="s">
        <v>14</v>
      </c>
      <c r="E19" s="12">
        <v>3</v>
      </c>
      <c r="F19" s="13">
        <f t="shared" si="3"/>
        <v>8</v>
      </c>
      <c r="G19" s="14">
        <f t="shared" si="4"/>
        <v>0.85</v>
      </c>
      <c r="H19" s="18">
        <v>6.8</v>
      </c>
      <c r="I19" s="15">
        <f t="shared" si="5"/>
        <v>20.4</v>
      </c>
      <c r="J19" s="11"/>
    </row>
    <row r="20" s="3" customFormat="1" ht="16" customHeight="1" spans="1:10">
      <c r="A20" s="11">
        <v>15</v>
      </c>
      <c r="B20" s="11" t="s">
        <v>189</v>
      </c>
      <c r="C20" s="11"/>
      <c r="D20" s="11" t="s">
        <v>32</v>
      </c>
      <c r="E20" s="12">
        <v>4</v>
      </c>
      <c r="F20" s="13">
        <f t="shared" si="3"/>
        <v>34.1176470588235</v>
      </c>
      <c r="G20" s="14">
        <f t="shared" si="4"/>
        <v>0.85</v>
      </c>
      <c r="H20" s="18">
        <v>29</v>
      </c>
      <c r="I20" s="15">
        <f t="shared" si="5"/>
        <v>116</v>
      </c>
      <c r="J20" s="11"/>
    </row>
    <row r="21" s="3" customFormat="1" ht="16" customHeight="1" spans="1:10">
      <c r="A21" s="11">
        <v>16</v>
      </c>
      <c r="B21" s="11" t="s">
        <v>111</v>
      </c>
      <c r="C21" s="11"/>
      <c r="D21" s="11" t="s">
        <v>40</v>
      </c>
      <c r="E21" s="12">
        <v>70</v>
      </c>
      <c r="F21" s="13">
        <f t="shared" si="3"/>
        <v>4.11764705882353</v>
      </c>
      <c r="G21" s="14">
        <f t="shared" si="4"/>
        <v>0.85</v>
      </c>
      <c r="H21" s="18">
        <v>3.5</v>
      </c>
      <c r="I21" s="15">
        <f t="shared" si="5"/>
        <v>245</v>
      </c>
      <c r="J21" s="11"/>
    </row>
    <row r="22" s="3" customFormat="1" ht="16" customHeight="1" spans="1:10">
      <c r="A22" s="11">
        <v>17</v>
      </c>
      <c r="B22" s="11"/>
      <c r="C22" s="11"/>
      <c r="D22" s="11"/>
      <c r="E22" s="12"/>
      <c r="F22" s="13"/>
      <c r="G22" s="14"/>
      <c r="H22" s="18"/>
      <c r="I22" s="15"/>
      <c r="J22" s="11"/>
    </row>
    <row r="23" s="3" customFormat="1" ht="16" customHeight="1" spans="1:10">
      <c r="A23" s="11">
        <v>18</v>
      </c>
      <c r="B23" s="11"/>
      <c r="C23" s="11"/>
      <c r="D23" s="11"/>
      <c r="E23" s="12"/>
      <c r="F23" s="13"/>
      <c r="G23" s="14"/>
      <c r="H23" s="18"/>
      <c r="I23" s="15"/>
      <c r="J23" s="11"/>
    </row>
    <row r="24" s="3" customFormat="1" customHeight="1" spans="1:10">
      <c r="A24" s="11">
        <v>19</v>
      </c>
      <c r="B24" s="26"/>
      <c r="C24" s="13"/>
      <c r="D24" s="13"/>
      <c r="E24" s="12"/>
      <c r="F24" s="13"/>
      <c r="G24" s="14"/>
      <c r="H24" s="18"/>
      <c r="I24" s="15"/>
      <c r="J24" s="13"/>
    </row>
    <row r="25" s="3" customFormat="1" customHeight="1" spans="1:10">
      <c r="A25" s="11">
        <v>20</v>
      </c>
      <c r="B25" s="26"/>
      <c r="C25" s="13"/>
      <c r="D25" s="13"/>
      <c r="E25" s="12"/>
      <c r="F25" s="13"/>
      <c r="G25" s="14"/>
      <c r="H25" s="18"/>
      <c r="I25" s="15"/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 t="s">
        <v>90</v>
      </c>
      <c r="B33" s="19">
        <f>SUM(I6:I32)</f>
        <v>907.65</v>
      </c>
      <c r="C33" s="20"/>
      <c r="D33" s="20"/>
      <c r="E33" s="21"/>
      <c r="F33" s="20"/>
      <c r="G33" s="20"/>
      <c r="H33" s="20"/>
      <c r="I33" s="20"/>
      <c r="J33" s="24"/>
    </row>
    <row r="34" s="3" customFormat="1" customHeight="1" spans="1:10">
      <c r="A34" s="11" t="s">
        <v>43</v>
      </c>
      <c r="B34" s="22">
        <f>B33</f>
        <v>907.65</v>
      </c>
      <c r="C34" s="23"/>
      <c r="D34" s="23"/>
      <c r="E34" s="21"/>
      <c r="F34" s="23"/>
      <c r="G34" s="23"/>
      <c r="H34" s="23"/>
      <c r="I34" s="23"/>
      <c r="J34" s="25"/>
    </row>
    <row r="35" s="3" customFormat="1" customHeight="1" spans="1:5">
      <c r="A35" s="3" t="s">
        <v>44</v>
      </c>
      <c r="E35" s="4"/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2"/>
  </conditionalFormatting>
  <conditionalFormatting sqref="B1:B32 B35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6" workbookViewId="0">
      <selection activeCell="I16" sqref="I$1:I$104857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3" width="11.6666666666667" style="3" customWidth="1"/>
    <col min="16314" max="16314" width="11.6666666666667" style="3"/>
    <col min="16315" max="16320" width="11" style="3"/>
    <col min="16321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69</v>
      </c>
      <c r="B3" s="3" t="s">
        <v>70</v>
      </c>
      <c r="E3" s="4"/>
    </row>
    <row r="4" s="3" customFormat="1" customHeight="1" spans="1:10">
      <c r="A4" s="3" t="s">
        <v>71</v>
      </c>
      <c r="B4" s="8">
        <v>45156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4</v>
      </c>
      <c r="F6" s="13">
        <f t="shared" ref="F6:F29" si="0">H6/0.85</f>
        <v>3.52941176470588</v>
      </c>
      <c r="G6" s="14">
        <f t="shared" ref="G6:G29" si="1">H6/F6</f>
        <v>0.85</v>
      </c>
      <c r="H6" s="15">
        <v>3</v>
      </c>
      <c r="I6" s="15">
        <f t="shared" ref="I6:I29" si="2">E6*H6</f>
        <v>12</v>
      </c>
      <c r="J6" s="11"/>
    </row>
    <row r="7" s="3" customFormat="1" ht="16" customHeight="1" spans="1:10">
      <c r="A7" s="11">
        <v>2</v>
      </c>
      <c r="B7" s="11" t="s">
        <v>46</v>
      </c>
      <c r="C7" s="11" t="s">
        <v>47</v>
      </c>
      <c r="D7" s="12" t="s">
        <v>14</v>
      </c>
      <c r="E7" s="12">
        <v>5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17.5</v>
      </c>
      <c r="J7" s="11"/>
    </row>
    <row r="8" s="3" customFormat="1" ht="16" customHeight="1" spans="1:10">
      <c r="A8" s="11">
        <v>3</v>
      </c>
      <c r="B8" s="11" t="s">
        <v>15</v>
      </c>
      <c r="C8" s="11"/>
      <c r="D8" s="12" t="s">
        <v>14</v>
      </c>
      <c r="E8" s="12">
        <v>4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14</v>
      </c>
      <c r="J8" s="11"/>
    </row>
    <row r="9" s="3" customFormat="1" ht="16" customHeight="1" spans="1:10">
      <c r="A9" s="11">
        <v>4</v>
      </c>
      <c r="B9" s="16" t="s">
        <v>112</v>
      </c>
      <c r="C9" s="16"/>
      <c r="D9" s="12" t="s">
        <v>14</v>
      </c>
      <c r="E9" s="12">
        <v>2</v>
      </c>
      <c r="F9" s="13">
        <f t="shared" si="0"/>
        <v>4.11764705882353</v>
      </c>
      <c r="G9" s="14">
        <f t="shared" si="1"/>
        <v>0.85</v>
      </c>
      <c r="H9" s="15">
        <v>3.5</v>
      </c>
      <c r="I9" s="15">
        <f t="shared" si="2"/>
        <v>7</v>
      </c>
      <c r="J9" s="11"/>
    </row>
    <row r="10" s="3" customFormat="1" ht="16" customHeight="1" spans="1:10">
      <c r="A10" s="11">
        <v>5</v>
      </c>
      <c r="B10" s="11" t="s">
        <v>72</v>
      </c>
      <c r="C10" s="11"/>
      <c r="D10" s="12" t="s">
        <v>14</v>
      </c>
      <c r="E10" s="12">
        <v>1</v>
      </c>
      <c r="F10" s="13">
        <f t="shared" si="0"/>
        <v>4.11764705882353</v>
      </c>
      <c r="G10" s="14">
        <f t="shared" si="1"/>
        <v>0.85</v>
      </c>
      <c r="H10" s="15">
        <v>3.5</v>
      </c>
      <c r="I10" s="15">
        <f t="shared" si="2"/>
        <v>3.5</v>
      </c>
      <c r="J10" s="11"/>
    </row>
    <row r="11" s="3" customFormat="1" ht="16" customHeight="1" spans="1:10">
      <c r="A11" s="11">
        <v>6</v>
      </c>
      <c r="B11" s="11" t="s">
        <v>49</v>
      </c>
      <c r="C11" s="11"/>
      <c r="D11" s="12" t="s">
        <v>14</v>
      </c>
      <c r="E11" s="12">
        <v>3</v>
      </c>
      <c r="F11" s="13">
        <f t="shared" si="0"/>
        <v>9.17647058823529</v>
      </c>
      <c r="G11" s="14">
        <f t="shared" si="1"/>
        <v>0.85</v>
      </c>
      <c r="H11" s="15">
        <v>7.8</v>
      </c>
      <c r="I11" s="15">
        <f t="shared" si="2"/>
        <v>23.4</v>
      </c>
      <c r="J11" s="11"/>
    </row>
    <row r="12" s="3" customFormat="1" ht="16" customHeight="1" spans="1:10">
      <c r="A12" s="11">
        <v>7</v>
      </c>
      <c r="B12" s="16" t="s">
        <v>109</v>
      </c>
      <c r="C12" s="16"/>
      <c r="D12" s="17" t="s">
        <v>14</v>
      </c>
      <c r="E12" s="17">
        <v>2</v>
      </c>
      <c r="F12" s="13">
        <f t="shared" si="0"/>
        <v>11.5294117647059</v>
      </c>
      <c r="G12" s="14">
        <f t="shared" si="1"/>
        <v>0.85</v>
      </c>
      <c r="H12" s="18">
        <v>9.8</v>
      </c>
      <c r="I12" s="15">
        <f t="shared" si="2"/>
        <v>19.6</v>
      </c>
      <c r="J12" s="16"/>
    </row>
    <row r="13" s="3" customFormat="1" ht="16" customHeight="1" spans="1:10">
      <c r="A13" s="11">
        <v>8</v>
      </c>
      <c r="B13" s="16" t="s">
        <v>50</v>
      </c>
      <c r="C13" s="16"/>
      <c r="D13" s="17" t="s">
        <v>14</v>
      </c>
      <c r="E13" s="17">
        <v>3</v>
      </c>
      <c r="F13" s="13">
        <f t="shared" si="0"/>
        <v>5.29411764705882</v>
      </c>
      <c r="G13" s="14">
        <f t="shared" si="1"/>
        <v>0.85</v>
      </c>
      <c r="H13" s="18">
        <v>4.5</v>
      </c>
      <c r="I13" s="15">
        <f t="shared" si="2"/>
        <v>13.5</v>
      </c>
      <c r="J13" s="16"/>
    </row>
    <row r="14" s="3" customFormat="1" ht="16" customHeight="1" spans="1:10">
      <c r="A14" s="11">
        <v>9</v>
      </c>
      <c r="B14" s="16" t="s">
        <v>51</v>
      </c>
      <c r="C14" s="16"/>
      <c r="D14" s="17" t="s">
        <v>14</v>
      </c>
      <c r="E14" s="17">
        <v>6</v>
      </c>
      <c r="F14" s="13">
        <f t="shared" si="0"/>
        <v>4.47058823529412</v>
      </c>
      <c r="G14" s="14">
        <f t="shared" si="1"/>
        <v>0.85</v>
      </c>
      <c r="H14" s="18">
        <v>3.8</v>
      </c>
      <c r="I14" s="15">
        <f t="shared" si="2"/>
        <v>22.8</v>
      </c>
      <c r="J14" s="16"/>
    </row>
    <row r="15" s="3" customFormat="1" ht="16" customHeight="1" spans="1:10">
      <c r="A15" s="11">
        <v>10</v>
      </c>
      <c r="B15" s="16" t="s">
        <v>52</v>
      </c>
      <c r="C15" s="16"/>
      <c r="D15" s="17" t="s">
        <v>14</v>
      </c>
      <c r="E15" s="17">
        <v>12</v>
      </c>
      <c r="F15" s="13">
        <f t="shared" si="0"/>
        <v>6.47058823529412</v>
      </c>
      <c r="G15" s="14">
        <f t="shared" si="1"/>
        <v>0.85</v>
      </c>
      <c r="H15" s="18">
        <v>5.5</v>
      </c>
      <c r="I15" s="15">
        <f t="shared" si="2"/>
        <v>66</v>
      </c>
      <c r="J15" s="16"/>
    </row>
    <row r="16" s="3" customFormat="1" ht="16" customHeight="1" spans="1:10">
      <c r="A16" s="11">
        <v>11</v>
      </c>
      <c r="B16" s="16" t="s">
        <v>190</v>
      </c>
      <c r="C16" s="16"/>
      <c r="D16" s="17" t="s">
        <v>14</v>
      </c>
      <c r="E16" s="17">
        <v>19</v>
      </c>
      <c r="F16" s="13">
        <f t="shared" si="0"/>
        <v>5.64705882352941</v>
      </c>
      <c r="G16" s="14">
        <f t="shared" si="1"/>
        <v>0.85</v>
      </c>
      <c r="H16" s="18">
        <v>4.8</v>
      </c>
      <c r="I16" s="15">
        <f t="shared" si="2"/>
        <v>91.2</v>
      </c>
      <c r="J16" s="16"/>
    </row>
    <row r="17" s="3" customFormat="1" ht="16" customHeight="1" spans="1:10">
      <c r="A17" s="11">
        <v>12</v>
      </c>
      <c r="B17" s="16" t="s">
        <v>191</v>
      </c>
      <c r="C17" s="16"/>
      <c r="D17" s="17" t="s">
        <v>14</v>
      </c>
      <c r="E17" s="17">
        <v>20</v>
      </c>
      <c r="F17" s="13">
        <f t="shared" si="0"/>
        <v>4.11764705882353</v>
      </c>
      <c r="G17" s="14" t="s">
        <v>192</v>
      </c>
      <c r="H17" s="18">
        <v>3.5</v>
      </c>
      <c r="I17" s="15">
        <f t="shared" si="2"/>
        <v>70</v>
      </c>
      <c r="J17" s="16"/>
    </row>
    <row r="18" s="3" customFormat="1" ht="16" customHeight="1" spans="1:10">
      <c r="A18" s="11">
        <v>13</v>
      </c>
      <c r="B18" s="16" t="s">
        <v>29</v>
      </c>
      <c r="C18" s="16"/>
      <c r="D18" s="16" t="s">
        <v>14</v>
      </c>
      <c r="E18" s="17">
        <v>11</v>
      </c>
      <c r="F18" s="13">
        <f t="shared" si="0"/>
        <v>19.7647058823529</v>
      </c>
      <c r="G18" s="14">
        <f t="shared" si="1"/>
        <v>0.85</v>
      </c>
      <c r="H18" s="18">
        <v>16.8</v>
      </c>
      <c r="I18" s="15">
        <f t="shared" si="2"/>
        <v>184.8</v>
      </c>
      <c r="J18" s="16"/>
    </row>
    <row r="19" s="3" customFormat="1" ht="16" customHeight="1" spans="1:10">
      <c r="A19" s="11">
        <v>14</v>
      </c>
      <c r="B19" s="11" t="s">
        <v>30</v>
      </c>
      <c r="C19" s="11"/>
      <c r="D19" s="16" t="s">
        <v>14</v>
      </c>
      <c r="E19" s="12">
        <v>3</v>
      </c>
      <c r="F19" s="13">
        <f t="shared" si="0"/>
        <v>16.4705882352941</v>
      </c>
      <c r="G19" s="14">
        <f t="shared" si="1"/>
        <v>0.85</v>
      </c>
      <c r="H19" s="18">
        <v>14</v>
      </c>
      <c r="I19" s="15">
        <f t="shared" si="2"/>
        <v>42</v>
      </c>
      <c r="J19" s="11"/>
    </row>
    <row r="20" s="3" customFormat="1" ht="16" customHeight="1" spans="1:10">
      <c r="A20" s="11">
        <v>15</v>
      </c>
      <c r="B20" s="11" t="s">
        <v>100</v>
      </c>
      <c r="C20" s="11"/>
      <c r="D20" s="11" t="s">
        <v>14</v>
      </c>
      <c r="E20" s="12">
        <v>5</v>
      </c>
      <c r="F20" s="13">
        <f t="shared" si="0"/>
        <v>19.7647058823529</v>
      </c>
      <c r="G20" s="14">
        <f t="shared" si="1"/>
        <v>0.85</v>
      </c>
      <c r="H20" s="18">
        <v>16.8</v>
      </c>
      <c r="I20" s="15">
        <f t="shared" si="2"/>
        <v>84</v>
      </c>
      <c r="J20" s="11"/>
    </row>
    <row r="21" s="3" customFormat="1" ht="16" customHeight="1" spans="1:10">
      <c r="A21" s="11">
        <v>16</v>
      </c>
      <c r="B21" s="11" t="s">
        <v>193</v>
      </c>
      <c r="C21" s="11" t="s">
        <v>194</v>
      </c>
      <c r="D21" s="11" t="s">
        <v>37</v>
      </c>
      <c r="E21" s="12">
        <v>10</v>
      </c>
      <c r="F21" s="13">
        <f t="shared" si="0"/>
        <v>2.35294117647059</v>
      </c>
      <c r="G21" s="14">
        <f t="shared" si="1"/>
        <v>0.85</v>
      </c>
      <c r="H21" s="18">
        <v>2</v>
      </c>
      <c r="I21" s="15">
        <f t="shared" si="2"/>
        <v>20</v>
      </c>
      <c r="J21" s="11"/>
    </row>
    <row r="22" s="3" customFormat="1" ht="16" customHeight="1" spans="1:10">
      <c r="A22" s="11">
        <v>17</v>
      </c>
      <c r="B22" s="11" t="s">
        <v>195</v>
      </c>
      <c r="C22" s="11" t="s">
        <v>196</v>
      </c>
      <c r="D22" s="11" t="s">
        <v>14</v>
      </c>
      <c r="E22" s="12">
        <v>5</v>
      </c>
      <c r="F22" s="13">
        <f t="shared" si="0"/>
        <v>6.47058823529412</v>
      </c>
      <c r="G22" s="14">
        <f t="shared" si="1"/>
        <v>0.85</v>
      </c>
      <c r="H22" s="18">
        <v>5.5</v>
      </c>
      <c r="I22" s="15">
        <f t="shared" si="2"/>
        <v>27.5</v>
      </c>
      <c r="J22" s="11"/>
    </row>
    <row r="23" s="3" customFormat="1" ht="16" customHeight="1" spans="1:10">
      <c r="A23" s="11">
        <v>18</v>
      </c>
      <c r="B23" s="11" t="s">
        <v>197</v>
      </c>
      <c r="C23" s="11" t="s">
        <v>198</v>
      </c>
      <c r="D23" s="11" t="s">
        <v>14</v>
      </c>
      <c r="E23" s="12">
        <v>5</v>
      </c>
      <c r="F23" s="13">
        <f t="shared" si="0"/>
        <v>5.88235294117647</v>
      </c>
      <c r="G23" s="14">
        <f t="shared" si="1"/>
        <v>0.85</v>
      </c>
      <c r="H23" s="18">
        <v>5</v>
      </c>
      <c r="I23" s="15">
        <f t="shared" si="2"/>
        <v>25</v>
      </c>
      <c r="J23" s="11"/>
    </row>
    <row r="24" s="3" customFormat="1" customHeight="1" spans="1:10">
      <c r="A24" s="11">
        <v>19</v>
      </c>
      <c r="B24" s="13" t="s">
        <v>111</v>
      </c>
      <c r="C24" s="13"/>
      <c r="D24" s="13" t="s">
        <v>40</v>
      </c>
      <c r="E24" s="12">
        <v>40</v>
      </c>
      <c r="F24" s="13">
        <f t="shared" si="0"/>
        <v>4.11764705882353</v>
      </c>
      <c r="G24" s="14">
        <f t="shared" si="1"/>
        <v>0.85</v>
      </c>
      <c r="H24" s="18">
        <v>3.5</v>
      </c>
      <c r="I24" s="15">
        <f t="shared" si="2"/>
        <v>140</v>
      </c>
      <c r="J24" s="13"/>
    </row>
    <row r="25" s="3" customFormat="1" customHeight="1" spans="1:10">
      <c r="A25" s="11">
        <v>20</v>
      </c>
      <c r="B25" s="13" t="s">
        <v>199</v>
      </c>
      <c r="C25" s="13" t="s">
        <v>200</v>
      </c>
      <c r="D25" s="13" t="s">
        <v>40</v>
      </c>
      <c r="E25" s="12">
        <v>5</v>
      </c>
      <c r="F25" s="13">
        <f t="shared" si="0"/>
        <v>4.11764705882353</v>
      </c>
      <c r="G25" s="14">
        <f t="shared" si="1"/>
        <v>0.85</v>
      </c>
      <c r="H25" s="18">
        <v>3.5</v>
      </c>
      <c r="I25" s="15">
        <f t="shared" si="2"/>
        <v>17.5</v>
      </c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>
        <v>28</v>
      </c>
      <c r="B33" s="13"/>
      <c r="C33" s="13"/>
      <c r="D33" s="13"/>
      <c r="E33" s="12"/>
      <c r="F33" s="13"/>
      <c r="G33" s="14"/>
      <c r="H33" s="18"/>
      <c r="I33" s="15"/>
      <c r="J33" s="13"/>
    </row>
    <row r="34" s="3" customFormat="1" customHeight="1" spans="1:10">
      <c r="A34" s="11" t="s">
        <v>90</v>
      </c>
      <c r="B34" s="19">
        <f>SUM(I6:I33)</f>
        <v>901.3</v>
      </c>
      <c r="C34" s="20"/>
      <c r="D34" s="20"/>
      <c r="E34" s="21"/>
      <c r="F34" s="20"/>
      <c r="G34" s="20"/>
      <c r="H34" s="20"/>
      <c r="I34" s="20"/>
      <c r="J34" s="24"/>
    </row>
    <row r="35" s="3" customFormat="1" customHeight="1" spans="1:10">
      <c r="A35" s="11" t="s">
        <v>43</v>
      </c>
      <c r="B35" s="22">
        <f>B34</f>
        <v>901.3</v>
      </c>
      <c r="C35" s="23"/>
      <c r="D35" s="23"/>
      <c r="E35" s="21"/>
      <c r="F35" s="23"/>
      <c r="G35" s="23"/>
      <c r="H35" s="23"/>
      <c r="I35" s="23"/>
      <c r="J35" s="25"/>
    </row>
    <row r="36" s="3" customFormat="1" customHeight="1" spans="1:5">
      <c r="A36" s="3" t="s">
        <v>44</v>
      </c>
      <c r="E36" s="4"/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4"/>
  <sheetViews>
    <sheetView topLeftCell="A13" workbookViewId="0">
      <selection activeCell="I13" sqref="I$1:I$104857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3" width="11.6666666666667" style="3" customWidth="1"/>
    <col min="16314" max="16314" width="11.6666666666667" style="3"/>
    <col min="16315" max="16320" width="11" style="3"/>
    <col min="16321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69</v>
      </c>
      <c r="B3" s="3" t="s">
        <v>70</v>
      </c>
      <c r="E3" s="4"/>
    </row>
    <row r="4" s="3" customFormat="1" customHeight="1" spans="1:10">
      <c r="A4" s="3" t="s">
        <v>71</v>
      </c>
      <c r="B4" s="8">
        <v>45158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157</v>
      </c>
      <c r="C6" s="11"/>
      <c r="D6" s="12" t="s">
        <v>14</v>
      </c>
      <c r="E6" s="12">
        <v>3</v>
      </c>
      <c r="F6" s="13">
        <f t="shared" ref="F6:F13" si="0">H6/0.85</f>
        <v>14.1176470588235</v>
      </c>
      <c r="G6" s="14">
        <f t="shared" ref="G6:G13" si="1">H6/F6</f>
        <v>0.85</v>
      </c>
      <c r="H6" s="15">
        <v>12</v>
      </c>
      <c r="I6" s="15">
        <f t="shared" ref="I6:I13" si="2">E6*H6</f>
        <v>36</v>
      </c>
      <c r="J6" s="11"/>
    </row>
    <row r="7" s="3" customFormat="1" ht="16" customHeight="1" spans="1:10">
      <c r="A7" s="11">
        <v>2</v>
      </c>
      <c r="B7" s="11" t="s">
        <v>49</v>
      </c>
      <c r="C7" s="11"/>
      <c r="D7" s="12" t="s">
        <v>14</v>
      </c>
      <c r="E7" s="12">
        <v>2</v>
      </c>
      <c r="F7" s="13">
        <f t="shared" si="0"/>
        <v>9.17647058823529</v>
      </c>
      <c r="G7" s="14">
        <f t="shared" si="1"/>
        <v>0.85</v>
      </c>
      <c r="H7" s="15">
        <v>7.8</v>
      </c>
      <c r="I7" s="15">
        <f t="shared" si="2"/>
        <v>15.6</v>
      </c>
      <c r="J7" s="11"/>
    </row>
    <row r="8" s="3" customFormat="1" ht="16" customHeight="1" spans="1:10">
      <c r="A8" s="11">
        <v>3</v>
      </c>
      <c r="B8" s="11" t="s">
        <v>50</v>
      </c>
      <c r="C8" s="11"/>
      <c r="D8" s="12" t="s">
        <v>14</v>
      </c>
      <c r="E8" s="12">
        <v>2</v>
      </c>
      <c r="F8" s="13">
        <f t="shared" si="0"/>
        <v>5.29411764705882</v>
      </c>
      <c r="G8" s="14">
        <f t="shared" si="1"/>
        <v>0.85</v>
      </c>
      <c r="H8" s="15">
        <v>4.5</v>
      </c>
      <c r="I8" s="15">
        <f t="shared" si="2"/>
        <v>9</v>
      </c>
      <c r="J8" s="11"/>
    </row>
    <row r="9" s="3" customFormat="1" ht="16" customHeight="1" spans="1:10">
      <c r="A9" s="11">
        <v>4</v>
      </c>
      <c r="B9" s="16" t="s">
        <v>51</v>
      </c>
      <c r="C9" s="16"/>
      <c r="D9" s="12" t="s">
        <v>14</v>
      </c>
      <c r="E9" s="12">
        <v>3</v>
      </c>
      <c r="F9" s="13">
        <f t="shared" si="0"/>
        <v>4.47058823529412</v>
      </c>
      <c r="G9" s="14">
        <f t="shared" si="1"/>
        <v>0.85</v>
      </c>
      <c r="H9" s="15">
        <v>3.8</v>
      </c>
      <c r="I9" s="15">
        <f t="shared" si="2"/>
        <v>11.4</v>
      </c>
      <c r="J9" s="11"/>
    </row>
    <row r="10" s="3" customFormat="1" ht="16" customHeight="1" spans="1:10">
      <c r="A10" s="11">
        <v>5</v>
      </c>
      <c r="B10" s="11" t="s">
        <v>201</v>
      </c>
      <c r="C10" s="11"/>
      <c r="D10" s="12" t="s">
        <v>14</v>
      </c>
      <c r="E10" s="12">
        <v>4.3</v>
      </c>
      <c r="F10" s="13">
        <f t="shared" si="0"/>
        <v>2.35294117647059</v>
      </c>
      <c r="G10" s="14">
        <f t="shared" si="1"/>
        <v>0.85</v>
      </c>
      <c r="H10" s="15">
        <v>2</v>
      </c>
      <c r="I10" s="15">
        <f t="shared" si="2"/>
        <v>8.6</v>
      </c>
      <c r="J10" s="11"/>
    </row>
    <row r="11" s="3" customFormat="1" ht="16" customHeight="1" spans="1:10">
      <c r="A11" s="11">
        <v>6</v>
      </c>
      <c r="B11" s="11" t="s">
        <v>116</v>
      </c>
      <c r="C11" s="11"/>
      <c r="D11" s="12" t="s">
        <v>14</v>
      </c>
      <c r="E11" s="12">
        <v>5</v>
      </c>
      <c r="F11" s="13">
        <f t="shared" si="0"/>
        <v>8</v>
      </c>
      <c r="G11" s="14">
        <f t="shared" si="1"/>
        <v>0.85</v>
      </c>
      <c r="H11" s="15">
        <v>6.8</v>
      </c>
      <c r="I11" s="15">
        <f t="shared" si="2"/>
        <v>34</v>
      </c>
      <c r="J11" s="11"/>
    </row>
    <row r="12" s="3" customFormat="1" ht="16" customHeight="1" spans="1:10">
      <c r="A12" s="11">
        <v>7</v>
      </c>
      <c r="B12" s="16" t="s">
        <v>98</v>
      </c>
      <c r="C12" s="16"/>
      <c r="D12" s="17" t="s">
        <v>14</v>
      </c>
      <c r="E12" s="17">
        <v>3</v>
      </c>
      <c r="F12" s="13">
        <f t="shared" si="0"/>
        <v>22.3529411764706</v>
      </c>
      <c r="G12" s="14">
        <f t="shared" si="1"/>
        <v>0.85</v>
      </c>
      <c r="H12" s="18">
        <v>19</v>
      </c>
      <c r="I12" s="15">
        <f t="shared" si="2"/>
        <v>57</v>
      </c>
      <c r="J12" s="16"/>
    </row>
    <row r="13" s="3" customFormat="1" ht="16" customHeight="1" spans="1:10">
      <c r="A13" s="11">
        <v>8</v>
      </c>
      <c r="B13" s="16" t="s">
        <v>202</v>
      </c>
      <c r="C13" s="16" t="s">
        <v>200</v>
      </c>
      <c r="D13" s="17" t="s">
        <v>40</v>
      </c>
      <c r="E13" s="17">
        <v>25</v>
      </c>
      <c r="F13" s="13">
        <f t="shared" si="0"/>
        <v>1.76470588235294</v>
      </c>
      <c r="G13" s="14">
        <f t="shared" si="1"/>
        <v>0.85</v>
      </c>
      <c r="H13" s="18">
        <v>1.5</v>
      </c>
      <c r="I13" s="15">
        <f t="shared" si="2"/>
        <v>37.5</v>
      </c>
      <c r="J13" s="16"/>
    </row>
    <row r="14" s="3" customFormat="1" ht="16" customHeight="1" spans="1:10">
      <c r="A14" s="11">
        <v>9</v>
      </c>
      <c r="B14" s="16"/>
      <c r="C14" s="16"/>
      <c r="D14" s="17"/>
      <c r="E14" s="17"/>
      <c r="F14" s="13"/>
      <c r="G14" s="14"/>
      <c r="H14" s="18"/>
      <c r="I14" s="15"/>
      <c r="J14" s="16"/>
    </row>
    <row r="15" s="3" customFormat="1" ht="16" customHeight="1" spans="1:10">
      <c r="A15" s="11">
        <v>10</v>
      </c>
      <c r="B15" s="16"/>
      <c r="C15" s="16"/>
      <c r="D15" s="17"/>
      <c r="E15" s="17"/>
      <c r="F15" s="13"/>
      <c r="G15" s="14"/>
      <c r="H15" s="18"/>
      <c r="I15" s="15"/>
      <c r="J15" s="16"/>
    </row>
    <row r="16" s="3" customFormat="1" ht="16" customHeight="1" spans="1:10">
      <c r="A16" s="11">
        <v>11</v>
      </c>
      <c r="B16" s="16"/>
      <c r="C16" s="16"/>
      <c r="D16" s="17"/>
      <c r="E16" s="17"/>
      <c r="F16" s="13"/>
      <c r="G16" s="14"/>
      <c r="H16" s="18"/>
      <c r="I16" s="15"/>
      <c r="J16" s="16"/>
    </row>
    <row r="17" s="3" customFormat="1" ht="16" customHeight="1" spans="1:10">
      <c r="A17" s="11">
        <v>12</v>
      </c>
      <c r="B17" s="16"/>
      <c r="C17" s="16"/>
      <c r="D17" s="17"/>
      <c r="E17" s="17"/>
      <c r="F17" s="13"/>
      <c r="G17" s="14"/>
      <c r="H17" s="18"/>
      <c r="I17" s="15"/>
      <c r="J17" s="16"/>
    </row>
    <row r="18" s="3" customFormat="1" ht="16" customHeight="1" spans="1:10">
      <c r="A18" s="11">
        <v>13</v>
      </c>
      <c r="B18" s="11"/>
      <c r="C18" s="11"/>
      <c r="D18" s="16"/>
      <c r="E18" s="12"/>
      <c r="F18" s="13"/>
      <c r="G18" s="14"/>
      <c r="H18" s="18"/>
      <c r="I18" s="15"/>
      <c r="J18" s="11"/>
    </row>
    <row r="19" s="3" customFormat="1" ht="16" customHeight="1" spans="1:10">
      <c r="A19" s="11">
        <v>14</v>
      </c>
      <c r="B19" s="11"/>
      <c r="C19" s="11"/>
      <c r="D19" s="11"/>
      <c r="E19" s="12"/>
      <c r="F19" s="13"/>
      <c r="G19" s="14"/>
      <c r="H19" s="18"/>
      <c r="I19" s="15"/>
      <c r="J19" s="11"/>
    </row>
    <row r="20" s="3" customFormat="1" ht="16" customHeight="1" spans="1:10">
      <c r="A20" s="11">
        <v>15</v>
      </c>
      <c r="B20" s="11"/>
      <c r="C20" s="11"/>
      <c r="D20" s="11"/>
      <c r="E20" s="12"/>
      <c r="F20" s="13"/>
      <c r="G20" s="14"/>
      <c r="H20" s="18"/>
      <c r="I20" s="15"/>
      <c r="J20" s="11"/>
    </row>
    <row r="21" s="3" customFormat="1" ht="16" customHeight="1" spans="1:10">
      <c r="A21" s="11">
        <v>16</v>
      </c>
      <c r="B21" s="11"/>
      <c r="C21" s="11"/>
      <c r="D21" s="11"/>
      <c r="E21" s="12"/>
      <c r="F21" s="13"/>
      <c r="G21" s="14"/>
      <c r="H21" s="18"/>
      <c r="I21" s="15"/>
      <c r="J21" s="11"/>
    </row>
    <row r="22" s="3" customFormat="1" ht="16" customHeight="1" spans="1:10">
      <c r="A22" s="11">
        <v>17</v>
      </c>
      <c r="B22" s="11"/>
      <c r="C22" s="11"/>
      <c r="D22" s="11"/>
      <c r="E22" s="12"/>
      <c r="F22" s="13"/>
      <c r="G22" s="14"/>
      <c r="H22" s="18"/>
      <c r="I22" s="15"/>
      <c r="J22" s="11"/>
    </row>
    <row r="23" s="3" customFormat="1" customHeight="1" spans="1:10">
      <c r="A23" s="11">
        <v>18</v>
      </c>
      <c r="B23" s="13"/>
      <c r="C23" s="13"/>
      <c r="D23" s="13"/>
      <c r="E23" s="12"/>
      <c r="F23" s="13"/>
      <c r="G23" s="14"/>
      <c r="H23" s="18"/>
      <c r="I23" s="15"/>
      <c r="J23" s="13"/>
    </row>
    <row r="24" s="3" customFormat="1" customHeight="1" spans="1:10">
      <c r="A24" s="11">
        <v>19</v>
      </c>
      <c r="B24" s="13"/>
      <c r="C24" s="13"/>
      <c r="D24" s="13"/>
      <c r="E24" s="12"/>
      <c r="F24" s="13"/>
      <c r="G24" s="14"/>
      <c r="H24" s="18"/>
      <c r="I24" s="15"/>
      <c r="J24" s="13"/>
    </row>
    <row r="25" s="3" customFormat="1" customHeight="1" spans="1:10">
      <c r="A25" s="11">
        <v>20</v>
      </c>
      <c r="B25" s="13"/>
      <c r="C25" s="13"/>
      <c r="D25" s="13"/>
      <c r="E25" s="12"/>
      <c r="F25" s="13"/>
      <c r="G25" s="14"/>
      <c r="H25" s="18"/>
      <c r="I25" s="15"/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 t="s">
        <v>90</v>
      </c>
      <c r="B32" s="19">
        <f>SUM(I6:I31)</f>
        <v>209.1</v>
      </c>
      <c r="C32" s="20"/>
      <c r="D32" s="20"/>
      <c r="E32" s="21"/>
      <c r="F32" s="20"/>
      <c r="G32" s="20"/>
      <c r="H32" s="20"/>
      <c r="I32" s="20"/>
      <c r="J32" s="24"/>
    </row>
    <row r="33" s="3" customFormat="1" customHeight="1" spans="1:10">
      <c r="A33" s="11" t="s">
        <v>43</v>
      </c>
      <c r="B33" s="22">
        <f>B32</f>
        <v>209.1</v>
      </c>
      <c r="C33" s="23"/>
      <c r="D33" s="23"/>
      <c r="E33" s="21"/>
      <c r="F33" s="23"/>
      <c r="G33" s="23"/>
      <c r="H33" s="23"/>
      <c r="I33" s="23"/>
      <c r="J33" s="25"/>
    </row>
    <row r="34" s="3" customFormat="1" customHeight="1" spans="1:5">
      <c r="A34" s="3" t="s">
        <v>44</v>
      </c>
      <c r="E34" s="4"/>
    </row>
  </sheetData>
  <mergeCells count="4">
    <mergeCell ref="A1:J1"/>
    <mergeCell ref="B32:J32"/>
    <mergeCell ref="B33:J33"/>
    <mergeCell ref="A34:J34"/>
  </mergeCells>
  <conditionalFormatting sqref="B6:B31">
    <cfRule type="duplicateValues" dxfId="0" priority="2"/>
  </conditionalFormatting>
  <conditionalFormatting sqref="B1:B31 B34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19" workbookViewId="0">
      <selection activeCell="I19" sqref="I$1:I$104857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3" width="11.6666666666667" style="3" customWidth="1"/>
    <col min="16314" max="16314" width="11.6666666666667" style="3"/>
    <col min="16315" max="16320" width="11" style="3"/>
    <col min="16321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69</v>
      </c>
      <c r="B3" s="3" t="s">
        <v>70</v>
      </c>
      <c r="E3" s="4"/>
    </row>
    <row r="4" s="3" customFormat="1" customHeight="1" spans="1:10">
      <c r="A4" s="3" t="s">
        <v>71</v>
      </c>
      <c r="B4" s="8">
        <v>45159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4</v>
      </c>
      <c r="F6" s="13">
        <f t="shared" ref="F6:F29" si="0">H6/0.85</f>
        <v>3.52941176470588</v>
      </c>
      <c r="G6" s="14">
        <f t="shared" ref="G6:G29" si="1">H6/F6</f>
        <v>0.85</v>
      </c>
      <c r="H6" s="15">
        <v>3</v>
      </c>
      <c r="I6" s="15">
        <f t="shared" ref="I6:I29" si="2">E6*H6</f>
        <v>12</v>
      </c>
      <c r="J6" s="11"/>
    </row>
    <row r="7" s="3" customFormat="1" ht="16" customHeight="1" spans="1:10">
      <c r="A7" s="11">
        <v>2</v>
      </c>
      <c r="B7" s="11" t="s">
        <v>152</v>
      </c>
      <c r="C7" s="11"/>
      <c r="D7" s="12" t="s">
        <v>14</v>
      </c>
      <c r="E7" s="12">
        <v>2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7</v>
      </c>
      <c r="J7" s="11"/>
    </row>
    <row r="8" s="3" customFormat="1" ht="16" customHeight="1" spans="1:10">
      <c r="A8" s="11">
        <v>3</v>
      </c>
      <c r="B8" s="11" t="s">
        <v>15</v>
      </c>
      <c r="C8" s="11"/>
      <c r="D8" s="12" t="s">
        <v>14</v>
      </c>
      <c r="E8" s="12">
        <v>6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21</v>
      </c>
      <c r="J8" s="11"/>
    </row>
    <row r="9" s="3" customFormat="1" ht="16" customHeight="1" spans="1:10">
      <c r="A9" s="11">
        <v>4</v>
      </c>
      <c r="B9" s="16" t="s">
        <v>91</v>
      </c>
      <c r="C9" s="16"/>
      <c r="D9" s="12" t="s">
        <v>14</v>
      </c>
      <c r="E9" s="12">
        <v>3</v>
      </c>
      <c r="F9" s="13">
        <f t="shared" si="0"/>
        <v>2.94117647058824</v>
      </c>
      <c r="G9" s="14">
        <f t="shared" si="1"/>
        <v>0.85</v>
      </c>
      <c r="H9" s="15">
        <v>2.5</v>
      </c>
      <c r="I9" s="15">
        <f t="shared" si="2"/>
        <v>7.5</v>
      </c>
      <c r="J9" s="11"/>
    </row>
    <row r="10" s="3" customFormat="1" ht="16" customHeight="1" spans="1:10">
      <c r="A10" s="11">
        <v>5</v>
      </c>
      <c r="B10" s="11" t="s">
        <v>153</v>
      </c>
      <c r="C10" s="11"/>
      <c r="D10" s="12" t="s">
        <v>14</v>
      </c>
      <c r="E10" s="12">
        <v>4</v>
      </c>
      <c r="F10" s="13">
        <f t="shared" si="0"/>
        <v>9.17647058823529</v>
      </c>
      <c r="G10" s="14">
        <f t="shared" si="1"/>
        <v>0.85</v>
      </c>
      <c r="H10" s="15">
        <v>7.8</v>
      </c>
      <c r="I10" s="15">
        <f t="shared" si="2"/>
        <v>31.2</v>
      </c>
      <c r="J10" s="11"/>
    </row>
    <row r="11" s="3" customFormat="1" ht="16" customHeight="1" spans="1:10">
      <c r="A11" s="11">
        <v>6</v>
      </c>
      <c r="B11" s="11" t="s">
        <v>18</v>
      </c>
      <c r="C11" s="11"/>
      <c r="D11" s="12" t="s">
        <v>14</v>
      </c>
      <c r="E11" s="12">
        <v>5</v>
      </c>
      <c r="F11" s="13">
        <f t="shared" si="0"/>
        <v>4.11764705882353</v>
      </c>
      <c r="G11" s="14">
        <f t="shared" si="1"/>
        <v>0.85</v>
      </c>
      <c r="H11" s="15">
        <v>3.5</v>
      </c>
      <c r="I11" s="15">
        <f t="shared" si="2"/>
        <v>17.5</v>
      </c>
      <c r="J11" s="11"/>
    </row>
    <row r="12" s="3" customFormat="1" ht="16" customHeight="1" spans="1:10">
      <c r="A12" s="11">
        <v>7</v>
      </c>
      <c r="B12" s="16" t="s">
        <v>49</v>
      </c>
      <c r="C12" s="16"/>
      <c r="D12" s="17" t="s">
        <v>14</v>
      </c>
      <c r="E12" s="17">
        <v>3</v>
      </c>
      <c r="F12" s="13">
        <f t="shared" si="0"/>
        <v>9.17647058823529</v>
      </c>
      <c r="G12" s="14">
        <f t="shared" si="1"/>
        <v>0.85</v>
      </c>
      <c r="H12" s="18">
        <v>7.8</v>
      </c>
      <c r="I12" s="15">
        <f t="shared" si="2"/>
        <v>23.4</v>
      </c>
      <c r="J12" s="16"/>
    </row>
    <row r="13" s="3" customFormat="1" ht="16" customHeight="1" spans="1:10">
      <c r="A13" s="11">
        <v>8</v>
      </c>
      <c r="B13" s="16" t="s">
        <v>50</v>
      </c>
      <c r="C13" s="16"/>
      <c r="D13" s="17" t="s">
        <v>14</v>
      </c>
      <c r="E13" s="17">
        <v>3</v>
      </c>
      <c r="F13" s="13">
        <f t="shared" si="0"/>
        <v>5.29411764705882</v>
      </c>
      <c r="G13" s="14">
        <f t="shared" si="1"/>
        <v>0.85</v>
      </c>
      <c r="H13" s="18">
        <v>4.5</v>
      </c>
      <c r="I13" s="15">
        <f t="shared" si="2"/>
        <v>13.5</v>
      </c>
      <c r="J13" s="16"/>
    </row>
    <row r="14" s="3" customFormat="1" ht="16" customHeight="1" spans="1:10">
      <c r="A14" s="11">
        <v>9</v>
      </c>
      <c r="B14" s="16" t="s">
        <v>203</v>
      </c>
      <c r="C14" s="16"/>
      <c r="D14" s="17" t="s">
        <v>14</v>
      </c>
      <c r="E14" s="17">
        <v>13</v>
      </c>
      <c r="F14" s="13">
        <f t="shared" si="0"/>
        <v>14.1176470588235</v>
      </c>
      <c r="G14" s="14">
        <f t="shared" si="1"/>
        <v>0.85</v>
      </c>
      <c r="H14" s="18">
        <v>12</v>
      </c>
      <c r="I14" s="15">
        <f t="shared" si="2"/>
        <v>156</v>
      </c>
      <c r="J14" s="16"/>
    </row>
    <row r="15" s="3" customFormat="1" ht="16" customHeight="1" spans="1:10">
      <c r="A15" s="11">
        <v>10</v>
      </c>
      <c r="B15" s="16" t="s">
        <v>25</v>
      </c>
      <c r="C15" s="16"/>
      <c r="D15" s="17" t="s">
        <v>14</v>
      </c>
      <c r="E15" s="17">
        <v>3</v>
      </c>
      <c r="F15" s="13">
        <f t="shared" si="0"/>
        <v>6.47058823529412</v>
      </c>
      <c r="G15" s="14">
        <f t="shared" si="1"/>
        <v>0.85</v>
      </c>
      <c r="H15" s="18">
        <v>5.5</v>
      </c>
      <c r="I15" s="15">
        <f t="shared" si="2"/>
        <v>16.5</v>
      </c>
      <c r="J15" s="16"/>
    </row>
    <row r="16" s="3" customFormat="1" ht="16" customHeight="1" spans="1:10">
      <c r="A16" s="11">
        <v>11</v>
      </c>
      <c r="B16" s="16" t="s">
        <v>159</v>
      </c>
      <c r="C16" s="16"/>
      <c r="D16" s="17" t="s">
        <v>14</v>
      </c>
      <c r="E16" s="17">
        <v>16</v>
      </c>
      <c r="F16" s="13">
        <f t="shared" si="0"/>
        <v>4.11764705882353</v>
      </c>
      <c r="G16" s="14">
        <f t="shared" si="1"/>
        <v>0.85</v>
      </c>
      <c r="H16" s="18">
        <v>3.5</v>
      </c>
      <c r="I16" s="15">
        <f t="shared" si="2"/>
        <v>56</v>
      </c>
      <c r="J16" s="16"/>
    </row>
    <row r="17" s="3" customFormat="1" ht="16" customHeight="1" spans="1:10">
      <c r="A17" s="11">
        <v>12</v>
      </c>
      <c r="B17" s="16" t="s">
        <v>76</v>
      </c>
      <c r="C17" s="16"/>
      <c r="D17" s="17" t="s">
        <v>14</v>
      </c>
      <c r="E17" s="17">
        <v>15</v>
      </c>
      <c r="F17" s="13">
        <f t="shared" si="0"/>
        <v>4.11764705882353</v>
      </c>
      <c r="G17" s="14">
        <f t="shared" si="1"/>
        <v>0.85</v>
      </c>
      <c r="H17" s="18">
        <v>3.5</v>
      </c>
      <c r="I17" s="15">
        <f t="shared" si="2"/>
        <v>52.5</v>
      </c>
      <c r="J17" s="16"/>
    </row>
    <row r="18" s="3" customFormat="1" ht="16" customHeight="1" spans="1:10">
      <c r="A18" s="11">
        <v>13</v>
      </c>
      <c r="B18" s="11" t="s">
        <v>26</v>
      </c>
      <c r="C18" s="11" t="s">
        <v>27</v>
      </c>
      <c r="D18" s="12" t="s">
        <v>28</v>
      </c>
      <c r="E18" s="12">
        <v>1</v>
      </c>
      <c r="F18" s="13">
        <f t="shared" si="0"/>
        <v>352.941176470588</v>
      </c>
      <c r="G18" s="14">
        <f t="shared" si="1"/>
        <v>0.85</v>
      </c>
      <c r="H18" s="18">
        <v>300</v>
      </c>
      <c r="I18" s="15">
        <f t="shared" si="2"/>
        <v>300</v>
      </c>
      <c r="J18" s="11"/>
    </row>
    <row r="19" s="3" customFormat="1" ht="16" customHeight="1" spans="1:10">
      <c r="A19" s="11">
        <v>14</v>
      </c>
      <c r="B19" s="16" t="s">
        <v>30</v>
      </c>
      <c r="C19" s="16"/>
      <c r="D19" s="16" t="s">
        <v>14</v>
      </c>
      <c r="E19" s="17">
        <v>7</v>
      </c>
      <c r="F19" s="13">
        <f t="shared" si="0"/>
        <v>16.4705882352941</v>
      </c>
      <c r="G19" s="14">
        <f t="shared" si="1"/>
        <v>0.85</v>
      </c>
      <c r="H19" s="18">
        <v>14</v>
      </c>
      <c r="I19" s="15">
        <f t="shared" si="2"/>
        <v>98</v>
      </c>
      <c r="J19" s="16"/>
    </row>
    <row r="20" s="3" customFormat="1" ht="16" customHeight="1" spans="1:10">
      <c r="A20" s="11">
        <v>15</v>
      </c>
      <c r="B20" s="11" t="s">
        <v>204</v>
      </c>
      <c r="C20" s="11"/>
      <c r="D20" s="11" t="s">
        <v>28</v>
      </c>
      <c r="E20" s="12">
        <v>1</v>
      </c>
      <c r="F20" s="13">
        <f t="shared" si="0"/>
        <v>152.941176470588</v>
      </c>
      <c r="G20" s="14">
        <f t="shared" si="1"/>
        <v>0.85</v>
      </c>
      <c r="H20" s="18">
        <v>130</v>
      </c>
      <c r="I20" s="15">
        <f t="shared" si="2"/>
        <v>130</v>
      </c>
      <c r="J20" s="11"/>
    </row>
    <row r="21" s="3" customFormat="1" ht="16" customHeight="1" spans="1:10">
      <c r="A21" s="11">
        <v>16</v>
      </c>
      <c r="B21" s="11" t="s">
        <v>205</v>
      </c>
      <c r="C21" s="11" t="s">
        <v>66</v>
      </c>
      <c r="D21" s="11" t="s">
        <v>14</v>
      </c>
      <c r="E21" s="12">
        <v>8</v>
      </c>
      <c r="F21" s="13">
        <f t="shared" si="0"/>
        <v>9.41176470588235</v>
      </c>
      <c r="G21" s="14">
        <f t="shared" si="1"/>
        <v>0.85</v>
      </c>
      <c r="H21" s="18">
        <v>8</v>
      </c>
      <c r="I21" s="15">
        <f t="shared" si="2"/>
        <v>64</v>
      </c>
      <c r="J21" s="11"/>
    </row>
    <row r="22" s="3" customFormat="1" ht="16" customHeight="1" spans="1:10">
      <c r="A22" s="11">
        <v>17</v>
      </c>
      <c r="B22" s="11" t="s">
        <v>123</v>
      </c>
      <c r="C22" s="11"/>
      <c r="D22" s="11" t="s">
        <v>14</v>
      </c>
      <c r="E22" s="12">
        <v>5</v>
      </c>
      <c r="F22" s="13">
        <f t="shared" si="0"/>
        <v>103.529411764706</v>
      </c>
      <c r="G22" s="14">
        <f t="shared" si="1"/>
        <v>0.85</v>
      </c>
      <c r="H22" s="18">
        <v>88</v>
      </c>
      <c r="I22" s="15">
        <f t="shared" si="2"/>
        <v>440</v>
      </c>
      <c r="J22" s="11"/>
    </row>
    <row r="23" s="3" customFormat="1" ht="16" customHeight="1" spans="1:10">
      <c r="A23" s="11">
        <v>18</v>
      </c>
      <c r="B23" s="11" t="s">
        <v>195</v>
      </c>
      <c r="C23" s="11" t="s">
        <v>196</v>
      </c>
      <c r="D23" s="11" t="s">
        <v>14</v>
      </c>
      <c r="E23" s="12">
        <v>5</v>
      </c>
      <c r="F23" s="13">
        <f t="shared" si="0"/>
        <v>6.47058823529412</v>
      </c>
      <c r="G23" s="14">
        <f t="shared" si="1"/>
        <v>0.85</v>
      </c>
      <c r="H23" s="18">
        <v>5.5</v>
      </c>
      <c r="I23" s="15">
        <f t="shared" si="2"/>
        <v>27.5</v>
      </c>
      <c r="J23" s="11"/>
    </row>
    <row r="24" s="3" customFormat="1" customHeight="1" spans="1:10">
      <c r="A24" s="11">
        <v>19</v>
      </c>
      <c r="B24" s="13" t="s">
        <v>35</v>
      </c>
      <c r="C24" s="13" t="s">
        <v>36</v>
      </c>
      <c r="D24" s="13" t="s">
        <v>37</v>
      </c>
      <c r="E24" s="12">
        <v>1</v>
      </c>
      <c r="F24" s="13">
        <f t="shared" si="0"/>
        <v>247.058823529412</v>
      </c>
      <c r="G24" s="14">
        <f t="shared" si="1"/>
        <v>0.85</v>
      </c>
      <c r="H24" s="18">
        <v>210</v>
      </c>
      <c r="I24" s="15">
        <f t="shared" si="2"/>
        <v>210</v>
      </c>
      <c r="J24" s="13"/>
    </row>
    <row r="25" s="3" customFormat="1" customHeight="1" spans="1:10">
      <c r="A25" s="11">
        <v>20</v>
      </c>
      <c r="B25" s="13" t="s">
        <v>206</v>
      </c>
      <c r="C25" s="13" t="s">
        <v>200</v>
      </c>
      <c r="D25" s="13" t="s">
        <v>40</v>
      </c>
      <c r="E25" s="12">
        <v>60</v>
      </c>
      <c r="F25" s="13">
        <f t="shared" si="0"/>
        <v>1.88235294117647</v>
      </c>
      <c r="G25" s="14">
        <f t="shared" si="1"/>
        <v>0.85</v>
      </c>
      <c r="H25" s="18">
        <v>1.6</v>
      </c>
      <c r="I25" s="15">
        <f t="shared" si="2"/>
        <v>96</v>
      </c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 t="s">
        <v>90</v>
      </c>
      <c r="B33" s="19">
        <f>SUM(I6:I32)</f>
        <v>1779.6</v>
      </c>
      <c r="C33" s="20"/>
      <c r="D33" s="20"/>
      <c r="E33" s="21"/>
      <c r="F33" s="20"/>
      <c r="G33" s="20"/>
      <c r="H33" s="20"/>
      <c r="I33" s="20"/>
      <c r="J33" s="24"/>
    </row>
    <row r="34" s="3" customFormat="1" customHeight="1" spans="1:10">
      <c r="A34" s="11" t="s">
        <v>43</v>
      </c>
      <c r="B34" s="22">
        <f>B33</f>
        <v>1779.6</v>
      </c>
      <c r="C34" s="23"/>
      <c r="D34" s="23"/>
      <c r="E34" s="21"/>
      <c r="F34" s="23"/>
      <c r="G34" s="23"/>
      <c r="H34" s="23"/>
      <c r="I34" s="23"/>
      <c r="J34" s="25"/>
    </row>
    <row r="35" s="3" customFormat="1" customHeight="1" spans="1:5">
      <c r="A35" s="3" t="s">
        <v>44</v>
      </c>
      <c r="E35" s="4"/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2"/>
  </conditionalFormatting>
  <conditionalFormatting sqref="B1:B32 B35:B1048576">
    <cfRule type="duplicateValues" dxfId="0" priority="1"/>
  </conditionalFormatting>
  <conditionalFormatting sqref="B6:C18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2"/>
  <sheetViews>
    <sheetView topLeftCell="A18" workbookViewId="0">
      <selection activeCell="I18" sqref="I$1:I$104857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3" width="11.6666666666667" style="3" customWidth="1"/>
    <col min="16314" max="16314" width="11.6666666666667" style="3"/>
    <col min="16315" max="16320" width="11" style="3"/>
    <col min="16321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69</v>
      </c>
      <c r="B3" s="3" t="s">
        <v>70</v>
      </c>
      <c r="E3" s="4"/>
    </row>
    <row r="4" s="3" customFormat="1" customHeight="1" spans="1:10">
      <c r="A4" s="3" t="s">
        <v>71</v>
      </c>
      <c r="B4" s="8">
        <v>45160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4</v>
      </c>
      <c r="F6" s="13">
        <f t="shared" ref="F6:F29" si="0">H6/0.85</f>
        <v>3.52941176470588</v>
      </c>
      <c r="G6" s="14">
        <f t="shared" ref="G6:G29" si="1">H6/F6</f>
        <v>0.85</v>
      </c>
      <c r="H6" s="15">
        <v>3</v>
      </c>
      <c r="I6" s="15">
        <f t="shared" ref="I6:I29" si="2">E6*H6</f>
        <v>12</v>
      </c>
      <c r="J6" s="11"/>
    </row>
    <row r="7" s="3" customFormat="1" ht="16" customHeight="1" spans="1:10">
      <c r="A7" s="11">
        <v>2</v>
      </c>
      <c r="B7" s="11" t="s">
        <v>15</v>
      </c>
      <c r="C7" s="11"/>
      <c r="D7" s="12" t="s">
        <v>14</v>
      </c>
      <c r="E7" s="12">
        <v>4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14</v>
      </c>
      <c r="J7" s="11"/>
    </row>
    <row r="8" s="3" customFormat="1" ht="16" customHeight="1" spans="1:10">
      <c r="A8" s="11">
        <v>3</v>
      </c>
      <c r="B8" s="11" t="s">
        <v>72</v>
      </c>
      <c r="C8" s="11"/>
      <c r="D8" s="12" t="s">
        <v>14</v>
      </c>
      <c r="E8" s="12">
        <v>1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3.5</v>
      </c>
      <c r="J8" s="11"/>
    </row>
    <row r="9" s="3" customFormat="1" ht="16" customHeight="1" spans="1:10">
      <c r="A9" s="11">
        <v>4</v>
      </c>
      <c r="B9" s="16" t="s">
        <v>103</v>
      </c>
      <c r="C9" s="16"/>
      <c r="D9" s="12" t="s">
        <v>14</v>
      </c>
      <c r="E9" s="12">
        <v>1</v>
      </c>
      <c r="F9" s="13">
        <f t="shared" si="0"/>
        <v>8</v>
      </c>
      <c r="G9" s="14">
        <f t="shared" si="1"/>
        <v>0.85</v>
      </c>
      <c r="H9" s="15">
        <v>6.8</v>
      </c>
      <c r="I9" s="15">
        <f t="shared" si="2"/>
        <v>6.8</v>
      </c>
      <c r="J9" s="11"/>
    </row>
    <row r="10" s="3" customFormat="1" ht="16" customHeight="1" spans="1:10">
      <c r="A10" s="11">
        <v>5</v>
      </c>
      <c r="B10" s="11" t="s">
        <v>146</v>
      </c>
      <c r="C10" s="11"/>
      <c r="D10" s="12" t="s">
        <v>14</v>
      </c>
      <c r="E10" s="12">
        <v>14</v>
      </c>
      <c r="F10" s="13">
        <f t="shared" si="0"/>
        <v>11.5294117647059</v>
      </c>
      <c r="G10" s="14">
        <f t="shared" si="1"/>
        <v>0.85</v>
      </c>
      <c r="H10" s="15">
        <v>9.8</v>
      </c>
      <c r="I10" s="15">
        <f t="shared" si="2"/>
        <v>137.2</v>
      </c>
      <c r="J10" s="11"/>
    </row>
    <row r="11" s="3" customFormat="1" ht="16" customHeight="1" spans="1:10">
      <c r="A11" s="11">
        <v>6</v>
      </c>
      <c r="B11" s="11" t="s">
        <v>73</v>
      </c>
      <c r="C11" s="11"/>
      <c r="D11" s="12" t="s">
        <v>14</v>
      </c>
      <c r="E11" s="12">
        <v>16</v>
      </c>
      <c r="F11" s="13">
        <f t="shared" si="0"/>
        <v>4.11764705882353</v>
      </c>
      <c r="G11" s="14">
        <f t="shared" si="1"/>
        <v>0.85</v>
      </c>
      <c r="H11" s="15">
        <v>3.5</v>
      </c>
      <c r="I11" s="15">
        <f t="shared" si="2"/>
        <v>56</v>
      </c>
      <c r="J11" s="11"/>
    </row>
    <row r="12" s="3" customFormat="1" ht="16" customHeight="1" spans="1:10">
      <c r="A12" s="11">
        <v>7</v>
      </c>
      <c r="B12" s="16" t="s">
        <v>20</v>
      </c>
      <c r="C12" s="16"/>
      <c r="D12" s="17" t="s">
        <v>21</v>
      </c>
      <c r="E12" s="17">
        <v>7</v>
      </c>
      <c r="F12" s="13">
        <f t="shared" si="0"/>
        <v>3.52941176470588</v>
      </c>
      <c r="G12" s="14">
        <f t="shared" si="1"/>
        <v>0.85</v>
      </c>
      <c r="H12" s="18">
        <v>3</v>
      </c>
      <c r="I12" s="15">
        <f t="shared" si="2"/>
        <v>21</v>
      </c>
      <c r="J12" s="16"/>
    </row>
    <row r="13" s="3" customFormat="1" ht="16" customHeight="1" spans="1:10">
      <c r="A13" s="11">
        <v>8</v>
      </c>
      <c r="B13" s="16" t="s">
        <v>207</v>
      </c>
      <c r="C13" s="16"/>
      <c r="D13" s="17" t="s">
        <v>14</v>
      </c>
      <c r="E13" s="17">
        <v>26</v>
      </c>
      <c r="F13" s="13">
        <f t="shared" si="0"/>
        <v>2.94117647058824</v>
      </c>
      <c r="G13" s="14">
        <f t="shared" si="1"/>
        <v>0.85</v>
      </c>
      <c r="H13" s="18">
        <v>2.5</v>
      </c>
      <c r="I13" s="15">
        <f t="shared" si="2"/>
        <v>65</v>
      </c>
      <c r="J13" s="16"/>
    </row>
    <row r="14" s="3" customFormat="1" ht="16" customHeight="1" spans="1:10">
      <c r="A14" s="11">
        <v>9</v>
      </c>
      <c r="B14" s="16" t="s">
        <v>104</v>
      </c>
      <c r="C14" s="16"/>
      <c r="D14" s="17" t="s">
        <v>14</v>
      </c>
      <c r="E14" s="17">
        <v>6.1</v>
      </c>
      <c r="F14" s="13">
        <f t="shared" si="0"/>
        <v>11.5294117647059</v>
      </c>
      <c r="G14" s="14">
        <f t="shared" si="1"/>
        <v>0.85</v>
      </c>
      <c r="H14" s="18">
        <v>9.8</v>
      </c>
      <c r="I14" s="15">
        <f t="shared" si="2"/>
        <v>59.78</v>
      </c>
      <c r="J14" s="16"/>
    </row>
    <row r="15" s="3" customFormat="1" ht="16" customHeight="1" spans="1:10">
      <c r="A15" s="11">
        <v>10</v>
      </c>
      <c r="B15" s="16" t="s">
        <v>53</v>
      </c>
      <c r="C15" s="16"/>
      <c r="D15" s="17" t="s">
        <v>14</v>
      </c>
      <c r="E15" s="17">
        <v>15</v>
      </c>
      <c r="F15" s="13">
        <f t="shared" si="0"/>
        <v>2.11764705882353</v>
      </c>
      <c r="G15" s="14">
        <f t="shared" si="1"/>
        <v>0.85</v>
      </c>
      <c r="H15" s="18">
        <v>1.8</v>
      </c>
      <c r="I15" s="15">
        <f t="shared" si="2"/>
        <v>27</v>
      </c>
      <c r="J15" s="16"/>
    </row>
    <row r="16" s="3" customFormat="1" ht="16" customHeight="1" spans="1:10">
      <c r="A16" s="11">
        <v>11</v>
      </c>
      <c r="B16" s="16" t="s">
        <v>105</v>
      </c>
      <c r="C16" s="16"/>
      <c r="D16" s="17" t="s">
        <v>14</v>
      </c>
      <c r="E16" s="17">
        <v>3</v>
      </c>
      <c r="F16" s="13">
        <f t="shared" si="0"/>
        <v>16.2352941176471</v>
      </c>
      <c r="G16" s="14">
        <f t="shared" si="1"/>
        <v>0.85</v>
      </c>
      <c r="H16" s="18">
        <v>13.8</v>
      </c>
      <c r="I16" s="15">
        <f t="shared" si="2"/>
        <v>41.4</v>
      </c>
      <c r="J16" s="16"/>
    </row>
    <row r="17" s="3" customFormat="1" ht="16" customHeight="1" spans="1:10">
      <c r="A17" s="11">
        <v>12</v>
      </c>
      <c r="B17" s="16" t="s">
        <v>208</v>
      </c>
      <c r="C17" s="16"/>
      <c r="D17" s="17" t="s">
        <v>14</v>
      </c>
      <c r="E17" s="17">
        <v>10</v>
      </c>
      <c r="F17" s="13">
        <f t="shared" si="0"/>
        <v>32.9411764705882</v>
      </c>
      <c r="G17" s="14">
        <f t="shared" si="1"/>
        <v>0.85</v>
      </c>
      <c r="H17" s="18">
        <v>28</v>
      </c>
      <c r="I17" s="15">
        <f t="shared" si="2"/>
        <v>280</v>
      </c>
      <c r="J17" s="16"/>
    </row>
    <row r="18" s="3" customFormat="1" ht="16" customHeight="1" spans="1:10">
      <c r="A18" s="11">
        <v>13</v>
      </c>
      <c r="B18" s="11" t="s">
        <v>209</v>
      </c>
      <c r="C18" s="11"/>
      <c r="D18" s="16" t="s">
        <v>14</v>
      </c>
      <c r="E18" s="12">
        <v>1</v>
      </c>
      <c r="F18" s="13">
        <f t="shared" si="0"/>
        <v>80</v>
      </c>
      <c r="G18" s="14">
        <f t="shared" si="1"/>
        <v>0.85</v>
      </c>
      <c r="H18" s="18">
        <v>68</v>
      </c>
      <c r="I18" s="15">
        <f t="shared" si="2"/>
        <v>68</v>
      </c>
      <c r="J18" s="11"/>
    </row>
    <row r="19" s="3" customFormat="1" ht="16" customHeight="1" spans="1:10">
      <c r="A19" s="11">
        <v>14</v>
      </c>
      <c r="B19" s="11" t="s">
        <v>210</v>
      </c>
      <c r="C19" s="11" t="s">
        <v>211</v>
      </c>
      <c r="D19" s="11" t="s">
        <v>81</v>
      </c>
      <c r="E19" s="12">
        <v>2</v>
      </c>
      <c r="F19" s="13">
        <f t="shared" si="0"/>
        <v>19.4117647058824</v>
      </c>
      <c r="G19" s="14">
        <f t="shared" si="1"/>
        <v>0.85</v>
      </c>
      <c r="H19" s="18">
        <v>16.5</v>
      </c>
      <c r="I19" s="15">
        <f t="shared" si="2"/>
        <v>33</v>
      </c>
      <c r="J19" s="11"/>
    </row>
    <row r="20" s="3" customFormat="1" ht="16" customHeight="1" spans="1:10">
      <c r="A20" s="11">
        <v>15</v>
      </c>
      <c r="B20" s="11" t="s">
        <v>111</v>
      </c>
      <c r="C20" s="11"/>
      <c r="D20" s="11" t="s">
        <v>40</v>
      </c>
      <c r="E20" s="12">
        <v>42</v>
      </c>
      <c r="F20" s="13">
        <f t="shared" si="0"/>
        <v>4.11764705882353</v>
      </c>
      <c r="G20" s="14">
        <f t="shared" si="1"/>
        <v>0.85</v>
      </c>
      <c r="H20" s="18">
        <v>3.5</v>
      </c>
      <c r="I20" s="15">
        <f t="shared" si="2"/>
        <v>147</v>
      </c>
      <c r="J20" s="11"/>
    </row>
    <row r="21" s="3" customFormat="1" customHeight="1" spans="1:10">
      <c r="A21" s="11">
        <v>16</v>
      </c>
      <c r="B21" s="13"/>
      <c r="C21" s="13"/>
      <c r="D21" s="13"/>
      <c r="E21" s="12"/>
      <c r="F21" s="13"/>
      <c r="G21" s="14"/>
      <c r="H21" s="18"/>
      <c r="I21" s="15"/>
      <c r="J21" s="13"/>
    </row>
    <row r="22" s="3" customFormat="1" customHeight="1" spans="1:10">
      <c r="A22" s="11">
        <v>17</v>
      </c>
      <c r="B22" s="13"/>
      <c r="C22" s="13"/>
      <c r="D22" s="13"/>
      <c r="E22" s="12"/>
      <c r="F22" s="13"/>
      <c r="G22" s="14"/>
      <c r="H22" s="18"/>
      <c r="I22" s="15"/>
      <c r="J22" s="13"/>
    </row>
    <row r="23" s="3" customFormat="1" customHeight="1" spans="1:10">
      <c r="A23" s="11">
        <v>18</v>
      </c>
      <c r="B23" s="13"/>
      <c r="C23" s="13"/>
      <c r="D23" s="13"/>
      <c r="E23" s="12"/>
      <c r="F23" s="13"/>
      <c r="G23" s="14"/>
      <c r="H23" s="18"/>
      <c r="I23" s="15"/>
      <c r="J23" s="13"/>
    </row>
    <row r="24" s="3" customFormat="1" customHeight="1" spans="1:10">
      <c r="A24" s="11">
        <v>19</v>
      </c>
      <c r="B24" s="13"/>
      <c r="C24" s="13"/>
      <c r="D24" s="13"/>
      <c r="E24" s="12"/>
      <c r="F24" s="13"/>
      <c r="G24" s="14"/>
      <c r="H24" s="18"/>
      <c r="I24" s="15"/>
      <c r="J24" s="13"/>
    </row>
    <row r="25" s="3" customFormat="1" customHeight="1" spans="1:10">
      <c r="A25" s="11">
        <v>20</v>
      </c>
      <c r="B25" s="13"/>
      <c r="C25" s="13"/>
      <c r="D25" s="13"/>
      <c r="E25" s="12"/>
      <c r="F25" s="13"/>
      <c r="G25" s="14"/>
      <c r="H25" s="18"/>
      <c r="I25" s="15"/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 t="s">
        <v>90</v>
      </c>
      <c r="B30" s="19">
        <f>SUM(I6:I29)</f>
        <v>971.68</v>
      </c>
      <c r="C30" s="20"/>
      <c r="D30" s="20"/>
      <c r="E30" s="21"/>
      <c r="F30" s="20"/>
      <c r="G30" s="20"/>
      <c r="H30" s="20"/>
      <c r="I30" s="20"/>
      <c r="J30" s="24"/>
    </row>
    <row r="31" s="3" customFormat="1" customHeight="1" spans="1:10">
      <c r="A31" s="11" t="s">
        <v>43</v>
      </c>
      <c r="B31" s="22">
        <f>B30</f>
        <v>971.68</v>
      </c>
      <c r="C31" s="23"/>
      <c r="D31" s="23"/>
      <c r="E31" s="21"/>
      <c r="F31" s="23"/>
      <c r="G31" s="23"/>
      <c r="H31" s="23"/>
      <c r="I31" s="23"/>
      <c r="J31" s="25"/>
    </row>
    <row r="32" s="3" customFormat="1" customHeight="1" spans="1:5">
      <c r="A32" s="3" t="s">
        <v>44</v>
      </c>
      <c r="E32" s="4"/>
    </row>
  </sheetData>
  <mergeCells count="4">
    <mergeCell ref="A1:J1"/>
    <mergeCell ref="B30:J30"/>
    <mergeCell ref="B31:J31"/>
    <mergeCell ref="A32:J32"/>
  </mergeCells>
  <conditionalFormatting sqref="B6:B29">
    <cfRule type="duplicateValues" dxfId="0" priority="2"/>
  </conditionalFormatting>
  <conditionalFormatting sqref="B1:B29 B32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3"/>
  <sheetViews>
    <sheetView topLeftCell="A13" workbookViewId="0">
      <selection activeCell="I13" sqref="I$1:I$104857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3" width="11.6666666666667" style="3" customWidth="1"/>
    <col min="16314" max="16314" width="11.6666666666667" style="3"/>
    <col min="16315" max="16320" width="11" style="3"/>
    <col min="16321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69</v>
      </c>
      <c r="B3" s="3" t="s">
        <v>70</v>
      </c>
      <c r="E3" s="4"/>
    </row>
    <row r="4" s="3" customFormat="1" customHeight="1" spans="1:10">
      <c r="A4" s="3" t="s">
        <v>71</v>
      </c>
      <c r="B4" s="8">
        <v>45161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4</v>
      </c>
      <c r="F6" s="13">
        <f t="shared" ref="F6:F13" si="0">H6/0.85</f>
        <v>3.52941176470588</v>
      </c>
      <c r="G6" s="14">
        <f t="shared" ref="G6:G13" si="1">H6/F6</f>
        <v>0.85</v>
      </c>
      <c r="H6" s="15">
        <v>3</v>
      </c>
      <c r="I6" s="15">
        <f t="shared" ref="I6:I13" si="2">E6*H6</f>
        <v>12</v>
      </c>
      <c r="J6" s="11"/>
    </row>
    <row r="7" s="3" customFormat="1" ht="16" customHeight="1" spans="1:10">
      <c r="A7" s="11">
        <v>2</v>
      </c>
      <c r="B7" s="11" t="s">
        <v>46</v>
      </c>
      <c r="C7" s="11" t="s">
        <v>47</v>
      </c>
      <c r="D7" s="12" t="s">
        <v>14</v>
      </c>
      <c r="E7" s="12">
        <v>6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21</v>
      </c>
      <c r="J7" s="11"/>
    </row>
    <row r="8" s="3" customFormat="1" ht="16" customHeight="1" spans="1:10">
      <c r="A8" s="11">
        <v>3</v>
      </c>
      <c r="B8" s="11" t="s">
        <v>15</v>
      </c>
      <c r="C8" s="11"/>
      <c r="D8" s="12" t="s">
        <v>14</v>
      </c>
      <c r="E8" s="12">
        <v>4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14</v>
      </c>
      <c r="J8" s="11"/>
    </row>
    <row r="9" s="3" customFormat="1" ht="16" customHeight="1" spans="1:10">
      <c r="A9" s="11">
        <v>4</v>
      </c>
      <c r="B9" s="16" t="s">
        <v>49</v>
      </c>
      <c r="C9" s="16"/>
      <c r="D9" s="12" t="s">
        <v>14</v>
      </c>
      <c r="E9" s="12">
        <v>4</v>
      </c>
      <c r="F9" s="13">
        <f t="shared" si="0"/>
        <v>9.17647058823529</v>
      </c>
      <c r="G9" s="14">
        <f t="shared" si="1"/>
        <v>0.85</v>
      </c>
      <c r="H9" s="15">
        <v>7.8</v>
      </c>
      <c r="I9" s="15">
        <f t="shared" si="2"/>
        <v>31.2</v>
      </c>
      <c r="J9" s="11"/>
    </row>
    <row r="10" s="3" customFormat="1" ht="16" customHeight="1" spans="1:10">
      <c r="A10" s="11">
        <v>5</v>
      </c>
      <c r="B10" s="11" t="s">
        <v>19</v>
      </c>
      <c r="C10" s="11"/>
      <c r="D10" s="12" t="s">
        <v>14</v>
      </c>
      <c r="E10" s="12">
        <v>10.2</v>
      </c>
      <c r="F10" s="13">
        <f t="shared" si="0"/>
        <v>2.94117647058824</v>
      </c>
      <c r="G10" s="14">
        <f t="shared" si="1"/>
        <v>0.85</v>
      </c>
      <c r="H10" s="15">
        <v>2.5</v>
      </c>
      <c r="I10" s="15">
        <f t="shared" si="2"/>
        <v>25.5</v>
      </c>
      <c r="J10" s="11"/>
    </row>
    <row r="11" s="3" customFormat="1" ht="16" customHeight="1" spans="1:10">
      <c r="A11" s="11">
        <v>6</v>
      </c>
      <c r="B11" s="16" t="s">
        <v>109</v>
      </c>
      <c r="C11" s="16"/>
      <c r="D11" s="17" t="s">
        <v>14</v>
      </c>
      <c r="E11" s="17">
        <v>19</v>
      </c>
      <c r="F11" s="13">
        <f t="shared" si="0"/>
        <v>11.5294117647059</v>
      </c>
      <c r="G11" s="14">
        <f t="shared" si="1"/>
        <v>0.85</v>
      </c>
      <c r="H11" s="18">
        <v>9.8</v>
      </c>
      <c r="I11" s="15">
        <f t="shared" si="2"/>
        <v>186.2</v>
      </c>
      <c r="J11" s="16"/>
    </row>
    <row r="12" s="3" customFormat="1" ht="16" customHeight="1" spans="1:10">
      <c r="A12" s="11">
        <v>7</v>
      </c>
      <c r="B12" s="16" t="s">
        <v>50</v>
      </c>
      <c r="C12" s="16"/>
      <c r="D12" s="17" t="s">
        <v>14</v>
      </c>
      <c r="E12" s="17">
        <v>4</v>
      </c>
      <c r="F12" s="13">
        <f t="shared" si="0"/>
        <v>5.29411764705882</v>
      </c>
      <c r="G12" s="14">
        <f t="shared" si="1"/>
        <v>0.85</v>
      </c>
      <c r="H12" s="18">
        <v>4.5</v>
      </c>
      <c r="I12" s="15">
        <f t="shared" si="2"/>
        <v>18</v>
      </c>
      <c r="J12" s="16"/>
    </row>
    <row r="13" s="3" customFormat="1" ht="16" customHeight="1" spans="1:10">
      <c r="A13" s="11">
        <v>8</v>
      </c>
      <c r="B13" s="16" t="s">
        <v>22</v>
      </c>
      <c r="C13" s="16"/>
      <c r="D13" s="17" t="s">
        <v>14</v>
      </c>
      <c r="E13" s="17">
        <v>10.2</v>
      </c>
      <c r="F13" s="13">
        <f t="shared" si="0"/>
        <v>3.29411764705882</v>
      </c>
      <c r="G13" s="14">
        <f t="shared" si="1"/>
        <v>0.85</v>
      </c>
      <c r="H13" s="18">
        <v>2.8</v>
      </c>
      <c r="I13" s="15">
        <f t="shared" si="2"/>
        <v>28.56</v>
      </c>
      <c r="J13" s="16"/>
    </row>
    <row r="14" s="3" customFormat="1" ht="16" customHeight="1" spans="1:10">
      <c r="A14" s="11">
        <v>9</v>
      </c>
      <c r="B14" s="16" t="s">
        <v>212</v>
      </c>
      <c r="C14" s="16"/>
      <c r="D14" s="17" t="s">
        <v>14</v>
      </c>
      <c r="E14" s="17">
        <v>6</v>
      </c>
      <c r="F14" s="13">
        <f t="shared" ref="F14:F27" si="3">H14/0.85</f>
        <v>8</v>
      </c>
      <c r="G14" s="14">
        <f t="shared" ref="G14:G27" si="4">H14/F14</f>
        <v>0.85</v>
      </c>
      <c r="H14" s="18">
        <v>6.8</v>
      </c>
      <c r="I14" s="15">
        <f t="shared" ref="I14:I27" si="5">E14*H14</f>
        <v>40.8</v>
      </c>
      <c r="J14" s="16"/>
    </row>
    <row r="15" s="3" customFormat="1" ht="16" customHeight="1" spans="1:10">
      <c r="A15" s="11">
        <v>10</v>
      </c>
      <c r="B15" s="16" t="s">
        <v>24</v>
      </c>
      <c r="C15" s="16"/>
      <c r="D15" s="17" t="s">
        <v>14</v>
      </c>
      <c r="E15" s="17">
        <v>19</v>
      </c>
      <c r="F15" s="13">
        <f t="shared" si="3"/>
        <v>6.47058823529412</v>
      </c>
      <c r="G15" s="14">
        <f t="shared" si="4"/>
        <v>0.85</v>
      </c>
      <c r="H15" s="18">
        <v>5.5</v>
      </c>
      <c r="I15" s="15">
        <f t="shared" si="5"/>
        <v>104.5</v>
      </c>
      <c r="J15" s="16"/>
    </row>
    <row r="16" s="3" customFormat="1" ht="16" customHeight="1" spans="1:10">
      <c r="A16" s="11">
        <v>11</v>
      </c>
      <c r="B16" s="11" t="s">
        <v>159</v>
      </c>
      <c r="C16" s="11"/>
      <c r="D16" s="16" t="s">
        <v>14</v>
      </c>
      <c r="E16" s="12">
        <v>4</v>
      </c>
      <c r="F16" s="13">
        <f t="shared" si="3"/>
        <v>4.11764705882353</v>
      </c>
      <c r="G16" s="14">
        <f t="shared" si="4"/>
        <v>0.85</v>
      </c>
      <c r="H16" s="18">
        <v>3.5</v>
      </c>
      <c r="I16" s="15">
        <f t="shared" si="5"/>
        <v>14</v>
      </c>
      <c r="J16" s="11"/>
    </row>
    <row r="17" s="3" customFormat="1" ht="16" customHeight="1" spans="1:10">
      <c r="A17" s="11">
        <v>12</v>
      </c>
      <c r="B17" s="11" t="s">
        <v>55</v>
      </c>
      <c r="C17" s="11"/>
      <c r="D17" s="11" t="s">
        <v>14</v>
      </c>
      <c r="E17" s="12">
        <v>28</v>
      </c>
      <c r="F17" s="13">
        <f t="shared" si="3"/>
        <v>4.11764705882353</v>
      </c>
      <c r="G17" s="14">
        <f t="shared" si="4"/>
        <v>0.85</v>
      </c>
      <c r="H17" s="18">
        <v>3.5</v>
      </c>
      <c r="I17" s="15">
        <f t="shared" si="5"/>
        <v>98</v>
      </c>
      <c r="J17" s="11"/>
    </row>
    <row r="18" s="3" customFormat="1" ht="16" customHeight="1" spans="1:10">
      <c r="A18" s="11">
        <v>13</v>
      </c>
      <c r="B18" s="11" t="s">
        <v>106</v>
      </c>
      <c r="C18" s="11"/>
      <c r="D18" s="11" t="s">
        <v>14</v>
      </c>
      <c r="E18" s="12">
        <v>8</v>
      </c>
      <c r="F18" s="13">
        <f t="shared" si="3"/>
        <v>25.8823529411765</v>
      </c>
      <c r="G18" s="14">
        <f t="shared" si="4"/>
        <v>0.85</v>
      </c>
      <c r="H18" s="18">
        <v>22</v>
      </c>
      <c r="I18" s="15">
        <f t="shared" si="5"/>
        <v>176</v>
      </c>
      <c r="J18" s="11"/>
    </row>
    <row r="19" s="3" customFormat="1" ht="16" customHeight="1" spans="1:10">
      <c r="A19" s="11">
        <v>14</v>
      </c>
      <c r="B19" s="11" t="s">
        <v>78</v>
      </c>
      <c r="C19" s="11"/>
      <c r="D19" s="11" t="s">
        <v>14</v>
      </c>
      <c r="E19" s="12">
        <v>18</v>
      </c>
      <c r="F19" s="13">
        <f t="shared" si="3"/>
        <v>30.5882352941176</v>
      </c>
      <c r="G19" s="14">
        <f t="shared" si="4"/>
        <v>0.85</v>
      </c>
      <c r="H19" s="18">
        <v>26</v>
      </c>
      <c r="I19" s="15">
        <f t="shared" si="5"/>
        <v>468</v>
      </c>
      <c r="J19" s="11"/>
    </row>
    <row r="20" s="3" customFormat="1" customHeight="1" spans="1:10">
      <c r="A20" s="11">
        <v>15</v>
      </c>
      <c r="B20" s="13" t="s">
        <v>213</v>
      </c>
      <c r="C20" s="13" t="s">
        <v>214</v>
      </c>
      <c r="D20" s="13" t="s">
        <v>14</v>
      </c>
      <c r="E20" s="12">
        <v>13</v>
      </c>
      <c r="F20" s="13">
        <f t="shared" si="3"/>
        <v>11.5294117647059</v>
      </c>
      <c r="G20" s="14">
        <f t="shared" si="4"/>
        <v>0.85</v>
      </c>
      <c r="H20" s="18">
        <v>9.8</v>
      </c>
      <c r="I20" s="15">
        <f t="shared" si="5"/>
        <v>127.4</v>
      </c>
      <c r="J20" s="13"/>
    </row>
    <row r="21" s="3" customFormat="1" customHeight="1" spans="1:10">
      <c r="A21" s="11">
        <v>16</v>
      </c>
      <c r="B21" s="13" t="s">
        <v>101</v>
      </c>
      <c r="C21" s="13"/>
      <c r="D21" s="13" t="s">
        <v>14</v>
      </c>
      <c r="E21" s="12">
        <v>5</v>
      </c>
      <c r="F21" s="13">
        <f t="shared" si="3"/>
        <v>5.76470588235294</v>
      </c>
      <c r="G21" s="14">
        <f t="shared" si="4"/>
        <v>0.85</v>
      </c>
      <c r="H21" s="18">
        <v>4.9</v>
      </c>
      <c r="I21" s="15">
        <f t="shared" si="5"/>
        <v>24.5</v>
      </c>
      <c r="J21" s="13"/>
    </row>
    <row r="22" s="3" customFormat="1" customHeight="1" spans="1:10">
      <c r="A22" s="11">
        <v>17</v>
      </c>
      <c r="B22" s="13" t="s">
        <v>85</v>
      </c>
      <c r="C22" s="13" t="s">
        <v>86</v>
      </c>
      <c r="D22" s="13" t="s">
        <v>81</v>
      </c>
      <c r="E22" s="12">
        <v>2</v>
      </c>
      <c r="F22" s="13">
        <f t="shared" si="3"/>
        <v>10</v>
      </c>
      <c r="G22" s="14">
        <f t="shared" si="4"/>
        <v>0.85</v>
      </c>
      <c r="H22" s="18">
        <v>8.5</v>
      </c>
      <c r="I22" s="15">
        <f t="shared" si="5"/>
        <v>17</v>
      </c>
      <c r="J22" s="13"/>
    </row>
    <row r="23" s="3" customFormat="1" customHeight="1" spans="1:10">
      <c r="A23" s="11">
        <v>18</v>
      </c>
      <c r="B23" s="13" t="s">
        <v>111</v>
      </c>
      <c r="C23" s="13"/>
      <c r="D23" s="13" t="s">
        <v>40</v>
      </c>
      <c r="E23" s="12">
        <v>65</v>
      </c>
      <c r="F23" s="13">
        <f t="shared" si="3"/>
        <v>4.11764705882353</v>
      </c>
      <c r="G23" s="14">
        <f t="shared" si="4"/>
        <v>0.85</v>
      </c>
      <c r="H23" s="18">
        <v>3.5</v>
      </c>
      <c r="I23" s="15">
        <f t="shared" si="5"/>
        <v>227.5</v>
      </c>
      <c r="J23" s="13"/>
    </row>
    <row r="24" s="3" customFormat="1" customHeight="1" spans="1:10">
      <c r="A24" s="11">
        <v>19</v>
      </c>
      <c r="B24" s="13"/>
      <c r="C24" s="13"/>
      <c r="D24" s="13"/>
      <c r="E24" s="12"/>
      <c r="F24" s="13"/>
      <c r="G24" s="14"/>
      <c r="H24" s="18"/>
      <c r="I24" s="15"/>
      <c r="J24" s="13"/>
    </row>
    <row r="25" s="3" customFormat="1" customHeight="1" spans="1:10">
      <c r="A25" s="11">
        <v>20</v>
      </c>
      <c r="B25" s="13"/>
      <c r="C25" s="13"/>
      <c r="D25" s="13"/>
      <c r="E25" s="12"/>
      <c r="F25" s="13"/>
      <c r="G25" s="14"/>
      <c r="H25" s="18"/>
      <c r="I25" s="15"/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 t="s">
        <v>90</v>
      </c>
      <c r="B31" s="19">
        <f>SUM(I6:I30)</f>
        <v>1634.16</v>
      </c>
      <c r="C31" s="20"/>
      <c r="D31" s="20"/>
      <c r="E31" s="21"/>
      <c r="F31" s="20"/>
      <c r="G31" s="20"/>
      <c r="H31" s="20"/>
      <c r="I31" s="20"/>
      <c r="J31" s="24"/>
    </row>
    <row r="32" s="3" customFormat="1" customHeight="1" spans="1:10">
      <c r="A32" s="11" t="s">
        <v>43</v>
      </c>
      <c r="B32" s="22">
        <f>B31</f>
        <v>1634.16</v>
      </c>
      <c r="C32" s="23"/>
      <c r="D32" s="23"/>
      <c r="E32" s="21"/>
      <c r="F32" s="23"/>
      <c r="G32" s="23"/>
      <c r="H32" s="23"/>
      <c r="I32" s="23"/>
      <c r="J32" s="25"/>
    </row>
    <row r="33" s="3" customFormat="1" customHeight="1" spans="1:5">
      <c r="A33" s="3" t="s">
        <v>44</v>
      </c>
      <c r="E33" s="4"/>
    </row>
  </sheetData>
  <mergeCells count="4">
    <mergeCell ref="A1:J1"/>
    <mergeCell ref="B31:J31"/>
    <mergeCell ref="B32:J32"/>
    <mergeCell ref="A33:J33"/>
  </mergeCells>
  <conditionalFormatting sqref="B6:B30">
    <cfRule type="duplicateValues" dxfId="0" priority="2"/>
  </conditionalFormatting>
  <conditionalFormatting sqref="B1:B30 B33:B1048576">
    <cfRule type="duplicateValues" dxfId="0" priority="1"/>
  </conditionalFormatting>
  <conditionalFormatting sqref="B6:C15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15" workbookViewId="0">
      <selection activeCell="I15" sqref="I$1:I$104857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3" width="11.6666666666667" style="3" customWidth="1"/>
    <col min="16314" max="16314" width="11.6666666666667" style="3"/>
    <col min="16315" max="16320" width="11" style="3"/>
    <col min="16321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69</v>
      </c>
      <c r="B3" s="3" t="s">
        <v>70</v>
      </c>
      <c r="E3" s="4"/>
    </row>
    <row r="4" s="3" customFormat="1" customHeight="1" spans="1:10">
      <c r="A4" s="3" t="s">
        <v>71</v>
      </c>
      <c r="B4" s="8">
        <v>45162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4</v>
      </c>
      <c r="F6" s="13">
        <f t="shared" ref="F6:F24" si="0">H6/0.85</f>
        <v>3.52941176470588</v>
      </c>
      <c r="G6" s="14">
        <f t="shared" ref="G6:G24" si="1">H6/F6</f>
        <v>0.85</v>
      </c>
      <c r="H6" s="15">
        <v>3</v>
      </c>
      <c r="I6" s="15">
        <f t="shared" ref="I6:I24" si="2">E6*H6</f>
        <v>12</v>
      </c>
      <c r="J6" s="11"/>
    </row>
    <row r="7" s="3" customFormat="1" ht="16" customHeight="1" spans="1:10">
      <c r="A7" s="11">
        <v>2</v>
      </c>
      <c r="B7" s="11" t="s">
        <v>15</v>
      </c>
      <c r="C7" s="11"/>
      <c r="D7" s="12" t="s">
        <v>14</v>
      </c>
      <c r="E7" s="12">
        <v>4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14</v>
      </c>
      <c r="J7" s="11"/>
    </row>
    <row r="8" s="3" customFormat="1" ht="16" customHeight="1" spans="1:10">
      <c r="A8" s="11">
        <v>3</v>
      </c>
      <c r="B8" s="11" t="s">
        <v>72</v>
      </c>
      <c r="C8" s="11"/>
      <c r="D8" s="12" t="s">
        <v>14</v>
      </c>
      <c r="E8" s="12">
        <v>2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7</v>
      </c>
      <c r="J8" s="11"/>
    </row>
    <row r="9" s="3" customFormat="1" ht="16" customHeight="1" spans="1:10">
      <c r="A9" s="11">
        <v>4</v>
      </c>
      <c r="B9" s="16" t="s">
        <v>215</v>
      </c>
      <c r="C9" s="16"/>
      <c r="D9" s="12" t="s">
        <v>14</v>
      </c>
      <c r="E9" s="12">
        <v>8</v>
      </c>
      <c r="F9" s="13">
        <f t="shared" si="0"/>
        <v>18.8235294117647</v>
      </c>
      <c r="G9" s="14">
        <f t="shared" si="1"/>
        <v>0.85</v>
      </c>
      <c r="H9" s="15">
        <v>16</v>
      </c>
      <c r="I9" s="15">
        <f t="shared" si="2"/>
        <v>128</v>
      </c>
      <c r="J9" s="11"/>
    </row>
    <row r="10" s="3" customFormat="1" ht="16" customHeight="1" spans="1:10">
      <c r="A10" s="11">
        <v>5</v>
      </c>
      <c r="B10" s="11" t="s">
        <v>18</v>
      </c>
      <c r="C10" s="11"/>
      <c r="D10" s="12" t="s">
        <v>14</v>
      </c>
      <c r="E10" s="12">
        <v>10</v>
      </c>
      <c r="F10" s="13">
        <f t="shared" si="0"/>
        <v>4.11764705882353</v>
      </c>
      <c r="G10" s="14">
        <f t="shared" si="1"/>
        <v>0.85</v>
      </c>
      <c r="H10" s="15">
        <v>3.5</v>
      </c>
      <c r="I10" s="15">
        <f t="shared" si="2"/>
        <v>35</v>
      </c>
      <c r="J10" s="11"/>
    </row>
    <row r="11" s="3" customFormat="1" ht="16" customHeight="1" spans="1:10">
      <c r="A11" s="11">
        <v>6</v>
      </c>
      <c r="B11" s="11" t="s">
        <v>49</v>
      </c>
      <c r="C11" s="11"/>
      <c r="D11" s="12" t="s">
        <v>14</v>
      </c>
      <c r="E11" s="12">
        <v>3</v>
      </c>
      <c r="F11" s="13">
        <f t="shared" si="0"/>
        <v>9.17647058823529</v>
      </c>
      <c r="G11" s="14">
        <f t="shared" si="1"/>
        <v>0.85</v>
      </c>
      <c r="H11" s="15">
        <v>7.8</v>
      </c>
      <c r="I11" s="15">
        <f t="shared" si="2"/>
        <v>23.4</v>
      </c>
      <c r="J11" s="11"/>
    </row>
    <row r="12" s="3" customFormat="1" ht="16" customHeight="1" spans="1:10">
      <c r="A12" s="11">
        <v>7</v>
      </c>
      <c r="B12" s="16" t="s">
        <v>20</v>
      </c>
      <c r="C12" s="16"/>
      <c r="D12" s="17" t="s">
        <v>21</v>
      </c>
      <c r="E12" s="17">
        <v>7</v>
      </c>
      <c r="F12" s="13">
        <f t="shared" si="0"/>
        <v>3.52941176470588</v>
      </c>
      <c r="G12" s="14">
        <f t="shared" si="1"/>
        <v>0.85</v>
      </c>
      <c r="H12" s="18">
        <v>3</v>
      </c>
      <c r="I12" s="15">
        <f t="shared" si="2"/>
        <v>21</v>
      </c>
      <c r="J12" s="16"/>
    </row>
    <row r="13" s="3" customFormat="1" ht="16" customHeight="1" spans="1:10">
      <c r="A13" s="11">
        <v>8</v>
      </c>
      <c r="B13" s="16" t="s">
        <v>50</v>
      </c>
      <c r="C13" s="16"/>
      <c r="D13" s="17" t="s">
        <v>14</v>
      </c>
      <c r="E13" s="17">
        <v>4</v>
      </c>
      <c r="F13" s="13">
        <f t="shared" si="0"/>
        <v>5.29411764705882</v>
      </c>
      <c r="G13" s="14">
        <f t="shared" si="1"/>
        <v>0.85</v>
      </c>
      <c r="H13" s="18">
        <v>4.5</v>
      </c>
      <c r="I13" s="15">
        <f t="shared" si="2"/>
        <v>18</v>
      </c>
      <c r="J13" s="16"/>
    </row>
    <row r="14" s="3" customFormat="1" ht="16" customHeight="1" spans="1:10">
      <c r="A14" s="11">
        <v>9</v>
      </c>
      <c r="B14" s="16" t="s">
        <v>51</v>
      </c>
      <c r="C14" s="16"/>
      <c r="D14" s="17" t="s">
        <v>14</v>
      </c>
      <c r="E14" s="17">
        <v>5</v>
      </c>
      <c r="F14" s="13">
        <f t="shared" si="0"/>
        <v>4.47058823529412</v>
      </c>
      <c r="G14" s="14">
        <f t="shared" si="1"/>
        <v>0.85</v>
      </c>
      <c r="H14" s="18">
        <v>3.8</v>
      </c>
      <c r="I14" s="15">
        <f t="shared" si="2"/>
        <v>19</v>
      </c>
      <c r="J14" s="16"/>
    </row>
    <row r="15" s="3" customFormat="1" ht="16" customHeight="1" spans="1:10">
      <c r="A15" s="11">
        <v>10</v>
      </c>
      <c r="B15" s="16" t="s">
        <v>75</v>
      </c>
      <c r="C15" s="16"/>
      <c r="D15" s="17" t="s">
        <v>14</v>
      </c>
      <c r="E15" s="17">
        <v>20</v>
      </c>
      <c r="F15" s="13">
        <f t="shared" si="0"/>
        <v>2.94117647058824</v>
      </c>
      <c r="G15" s="14">
        <f t="shared" si="1"/>
        <v>0.85</v>
      </c>
      <c r="H15" s="18">
        <v>2.5</v>
      </c>
      <c r="I15" s="15">
        <f t="shared" si="2"/>
        <v>50</v>
      </c>
      <c r="J15" s="16"/>
    </row>
    <row r="16" s="3" customFormat="1" ht="16" customHeight="1" spans="1:10">
      <c r="A16" s="11">
        <v>11</v>
      </c>
      <c r="B16" s="16" t="s">
        <v>115</v>
      </c>
      <c r="C16" s="16"/>
      <c r="D16" s="17" t="s">
        <v>14</v>
      </c>
      <c r="E16" s="17">
        <v>18</v>
      </c>
      <c r="F16" s="13">
        <f t="shared" si="0"/>
        <v>2.35294117647059</v>
      </c>
      <c r="G16" s="14">
        <f t="shared" si="1"/>
        <v>0.85</v>
      </c>
      <c r="H16" s="18">
        <v>2</v>
      </c>
      <c r="I16" s="15">
        <f t="shared" si="2"/>
        <v>36</v>
      </c>
      <c r="J16" s="16"/>
    </row>
    <row r="17" s="3" customFormat="1" ht="16" customHeight="1" spans="1:10">
      <c r="A17" s="11">
        <v>12</v>
      </c>
      <c r="B17" s="16" t="s">
        <v>55</v>
      </c>
      <c r="C17" s="16"/>
      <c r="D17" s="17" t="s">
        <v>14</v>
      </c>
      <c r="E17" s="17">
        <v>45.9</v>
      </c>
      <c r="F17" s="13">
        <f t="shared" si="0"/>
        <v>4.11764705882353</v>
      </c>
      <c r="G17" s="14">
        <f t="shared" si="1"/>
        <v>0.85</v>
      </c>
      <c r="H17" s="18">
        <v>3.5</v>
      </c>
      <c r="I17" s="15">
        <f t="shared" si="2"/>
        <v>160.65</v>
      </c>
      <c r="J17" s="16"/>
    </row>
    <row r="18" s="3" customFormat="1" ht="16" customHeight="1" spans="1:10">
      <c r="A18" s="11">
        <v>13</v>
      </c>
      <c r="B18" s="11" t="s">
        <v>127</v>
      </c>
      <c r="C18" s="11"/>
      <c r="D18" s="11" t="s">
        <v>14</v>
      </c>
      <c r="E18" s="12">
        <v>22.8</v>
      </c>
      <c r="F18" s="13">
        <f t="shared" si="0"/>
        <v>17.4117647058824</v>
      </c>
      <c r="G18" s="14">
        <f t="shared" si="1"/>
        <v>0.85</v>
      </c>
      <c r="H18" s="18">
        <v>14.8</v>
      </c>
      <c r="I18" s="15">
        <f t="shared" si="2"/>
        <v>337.44</v>
      </c>
      <c r="J18" s="11"/>
    </row>
    <row r="19" s="3" customFormat="1" ht="16" customHeight="1" spans="1:10">
      <c r="A19" s="11">
        <v>14</v>
      </c>
      <c r="B19" s="11" t="s">
        <v>29</v>
      </c>
      <c r="C19" s="11"/>
      <c r="D19" s="11" t="s">
        <v>14</v>
      </c>
      <c r="E19" s="12">
        <v>8</v>
      </c>
      <c r="F19" s="13">
        <f t="shared" si="0"/>
        <v>19.7647058823529</v>
      </c>
      <c r="G19" s="14">
        <f t="shared" si="1"/>
        <v>0.85</v>
      </c>
      <c r="H19" s="18">
        <v>16.8</v>
      </c>
      <c r="I19" s="15">
        <f t="shared" si="2"/>
        <v>134.4</v>
      </c>
      <c r="J19" s="11"/>
    </row>
    <row r="20" s="3" customFormat="1" customHeight="1" spans="1:10">
      <c r="A20" s="11">
        <v>15</v>
      </c>
      <c r="B20" s="13" t="s">
        <v>216</v>
      </c>
      <c r="C20" s="13" t="s">
        <v>217</v>
      </c>
      <c r="D20" s="13" t="s">
        <v>218</v>
      </c>
      <c r="E20" s="12">
        <v>8</v>
      </c>
      <c r="F20" s="13">
        <f t="shared" si="0"/>
        <v>15.9294117647059</v>
      </c>
      <c r="G20" s="14">
        <f t="shared" si="1"/>
        <v>0.85</v>
      </c>
      <c r="H20" s="18">
        <v>13.54</v>
      </c>
      <c r="I20" s="15">
        <f t="shared" si="2"/>
        <v>108.32</v>
      </c>
      <c r="J20" s="13"/>
    </row>
    <row r="21" s="3" customFormat="1" customHeight="1" spans="1:10">
      <c r="A21" s="11">
        <v>16</v>
      </c>
      <c r="B21" s="13" t="s">
        <v>111</v>
      </c>
      <c r="C21" s="13"/>
      <c r="D21" s="13" t="s">
        <v>40</v>
      </c>
      <c r="E21" s="12">
        <v>50</v>
      </c>
      <c r="F21" s="13">
        <f t="shared" si="0"/>
        <v>4.11764705882353</v>
      </c>
      <c r="G21" s="14">
        <f t="shared" si="1"/>
        <v>0.85</v>
      </c>
      <c r="H21" s="18">
        <v>3.5</v>
      </c>
      <c r="I21" s="15">
        <f t="shared" si="2"/>
        <v>175</v>
      </c>
      <c r="J21" s="13"/>
    </row>
    <row r="22" s="3" customFormat="1" customHeight="1" spans="1:10">
      <c r="A22" s="11">
        <v>17</v>
      </c>
      <c r="B22" s="13"/>
      <c r="C22" s="13"/>
      <c r="D22" s="13"/>
      <c r="E22" s="12"/>
      <c r="F22" s="13"/>
      <c r="G22" s="14"/>
      <c r="H22" s="18"/>
      <c r="I22" s="15"/>
      <c r="J22" s="13"/>
    </row>
    <row r="23" s="3" customFormat="1" customHeight="1" spans="1:10">
      <c r="A23" s="11">
        <v>18</v>
      </c>
      <c r="B23" s="13"/>
      <c r="C23" s="13"/>
      <c r="D23" s="13"/>
      <c r="E23" s="12"/>
      <c r="F23" s="13"/>
      <c r="G23" s="14"/>
      <c r="H23" s="18"/>
      <c r="I23" s="15"/>
      <c r="J23" s="13"/>
    </row>
    <row r="24" s="3" customFormat="1" customHeight="1" spans="1:10">
      <c r="A24" s="11">
        <v>19</v>
      </c>
      <c r="B24" s="13"/>
      <c r="C24" s="13"/>
      <c r="D24" s="13"/>
      <c r="E24" s="12"/>
      <c r="F24" s="13"/>
      <c r="G24" s="14"/>
      <c r="H24" s="18"/>
      <c r="I24" s="15"/>
      <c r="J24" s="13"/>
    </row>
    <row r="25" s="3" customFormat="1" customHeight="1" spans="1:10">
      <c r="A25" s="11">
        <v>20</v>
      </c>
      <c r="B25" s="13"/>
      <c r="C25" s="13"/>
      <c r="D25" s="13"/>
      <c r="E25" s="12"/>
      <c r="F25" s="13"/>
      <c r="G25" s="14"/>
      <c r="H25" s="18"/>
      <c r="I25" s="15"/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 t="s">
        <v>90</v>
      </c>
      <c r="B33" s="19">
        <f>SUM(I6:I32)</f>
        <v>1279.21</v>
      </c>
      <c r="C33" s="20"/>
      <c r="D33" s="20"/>
      <c r="E33" s="21"/>
      <c r="F33" s="20"/>
      <c r="G33" s="20"/>
      <c r="H33" s="20"/>
      <c r="I33" s="20"/>
      <c r="J33" s="24"/>
    </row>
    <row r="34" s="3" customFormat="1" customHeight="1" spans="1:10">
      <c r="A34" s="11" t="s">
        <v>43</v>
      </c>
      <c r="B34" s="22">
        <f>B33</f>
        <v>1279.21</v>
      </c>
      <c r="C34" s="23"/>
      <c r="D34" s="23"/>
      <c r="E34" s="21"/>
      <c r="F34" s="23"/>
      <c r="G34" s="23"/>
      <c r="H34" s="23"/>
      <c r="I34" s="23"/>
      <c r="J34" s="25"/>
    </row>
    <row r="35" s="3" customFormat="1" customHeight="1" spans="1:5">
      <c r="A35" s="3" t="s">
        <v>44</v>
      </c>
      <c r="E35" s="4"/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2"/>
  </conditionalFormatting>
  <conditionalFormatting sqref="B1:B32 B35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7"/>
  <sheetViews>
    <sheetView topLeftCell="A19" workbookViewId="0">
      <selection activeCell="I19" sqref="I$1:I$104857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3" width="11.6666666666667" style="3" customWidth="1"/>
    <col min="16314" max="16314" width="11.6666666666667" style="3"/>
    <col min="16315" max="16320" width="11" style="3"/>
    <col min="16321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69</v>
      </c>
      <c r="B3" s="3" t="s">
        <v>70</v>
      </c>
      <c r="E3" s="4"/>
    </row>
    <row r="4" s="3" customFormat="1" customHeight="1" spans="1:10">
      <c r="A4" s="3" t="s">
        <v>71</v>
      </c>
      <c r="B4" s="8">
        <v>45163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4</v>
      </c>
      <c r="F6" s="13">
        <f t="shared" ref="F6:F32" si="0">H6/0.85</f>
        <v>3.52941176470588</v>
      </c>
      <c r="G6" s="14">
        <f t="shared" ref="G6:G32" si="1">H6/F6</f>
        <v>0.85</v>
      </c>
      <c r="H6" s="15">
        <v>3</v>
      </c>
      <c r="I6" s="15">
        <f t="shared" ref="I6:I32" si="2">E6*H6</f>
        <v>12</v>
      </c>
      <c r="J6" s="11"/>
    </row>
    <row r="7" s="3" customFormat="1" ht="16" customHeight="1" spans="1:10">
      <c r="A7" s="11">
        <v>2</v>
      </c>
      <c r="B7" s="11" t="s">
        <v>15</v>
      </c>
      <c r="C7" s="11"/>
      <c r="D7" s="12" t="s">
        <v>14</v>
      </c>
      <c r="E7" s="12">
        <v>4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14</v>
      </c>
      <c r="J7" s="11"/>
    </row>
    <row r="8" s="3" customFormat="1" ht="16" customHeight="1" spans="1:10">
      <c r="A8" s="11">
        <v>3</v>
      </c>
      <c r="B8" s="11" t="s">
        <v>112</v>
      </c>
      <c r="C8" s="11"/>
      <c r="D8" s="12" t="s">
        <v>14</v>
      </c>
      <c r="E8" s="12">
        <v>2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7</v>
      </c>
      <c r="J8" s="11"/>
    </row>
    <row r="9" s="3" customFormat="1" ht="16" customHeight="1" spans="1:10">
      <c r="A9" s="11">
        <v>4</v>
      </c>
      <c r="B9" s="16" t="s">
        <v>113</v>
      </c>
      <c r="C9" s="16"/>
      <c r="D9" s="12" t="s">
        <v>14</v>
      </c>
      <c r="E9" s="12">
        <v>5</v>
      </c>
      <c r="F9" s="13">
        <f t="shared" si="0"/>
        <v>15.0588235294118</v>
      </c>
      <c r="G9" s="14">
        <f t="shared" si="1"/>
        <v>0.85</v>
      </c>
      <c r="H9" s="15">
        <v>12.8</v>
      </c>
      <c r="I9" s="15">
        <f t="shared" si="2"/>
        <v>64</v>
      </c>
      <c r="J9" s="11"/>
    </row>
    <row r="10" s="3" customFormat="1" ht="16" customHeight="1" spans="1:10">
      <c r="A10" s="11">
        <v>5</v>
      </c>
      <c r="B10" s="11" t="s">
        <v>219</v>
      </c>
      <c r="C10" s="11"/>
      <c r="D10" s="12" t="s">
        <v>14</v>
      </c>
      <c r="E10" s="12">
        <v>14</v>
      </c>
      <c r="F10" s="13">
        <f t="shared" si="0"/>
        <v>8</v>
      </c>
      <c r="G10" s="14">
        <f t="shared" si="1"/>
        <v>0.85</v>
      </c>
      <c r="H10" s="15">
        <v>6.8</v>
      </c>
      <c r="I10" s="15">
        <f t="shared" si="2"/>
        <v>95.2</v>
      </c>
      <c r="J10" s="11"/>
    </row>
    <row r="11" s="3" customFormat="1" ht="16" customHeight="1" spans="1:10">
      <c r="A11" s="11">
        <v>6</v>
      </c>
      <c r="B11" s="11" t="s">
        <v>93</v>
      </c>
      <c r="C11" s="11"/>
      <c r="D11" s="12" t="s">
        <v>14</v>
      </c>
      <c r="E11" s="12">
        <v>6</v>
      </c>
      <c r="F11" s="13">
        <f t="shared" si="0"/>
        <v>5.29411764705882</v>
      </c>
      <c r="G11" s="14">
        <f t="shared" si="1"/>
        <v>0.85</v>
      </c>
      <c r="H11" s="15">
        <v>4.5</v>
      </c>
      <c r="I11" s="15">
        <f t="shared" si="2"/>
        <v>27</v>
      </c>
      <c r="J11" s="11"/>
    </row>
    <row r="12" s="3" customFormat="1" ht="16" customHeight="1" spans="1:10">
      <c r="A12" s="11">
        <v>7</v>
      </c>
      <c r="B12" s="16" t="s">
        <v>73</v>
      </c>
      <c r="C12" s="16"/>
      <c r="D12" s="17" t="s">
        <v>14</v>
      </c>
      <c r="E12" s="17">
        <v>8</v>
      </c>
      <c r="F12" s="13">
        <f t="shared" si="0"/>
        <v>4.11764705882353</v>
      </c>
      <c r="G12" s="14">
        <f t="shared" si="1"/>
        <v>0.85</v>
      </c>
      <c r="H12" s="18">
        <v>3.5</v>
      </c>
      <c r="I12" s="15">
        <f t="shared" si="2"/>
        <v>28</v>
      </c>
      <c r="J12" s="16"/>
    </row>
    <row r="13" s="3" customFormat="1" ht="16" customHeight="1" spans="1:10">
      <c r="A13" s="11">
        <v>8</v>
      </c>
      <c r="B13" s="16" t="s">
        <v>49</v>
      </c>
      <c r="C13" s="16"/>
      <c r="D13" s="17" t="s">
        <v>14</v>
      </c>
      <c r="E13" s="17">
        <v>3</v>
      </c>
      <c r="F13" s="13">
        <f t="shared" si="0"/>
        <v>9.17647058823529</v>
      </c>
      <c r="G13" s="14">
        <f t="shared" si="1"/>
        <v>0.85</v>
      </c>
      <c r="H13" s="18">
        <v>7.8</v>
      </c>
      <c r="I13" s="15">
        <f t="shared" si="2"/>
        <v>23.4</v>
      </c>
      <c r="J13" s="16"/>
    </row>
    <row r="14" s="3" customFormat="1" ht="16" customHeight="1" spans="1:10">
      <c r="A14" s="11">
        <v>9</v>
      </c>
      <c r="B14" s="16" t="s">
        <v>50</v>
      </c>
      <c r="C14" s="16"/>
      <c r="D14" s="17" t="s">
        <v>14</v>
      </c>
      <c r="E14" s="17">
        <v>3</v>
      </c>
      <c r="F14" s="13">
        <f t="shared" si="0"/>
        <v>5.29411764705882</v>
      </c>
      <c r="G14" s="14">
        <f t="shared" si="1"/>
        <v>0.85</v>
      </c>
      <c r="H14" s="18">
        <v>4.5</v>
      </c>
      <c r="I14" s="15">
        <f t="shared" si="2"/>
        <v>13.5</v>
      </c>
      <c r="J14" s="16"/>
    </row>
    <row r="15" s="3" customFormat="1" ht="16" customHeight="1" spans="1:10">
      <c r="A15" s="11">
        <v>10</v>
      </c>
      <c r="B15" s="16" t="s">
        <v>52</v>
      </c>
      <c r="C15" s="16"/>
      <c r="D15" s="17" t="s">
        <v>14</v>
      </c>
      <c r="E15" s="17">
        <v>10</v>
      </c>
      <c r="F15" s="13">
        <f t="shared" si="0"/>
        <v>6.47058823529412</v>
      </c>
      <c r="G15" s="14">
        <f t="shared" si="1"/>
        <v>0.85</v>
      </c>
      <c r="H15" s="18">
        <v>5.5</v>
      </c>
      <c r="I15" s="15">
        <f t="shared" si="2"/>
        <v>55</v>
      </c>
      <c r="J15" s="16"/>
    </row>
    <row r="16" s="3" customFormat="1" ht="16" customHeight="1" spans="1:10">
      <c r="A16" s="11">
        <v>11</v>
      </c>
      <c r="B16" s="16" t="s">
        <v>23</v>
      </c>
      <c r="C16" s="16"/>
      <c r="D16" s="17" t="s">
        <v>14</v>
      </c>
      <c r="E16" s="17">
        <v>5</v>
      </c>
      <c r="F16" s="13">
        <f t="shared" si="0"/>
        <v>5.29411764705882</v>
      </c>
      <c r="G16" s="14">
        <f t="shared" si="1"/>
        <v>0.85</v>
      </c>
      <c r="H16" s="18">
        <v>4.5</v>
      </c>
      <c r="I16" s="15">
        <f t="shared" si="2"/>
        <v>22.5</v>
      </c>
      <c r="J16" s="16"/>
    </row>
    <row r="17" s="3" customFormat="1" ht="16" customHeight="1" spans="1:10">
      <c r="A17" s="11">
        <v>12</v>
      </c>
      <c r="B17" s="16" t="s">
        <v>125</v>
      </c>
      <c r="C17" s="16"/>
      <c r="D17" s="17" t="s">
        <v>14</v>
      </c>
      <c r="E17" s="17">
        <v>3</v>
      </c>
      <c r="F17" s="13">
        <f t="shared" si="0"/>
        <v>10.3529411764706</v>
      </c>
      <c r="G17" s="14">
        <f t="shared" si="1"/>
        <v>0.85</v>
      </c>
      <c r="H17" s="18">
        <v>8.8</v>
      </c>
      <c r="I17" s="15">
        <f t="shared" si="2"/>
        <v>26.4</v>
      </c>
      <c r="J17" s="16"/>
    </row>
    <row r="18" s="3" customFormat="1" ht="16" customHeight="1" spans="1:10">
      <c r="A18" s="11">
        <v>13</v>
      </c>
      <c r="B18" s="11" t="s">
        <v>25</v>
      </c>
      <c r="C18" s="11"/>
      <c r="D18" s="16" t="s">
        <v>14</v>
      </c>
      <c r="E18" s="12">
        <v>3</v>
      </c>
      <c r="F18" s="13">
        <f t="shared" si="0"/>
        <v>6.47058823529412</v>
      </c>
      <c r="G18" s="14">
        <f t="shared" si="1"/>
        <v>0.85</v>
      </c>
      <c r="H18" s="18">
        <v>5.5</v>
      </c>
      <c r="I18" s="15">
        <f t="shared" si="2"/>
        <v>16.5</v>
      </c>
      <c r="J18" s="11"/>
    </row>
    <row r="19" s="3" customFormat="1" ht="16" customHeight="1" spans="1:10">
      <c r="A19" s="11">
        <v>14</v>
      </c>
      <c r="B19" s="11" t="s">
        <v>220</v>
      </c>
      <c r="C19" s="11"/>
      <c r="D19" s="11" t="s">
        <v>14</v>
      </c>
      <c r="E19" s="12">
        <v>5</v>
      </c>
      <c r="F19" s="13">
        <f t="shared" si="0"/>
        <v>8</v>
      </c>
      <c r="G19" s="14">
        <f t="shared" si="1"/>
        <v>0.85</v>
      </c>
      <c r="H19" s="18">
        <v>6.8</v>
      </c>
      <c r="I19" s="15">
        <f t="shared" si="2"/>
        <v>34</v>
      </c>
      <c r="J19" s="11"/>
    </row>
    <row r="20" s="3" customFormat="1" ht="13.5" spans="1:10">
      <c r="A20" s="11">
        <v>15</v>
      </c>
      <c r="B20" s="11" t="s">
        <v>167</v>
      </c>
      <c r="C20" s="11"/>
      <c r="D20" s="11" t="s">
        <v>14</v>
      </c>
      <c r="E20" s="12">
        <v>3</v>
      </c>
      <c r="F20" s="13">
        <f t="shared" si="0"/>
        <v>25.8823529411765</v>
      </c>
      <c r="G20" s="14">
        <f t="shared" si="1"/>
        <v>0.85</v>
      </c>
      <c r="H20" s="18">
        <v>22</v>
      </c>
      <c r="I20" s="15">
        <f t="shared" si="2"/>
        <v>66</v>
      </c>
      <c r="J20" s="11"/>
    </row>
    <row r="21" s="3" customFormat="1" ht="16" customHeight="1" spans="1:10">
      <c r="A21" s="11">
        <v>16</v>
      </c>
      <c r="B21" s="11" t="s">
        <v>101</v>
      </c>
      <c r="C21" s="11"/>
      <c r="D21" s="11" t="s">
        <v>14</v>
      </c>
      <c r="E21" s="12">
        <v>5</v>
      </c>
      <c r="F21" s="13">
        <f t="shared" si="0"/>
        <v>5.76470588235294</v>
      </c>
      <c r="G21" s="14">
        <f t="shared" si="1"/>
        <v>0.85</v>
      </c>
      <c r="H21" s="18">
        <v>4.9</v>
      </c>
      <c r="I21" s="15">
        <f t="shared" si="2"/>
        <v>24.5</v>
      </c>
      <c r="J21" s="11"/>
    </row>
    <row r="22" s="3" customFormat="1" customHeight="1" spans="1:10">
      <c r="A22" s="11">
        <v>17</v>
      </c>
      <c r="B22" s="13" t="s">
        <v>221</v>
      </c>
      <c r="C22" s="13" t="s">
        <v>222</v>
      </c>
      <c r="D22" s="13" t="s">
        <v>120</v>
      </c>
      <c r="E22" s="12">
        <v>3</v>
      </c>
      <c r="F22" s="13">
        <f t="shared" si="0"/>
        <v>31.7647058823529</v>
      </c>
      <c r="G22" s="14">
        <f t="shared" si="1"/>
        <v>0.85</v>
      </c>
      <c r="H22" s="18">
        <v>27</v>
      </c>
      <c r="I22" s="15">
        <f t="shared" si="2"/>
        <v>81</v>
      </c>
      <c r="J22" s="13"/>
    </row>
    <row r="23" s="3" customFormat="1" customHeight="1" spans="1:10">
      <c r="A23" s="11">
        <v>18</v>
      </c>
      <c r="B23" s="13" t="s">
        <v>223</v>
      </c>
      <c r="C23" s="13" t="s">
        <v>224</v>
      </c>
      <c r="D23" s="13" t="s">
        <v>218</v>
      </c>
      <c r="E23" s="12">
        <v>15</v>
      </c>
      <c r="F23" s="13">
        <f t="shared" si="0"/>
        <v>4.11764705882353</v>
      </c>
      <c r="G23" s="14">
        <f t="shared" si="1"/>
        <v>0.85</v>
      </c>
      <c r="H23" s="18">
        <v>3.5</v>
      </c>
      <c r="I23" s="15">
        <f t="shared" si="2"/>
        <v>52.5</v>
      </c>
      <c r="J23" s="13"/>
    </row>
    <row r="24" s="3" customFormat="1" customHeight="1" spans="1:10">
      <c r="A24" s="11">
        <v>19</v>
      </c>
      <c r="B24" s="13" t="s">
        <v>150</v>
      </c>
      <c r="C24" s="13" t="s">
        <v>151</v>
      </c>
      <c r="D24" s="13" t="s">
        <v>28</v>
      </c>
      <c r="E24" s="12">
        <v>1</v>
      </c>
      <c r="F24" s="13">
        <f t="shared" si="0"/>
        <v>64.7058823529412</v>
      </c>
      <c r="G24" s="14">
        <f t="shared" si="1"/>
        <v>0.85</v>
      </c>
      <c r="H24" s="18">
        <v>55</v>
      </c>
      <c r="I24" s="15">
        <f t="shared" si="2"/>
        <v>55</v>
      </c>
      <c r="J24" s="13"/>
    </row>
    <row r="25" s="3" customFormat="1" customHeight="1" spans="1:10">
      <c r="A25" s="11">
        <v>20</v>
      </c>
      <c r="B25" s="13" t="s">
        <v>35</v>
      </c>
      <c r="C25" s="13" t="s">
        <v>36</v>
      </c>
      <c r="D25" s="13" t="s">
        <v>37</v>
      </c>
      <c r="E25" s="12">
        <v>1</v>
      </c>
      <c r="F25" s="13">
        <f t="shared" si="0"/>
        <v>247.058823529412</v>
      </c>
      <c r="G25" s="14">
        <f t="shared" si="1"/>
        <v>0.85</v>
      </c>
      <c r="H25" s="18">
        <v>210</v>
      </c>
      <c r="I25" s="15">
        <f t="shared" si="2"/>
        <v>210</v>
      </c>
      <c r="J25" s="13"/>
    </row>
    <row r="26" s="3" customFormat="1" customHeight="1" spans="1:10">
      <c r="A26" s="11">
        <v>21</v>
      </c>
      <c r="B26" s="13" t="s">
        <v>111</v>
      </c>
      <c r="C26" s="13"/>
      <c r="D26" s="13" t="s">
        <v>40</v>
      </c>
      <c r="E26" s="12">
        <v>70</v>
      </c>
      <c r="F26" s="13">
        <f t="shared" si="0"/>
        <v>4.11764705882353</v>
      </c>
      <c r="G26" s="14">
        <f t="shared" si="1"/>
        <v>0.85</v>
      </c>
      <c r="H26" s="18">
        <v>3.5</v>
      </c>
      <c r="I26" s="15">
        <f t="shared" si="2"/>
        <v>245</v>
      </c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>
        <v>28</v>
      </c>
      <c r="B33" s="13"/>
      <c r="C33" s="13"/>
      <c r="D33" s="13"/>
      <c r="E33" s="12"/>
      <c r="F33" s="13"/>
      <c r="G33" s="14"/>
      <c r="H33" s="18"/>
      <c r="I33" s="15"/>
      <c r="J33" s="13"/>
    </row>
    <row r="34" s="3" customFormat="1" customHeight="1" spans="1:10">
      <c r="A34" s="11">
        <v>29</v>
      </c>
      <c r="B34" s="13"/>
      <c r="C34" s="13"/>
      <c r="D34" s="13"/>
      <c r="E34" s="12"/>
      <c r="F34" s="13"/>
      <c r="G34" s="14"/>
      <c r="H34" s="18"/>
      <c r="I34" s="15"/>
      <c r="J34" s="13"/>
    </row>
    <row r="35" s="3" customFormat="1" customHeight="1" spans="1:10">
      <c r="A35" s="11" t="s">
        <v>90</v>
      </c>
      <c r="B35" s="19">
        <f>SUM(I6:I34)</f>
        <v>1172.5</v>
      </c>
      <c r="C35" s="20"/>
      <c r="D35" s="20"/>
      <c r="E35" s="21"/>
      <c r="F35" s="20"/>
      <c r="G35" s="20"/>
      <c r="H35" s="20"/>
      <c r="I35" s="20"/>
      <c r="J35" s="24"/>
    </row>
    <row r="36" s="3" customFormat="1" customHeight="1" spans="1:10">
      <c r="A36" s="11" t="s">
        <v>43</v>
      </c>
      <c r="B36" s="22">
        <f>B35</f>
        <v>1172.5</v>
      </c>
      <c r="C36" s="23"/>
      <c r="D36" s="23"/>
      <c r="E36" s="21"/>
      <c r="F36" s="23"/>
      <c r="G36" s="23"/>
      <c r="H36" s="23"/>
      <c r="I36" s="23"/>
      <c r="J36" s="25"/>
    </row>
    <row r="37" s="3" customFormat="1" customHeight="1" spans="1:5">
      <c r="A37" s="3" t="s">
        <v>44</v>
      </c>
      <c r="E37" s="4"/>
    </row>
  </sheetData>
  <mergeCells count="4">
    <mergeCell ref="A1:J1"/>
    <mergeCell ref="B35:J35"/>
    <mergeCell ref="B36:J36"/>
    <mergeCell ref="A37:J37"/>
  </mergeCells>
  <conditionalFormatting sqref="B6:B34">
    <cfRule type="duplicateValues" dxfId="0" priority="2"/>
  </conditionalFormatting>
  <conditionalFormatting sqref="B1:B34 B37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8" orientation="portrait" horizontalDpi="6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9" workbookViewId="0">
      <selection activeCell="I7" sqref="I$1:I$104857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3" width="11.6666666666667" style="3" customWidth="1"/>
    <col min="16314" max="16314" width="11.6666666666667" style="3"/>
    <col min="16315" max="16320" width="11" style="3"/>
    <col min="16321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69</v>
      </c>
      <c r="B3" s="3" t="s">
        <v>70</v>
      </c>
      <c r="E3" s="4"/>
    </row>
    <row r="4" s="3" customFormat="1" customHeight="1" spans="1:10">
      <c r="A4" s="3" t="s">
        <v>71</v>
      </c>
      <c r="B4" s="8">
        <v>45164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51</v>
      </c>
      <c r="C6" s="11"/>
      <c r="D6" s="12" t="s">
        <v>14</v>
      </c>
      <c r="E6" s="12">
        <v>6</v>
      </c>
      <c r="F6" s="13">
        <f>H6/0.85</f>
        <v>4.47058823529412</v>
      </c>
      <c r="G6" s="14">
        <f>H6/F6</f>
        <v>0.85</v>
      </c>
      <c r="H6" s="15">
        <v>3.8</v>
      </c>
      <c r="I6" s="15">
        <f>E6*H6</f>
        <v>22.8</v>
      </c>
      <c r="J6" s="11"/>
    </row>
    <row r="7" s="3" customFormat="1" ht="16" customHeight="1" spans="1:10">
      <c r="A7" s="11">
        <v>2</v>
      </c>
      <c r="B7" s="11" t="s">
        <v>53</v>
      </c>
      <c r="C7" s="11"/>
      <c r="D7" s="12" t="s">
        <v>14</v>
      </c>
      <c r="E7" s="12">
        <v>6.3</v>
      </c>
      <c r="F7" s="13">
        <f>H7/0.85</f>
        <v>2.11764705882353</v>
      </c>
      <c r="G7" s="14">
        <f>H7/F7</f>
        <v>0.85</v>
      </c>
      <c r="H7" s="15">
        <v>1.8</v>
      </c>
      <c r="I7" s="15">
        <f>E7*H7</f>
        <v>11.34</v>
      </c>
      <c r="J7" s="11"/>
    </row>
    <row r="8" s="3" customFormat="1" ht="16" customHeight="1" spans="1:10">
      <c r="A8" s="11">
        <v>3</v>
      </c>
      <c r="B8" s="11" t="s">
        <v>225</v>
      </c>
      <c r="C8" s="11" t="s">
        <v>47</v>
      </c>
      <c r="D8" s="12" t="s">
        <v>14</v>
      </c>
      <c r="E8" s="12">
        <v>2</v>
      </c>
      <c r="F8" s="13">
        <f>H8/0.85</f>
        <v>14.1176470588235</v>
      </c>
      <c r="G8" s="14">
        <f>H8/F8</f>
        <v>0.85</v>
      </c>
      <c r="H8" s="15">
        <v>12</v>
      </c>
      <c r="I8" s="15">
        <f>E8*H8</f>
        <v>24</v>
      </c>
      <c r="J8" s="11"/>
    </row>
    <row r="9" s="3" customFormat="1" ht="16" customHeight="1" spans="1:10">
      <c r="A9" s="11">
        <v>4</v>
      </c>
      <c r="B9" s="16"/>
      <c r="C9" s="16"/>
      <c r="D9" s="12"/>
      <c r="E9" s="12"/>
      <c r="F9" s="13"/>
      <c r="G9" s="14"/>
      <c r="H9" s="15"/>
      <c r="I9" s="15"/>
      <c r="J9" s="11"/>
    </row>
    <row r="10" s="3" customFormat="1" ht="16" customHeight="1" spans="1:10">
      <c r="A10" s="11">
        <v>5</v>
      </c>
      <c r="B10" s="11"/>
      <c r="C10" s="11"/>
      <c r="D10" s="12"/>
      <c r="E10" s="12"/>
      <c r="F10" s="13"/>
      <c r="G10" s="14"/>
      <c r="H10" s="15"/>
      <c r="I10" s="15"/>
      <c r="J10" s="11"/>
    </row>
    <row r="11" s="3" customFormat="1" ht="16" customHeight="1" spans="1:10">
      <c r="A11" s="11">
        <v>6</v>
      </c>
      <c r="B11" s="11"/>
      <c r="C11" s="11"/>
      <c r="D11" s="12"/>
      <c r="E11" s="12"/>
      <c r="F11" s="13"/>
      <c r="G11" s="14"/>
      <c r="H11" s="15"/>
      <c r="I11" s="15"/>
      <c r="J11" s="11"/>
    </row>
    <row r="12" s="3" customFormat="1" ht="16" customHeight="1" spans="1:10">
      <c r="A12" s="11">
        <v>7</v>
      </c>
      <c r="B12" s="16"/>
      <c r="C12" s="16"/>
      <c r="D12" s="17"/>
      <c r="E12" s="17"/>
      <c r="F12" s="13"/>
      <c r="G12" s="14"/>
      <c r="H12" s="18"/>
      <c r="I12" s="15"/>
      <c r="J12" s="16"/>
    </row>
    <row r="13" s="3" customFormat="1" ht="16" customHeight="1" spans="1:10">
      <c r="A13" s="11">
        <v>8</v>
      </c>
      <c r="B13" s="16"/>
      <c r="C13" s="16"/>
      <c r="D13" s="17"/>
      <c r="E13" s="17"/>
      <c r="F13" s="13"/>
      <c r="G13" s="14"/>
      <c r="H13" s="18"/>
      <c r="I13" s="15"/>
      <c r="J13" s="16"/>
    </row>
    <row r="14" s="3" customFormat="1" ht="16" customHeight="1" spans="1:10">
      <c r="A14" s="11">
        <v>9</v>
      </c>
      <c r="B14" s="16"/>
      <c r="C14" s="16"/>
      <c r="D14" s="17"/>
      <c r="E14" s="17"/>
      <c r="F14" s="13"/>
      <c r="G14" s="14"/>
      <c r="H14" s="18"/>
      <c r="I14" s="15"/>
      <c r="J14" s="16"/>
    </row>
    <row r="15" s="3" customFormat="1" ht="16" customHeight="1" spans="1:10">
      <c r="A15" s="11">
        <v>10</v>
      </c>
      <c r="B15" s="16"/>
      <c r="C15" s="16"/>
      <c r="D15" s="17"/>
      <c r="E15" s="17"/>
      <c r="F15" s="13"/>
      <c r="G15" s="14"/>
      <c r="H15" s="18"/>
      <c r="I15" s="15"/>
      <c r="J15" s="16"/>
    </row>
    <row r="16" s="3" customFormat="1" ht="16" customHeight="1" spans="1:10">
      <c r="A16" s="11">
        <v>11</v>
      </c>
      <c r="B16" s="16"/>
      <c r="C16" s="16"/>
      <c r="D16" s="17"/>
      <c r="E16" s="17"/>
      <c r="F16" s="13"/>
      <c r="G16" s="14"/>
      <c r="H16" s="18"/>
      <c r="I16" s="15"/>
      <c r="J16" s="16"/>
    </row>
    <row r="17" s="3" customFormat="1" ht="16" customHeight="1" spans="1:10">
      <c r="A17" s="11">
        <v>12</v>
      </c>
      <c r="B17" s="16"/>
      <c r="C17" s="16"/>
      <c r="D17" s="17"/>
      <c r="E17" s="17"/>
      <c r="F17" s="13"/>
      <c r="G17" s="14"/>
      <c r="H17" s="18"/>
      <c r="I17" s="15"/>
      <c r="J17" s="16"/>
    </row>
    <row r="18" s="3" customFormat="1" ht="16" customHeight="1" spans="1:10">
      <c r="A18" s="11">
        <v>13</v>
      </c>
      <c r="B18" s="11"/>
      <c r="C18" s="11"/>
      <c r="D18" s="16"/>
      <c r="E18" s="12"/>
      <c r="F18" s="13"/>
      <c r="G18" s="14"/>
      <c r="H18" s="18"/>
      <c r="I18" s="15"/>
      <c r="J18" s="11"/>
    </row>
    <row r="19" s="3" customFormat="1" ht="16" customHeight="1" spans="1:10">
      <c r="A19" s="11">
        <v>14</v>
      </c>
      <c r="B19" s="11"/>
      <c r="C19" s="11"/>
      <c r="D19" s="11"/>
      <c r="E19" s="12"/>
      <c r="F19" s="13"/>
      <c r="G19" s="14"/>
      <c r="H19" s="18"/>
      <c r="I19" s="15"/>
      <c r="J19" s="11"/>
    </row>
    <row r="20" s="3" customFormat="1" ht="13.5" spans="1:10">
      <c r="A20" s="11">
        <v>15</v>
      </c>
      <c r="B20" s="11"/>
      <c r="C20" s="11"/>
      <c r="D20" s="11"/>
      <c r="E20" s="12"/>
      <c r="F20" s="13"/>
      <c r="G20" s="14"/>
      <c r="H20" s="18"/>
      <c r="I20" s="15"/>
      <c r="J20" s="11"/>
    </row>
    <row r="21" s="3" customFormat="1" ht="16" customHeight="1" spans="1:10">
      <c r="A21" s="11">
        <v>16</v>
      </c>
      <c r="B21" s="11"/>
      <c r="C21" s="11"/>
      <c r="D21" s="11"/>
      <c r="E21" s="12"/>
      <c r="F21" s="13"/>
      <c r="G21" s="14"/>
      <c r="H21" s="18"/>
      <c r="I21" s="15"/>
      <c r="J21" s="11"/>
    </row>
    <row r="22" s="3" customFormat="1" customHeight="1" spans="1:10">
      <c r="A22" s="11">
        <v>17</v>
      </c>
      <c r="B22" s="13"/>
      <c r="C22" s="13"/>
      <c r="D22" s="13"/>
      <c r="E22" s="12"/>
      <c r="F22" s="13"/>
      <c r="G22" s="14"/>
      <c r="H22" s="18"/>
      <c r="I22" s="15"/>
      <c r="J22" s="13"/>
    </row>
    <row r="23" s="3" customFormat="1" customHeight="1" spans="1:10">
      <c r="A23" s="11">
        <v>18</v>
      </c>
      <c r="B23" s="13"/>
      <c r="C23" s="13"/>
      <c r="D23" s="13"/>
      <c r="E23" s="12"/>
      <c r="F23" s="13"/>
      <c r="G23" s="14"/>
      <c r="H23" s="18"/>
      <c r="I23" s="15"/>
      <c r="J23" s="13"/>
    </row>
    <row r="24" s="3" customFormat="1" customHeight="1" spans="1:10">
      <c r="A24" s="11">
        <v>19</v>
      </c>
      <c r="B24" s="13"/>
      <c r="C24" s="13"/>
      <c r="D24" s="13"/>
      <c r="E24" s="12"/>
      <c r="F24" s="13"/>
      <c r="G24" s="14"/>
      <c r="H24" s="18"/>
      <c r="I24" s="15"/>
      <c r="J24" s="13"/>
    </row>
    <row r="25" s="3" customFormat="1" customHeight="1" spans="1:10">
      <c r="A25" s="11">
        <v>20</v>
      </c>
      <c r="B25" s="13"/>
      <c r="C25" s="13"/>
      <c r="D25" s="13"/>
      <c r="E25" s="12"/>
      <c r="F25" s="13"/>
      <c r="G25" s="14"/>
      <c r="H25" s="18"/>
      <c r="I25" s="15"/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>
        <v>28</v>
      </c>
      <c r="B33" s="13"/>
      <c r="C33" s="13"/>
      <c r="D33" s="13"/>
      <c r="E33" s="12"/>
      <c r="F33" s="13"/>
      <c r="G33" s="14"/>
      <c r="H33" s="18"/>
      <c r="I33" s="15"/>
      <c r="J33" s="13"/>
    </row>
    <row r="34" s="3" customFormat="1" customHeight="1" spans="1:10">
      <c r="A34" s="11" t="s">
        <v>90</v>
      </c>
      <c r="B34" s="19">
        <f>SUM(I6:I33)</f>
        <v>58.14</v>
      </c>
      <c r="C34" s="20"/>
      <c r="D34" s="20"/>
      <c r="E34" s="21"/>
      <c r="F34" s="20"/>
      <c r="G34" s="20"/>
      <c r="H34" s="20"/>
      <c r="I34" s="20"/>
      <c r="J34" s="24"/>
    </row>
    <row r="35" s="3" customFormat="1" customHeight="1" spans="1:10">
      <c r="A35" s="11" t="s">
        <v>43</v>
      </c>
      <c r="B35" s="22">
        <f>B34</f>
        <v>58.14</v>
      </c>
      <c r="C35" s="23"/>
      <c r="D35" s="23"/>
      <c r="E35" s="21"/>
      <c r="F35" s="23"/>
      <c r="G35" s="23"/>
      <c r="H35" s="23"/>
      <c r="I35" s="23"/>
      <c r="J35" s="25"/>
    </row>
    <row r="36" s="3" customFormat="1" customHeight="1" spans="1:5">
      <c r="A36" s="3" t="s">
        <v>44</v>
      </c>
      <c r="E36" s="4"/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21" workbookViewId="0">
      <selection activeCell="H38" sqref="H38:I40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2.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3" width="11.6666666666667" style="3" customWidth="1"/>
    <col min="16314" max="16314" width="11.6666666666667" style="3"/>
    <col min="16315" max="16320" width="11" style="3"/>
    <col min="16321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69</v>
      </c>
      <c r="B3" s="3" t="s">
        <v>70</v>
      </c>
      <c r="E3" s="4"/>
    </row>
    <row r="4" s="3" customFormat="1" customHeight="1" spans="1:10">
      <c r="A4" s="3" t="s">
        <v>71</v>
      </c>
      <c r="B4" s="8">
        <v>45165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15</v>
      </c>
      <c r="C6" s="11"/>
      <c r="D6" s="12" t="s">
        <v>14</v>
      </c>
      <c r="E6" s="12">
        <v>4</v>
      </c>
      <c r="F6" s="13">
        <f>H6/0.85</f>
        <v>4.11764705882353</v>
      </c>
      <c r="G6" s="14">
        <f>H6/F6</f>
        <v>0.85</v>
      </c>
      <c r="H6" s="15">
        <v>3.5</v>
      </c>
      <c r="I6" s="15">
        <f>E6*H6</f>
        <v>14</v>
      </c>
      <c r="J6" s="11"/>
    </row>
    <row r="7" s="3" customFormat="1" ht="16" customHeight="1" spans="1:10">
      <c r="A7" s="11">
        <v>2</v>
      </c>
      <c r="B7" s="11"/>
      <c r="C7" s="11"/>
      <c r="D7" s="12"/>
      <c r="E7" s="12"/>
      <c r="F7" s="13"/>
      <c r="G7" s="14"/>
      <c r="H7" s="15"/>
      <c r="I7" s="15"/>
      <c r="J7" s="11"/>
    </row>
    <row r="8" s="3" customFormat="1" ht="16" customHeight="1" spans="1:10">
      <c r="A8" s="11">
        <v>3</v>
      </c>
      <c r="B8" s="11"/>
      <c r="C8" s="11"/>
      <c r="D8" s="12"/>
      <c r="E8" s="12"/>
      <c r="F8" s="13"/>
      <c r="G8" s="14"/>
      <c r="H8" s="15"/>
      <c r="I8" s="15"/>
      <c r="J8" s="11"/>
    </row>
    <row r="9" s="3" customFormat="1" ht="16" customHeight="1" spans="1:10">
      <c r="A9" s="11">
        <v>4</v>
      </c>
      <c r="B9" s="16"/>
      <c r="C9" s="16"/>
      <c r="D9" s="12"/>
      <c r="E9" s="12"/>
      <c r="F9" s="13"/>
      <c r="G9" s="14"/>
      <c r="H9" s="15"/>
      <c r="I9" s="15"/>
      <c r="J9" s="11"/>
    </row>
    <row r="10" s="3" customFormat="1" ht="16" customHeight="1" spans="1:10">
      <c r="A10" s="11">
        <v>5</v>
      </c>
      <c r="B10" s="11"/>
      <c r="C10" s="11"/>
      <c r="D10" s="12"/>
      <c r="E10" s="12"/>
      <c r="F10" s="13"/>
      <c r="G10" s="14"/>
      <c r="H10" s="15"/>
      <c r="I10" s="15"/>
      <c r="J10" s="11"/>
    </row>
    <row r="11" s="3" customFormat="1" ht="16" customHeight="1" spans="1:10">
      <c r="A11" s="11">
        <v>6</v>
      </c>
      <c r="B11" s="11"/>
      <c r="C11" s="11"/>
      <c r="D11" s="12"/>
      <c r="E11" s="12"/>
      <c r="F11" s="13"/>
      <c r="G11" s="14"/>
      <c r="H11" s="15"/>
      <c r="I11" s="15"/>
      <c r="J11" s="11"/>
    </row>
    <row r="12" s="3" customFormat="1" ht="16" customHeight="1" spans="1:10">
      <c r="A12" s="11">
        <v>7</v>
      </c>
      <c r="B12" s="16"/>
      <c r="C12" s="16"/>
      <c r="D12" s="17"/>
      <c r="E12" s="17"/>
      <c r="F12" s="13"/>
      <c r="G12" s="14"/>
      <c r="H12" s="18"/>
      <c r="I12" s="15"/>
      <c r="J12" s="16"/>
    </row>
    <row r="13" s="3" customFormat="1" ht="16" customHeight="1" spans="1:10">
      <c r="A13" s="11">
        <v>8</v>
      </c>
      <c r="B13" s="16"/>
      <c r="C13" s="16"/>
      <c r="D13" s="17"/>
      <c r="E13" s="17"/>
      <c r="F13" s="13"/>
      <c r="G13" s="14"/>
      <c r="H13" s="18"/>
      <c r="I13" s="15"/>
      <c r="J13" s="16"/>
    </row>
    <row r="14" s="3" customFormat="1" ht="16" customHeight="1" spans="1:10">
      <c r="A14" s="11">
        <v>9</v>
      </c>
      <c r="B14" s="16"/>
      <c r="C14" s="16"/>
      <c r="D14" s="17"/>
      <c r="E14" s="17"/>
      <c r="F14" s="13"/>
      <c r="G14" s="14"/>
      <c r="H14" s="18"/>
      <c r="I14" s="15"/>
      <c r="J14" s="16"/>
    </row>
    <row r="15" s="3" customFormat="1" ht="16" customHeight="1" spans="1:10">
      <c r="A15" s="11">
        <v>10</v>
      </c>
      <c r="B15" s="16"/>
      <c r="C15" s="16"/>
      <c r="D15" s="17"/>
      <c r="E15" s="17"/>
      <c r="F15" s="13"/>
      <c r="G15" s="14"/>
      <c r="H15" s="18"/>
      <c r="I15" s="15"/>
      <c r="J15" s="16"/>
    </row>
    <row r="16" s="3" customFormat="1" ht="16" customHeight="1" spans="1:10">
      <c r="A16" s="11">
        <v>11</v>
      </c>
      <c r="B16" s="16"/>
      <c r="C16" s="16"/>
      <c r="D16" s="17"/>
      <c r="E16" s="17"/>
      <c r="F16" s="13"/>
      <c r="G16" s="14"/>
      <c r="H16" s="18"/>
      <c r="I16" s="15"/>
      <c r="J16" s="16"/>
    </row>
    <row r="17" s="3" customFormat="1" ht="16" customHeight="1" spans="1:10">
      <c r="A17" s="11">
        <v>12</v>
      </c>
      <c r="B17" s="11"/>
      <c r="C17" s="11"/>
      <c r="D17" s="16"/>
      <c r="E17" s="12"/>
      <c r="F17" s="13"/>
      <c r="G17" s="14"/>
      <c r="H17" s="18"/>
      <c r="I17" s="15"/>
      <c r="J17" s="11"/>
    </row>
    <row r="18" s="3" customFormat="1" ht="16" customHeight="1" spans="1:10">
      <c r="A18" s="11">
        <v>13</v>
      </c>
      <c r="B18" s="11"/>
      <c r="C18" s="11"/>
      <c r="D18" s="11"/>
      <c r="E18" s="12"/>
      <c r="F18" s="13"/>
      <c r="G18" s="14"/>
      <c r="H18" s="18"/>
      <c r="I18" s="15"/>
      <c r="J18" s="11"/>
    </row>
    <row r="19" s="3" customFormat="1" ht="13.5" spans="1:10">
      <c r="A19" s="11">
        <v>14</v>
      </c>
      <c r="B19" s="11"/>
      <c r="C19" s="11"/>
      <c r="D19" s="11"/>
      <c r="E19" s="12"/>
      <c r="F19" s="13"/>
      <c r="G19" s="14"/>
      <c r="H19" s="18"/>
      <c r="I19" s="15"/>
      <c r="J19" s="11"/>
    </row>
    <row r="20" s="3" customFormat="1" customHeight="1" spans="1:10">
      <c r="A20" s="11">
        <v>15</v>
      </c>
      <c r="B20" s="13"/>
      <c r="C20" s="13"/>
      <c r="D20" s="13"/>
      <c r="E20" s="12"/>
      <c r="F20" s="13"/>
      <c r="G20" s="14"/>
      <c r="H20" s="18"/>
      <c r="I20" s="15"/>
      <c r="J20" s="13"/>
    </row>
    <row r="21" s="3" customFormat="1" customHeight="1" spans="1:10">
      <c r="A21" s="11">
        <v>16</v>
      </c>
      <c r="B21" s="13"/>
      <c r="C21" s="13"/>
      <c r="D21" s="13"/>
      <c r="E21" s="12"/>
      <c r="F21" s="13"/>
      <c r="G21" s="14"/>
      <c r="H21" s="18"/>
      <c r="I21" s="15"/>
      <c r="J21" s="13"/>
    </row>
    <row r="22" s="3" customFormat="1" customHeight="1" spans="1:10">
      <c r="A22" s="11">
        <v>17</v>
      </c>
      <c r="B22" s="13"/>
      <c r="C22" s="13"/>
      <c r="D22" s="13"/>
      <c r="E22" s="12"/>
      <c r="F22" s="13"/>
      <c r="G22" s="14"/>
      <c r="H22" s="18"/>
      <c r="I22" s="15"/>
      <c r="J22" s="13"/>
    </row>
    <row r="23" s="3" customFormat="1" customHeight="1" spans="1:10">
      <c r="A23" s="11">
        <v>18</v>
      </c>
      <c r="B23" s="13"/>
      <c r="C23" s="13"/>
      <c r="D23" s="13"/>
      <c r="E23" s="12"/>
      <c r="F23" s="13"/>
      <c r="G23" s="14"/>
      <c r="H23" s="18"/>
      <c r="I23" s="15"/>
      <c r="J23" s="13"/>
    </row>
    <row r="24" s="3" customFormat="1" customHeight="1" spans="1:10">
      <c r="A24" s="11">
        <v>19</v>
      </c>
      <c r="B24" s="13"/>
      <c r="C24" s="13"/>
      <c r="D24" s="13"/>
      <c r="E24" s="12"/>
      <c r="F24" s="13"/>
      <c r="G24" s="14"/>
      <c r="H24" s="18"/>
      <c r="I24" s="15"/>
      <c r="J24" s="13"/>
    </row>
    <row r="25" s="3" customFormat="1" customHeight="1" spans="1:10">
      <c r="A25" s="11">
        <v>20</v>
      </c>
      <c r="B25" s="13"/>
      <c r="C25" s="13"/>
      <c r="D25" s="13"/>
      <c r="E25" s="12"/>
      <c r="F25" s="13"/>
      <c r="G25" s="14"/>
      <c r="H25" s="18"/>
      <c r="I25" s="15"/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>
        <v>28</v>
      </c>
      <c r="B33" s="13"/>
      <c r="C33" s="13"/>
      <c r="D33" s="13"/>
      <c r="E33" s="12"/>
      <c r="F33" s="13"/>
      <c r="G33" s="14"/>
      <c r="H33" s="18"/>
      <c r="I33" s="15"/>
      <c r="J33" s="13"/>
    </row>
    <row r="34" s="3" customFormat="1" customHeight="1" spans="1:10">
      <c r="A34" s="11" t="s">
        <v>90</v>
      </c>
      <c r="B34" s="19">
        <f>SUM(I6:I33)</f>
        <v>14</v>
      </c>
      <c r="C34" s="20"/>
      <c r="D34" s="20"/>
      <c r="E34" s="21"/>
      <c r="F34" s="20"/>
      <c r="G34" s="20"/>
      <c r="H34" s="20"/>
      <c r="I34" s="20"/>
      <c r="J34" s="24"/>
    </row>
    <row r="35" s="3" customFormat="1" customHeight="1" spans="1:10">
      <c r="A35" s="11" t="s">
        <v>43</v>
      </c>
      <c r="B35" s="22">
        <f>B34</f>
        <v>14</v>
      </c>
      <c r="C35" s="23"/>
      <c r="D35" s="23"/>
      <c r="E35" s="21"/>
      <c r="F35" s="23"/>
      <c r="G35" s="23"/>
      <c r="H35" s="23"/>
      <c r="I35" s="23"/>
      <c r="J35" s="25"/>
    </row>
    <row r="36" s="3" customFormat="1" customHeight="1" spans="1:5">
      <c r="A36" s="3" t="s">
        <v>44</v>
      </c>
      <c r="E36" s="4"/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409027777777778" bottom="0.2125" header="0.5" footer="0.5"/>
  <pageSetup paperSize="9" scale="95" orientation="portrait" horizontalDpi="6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0"/>
  <sheetViews>
    <sheetView topLeftCell="A21" workbookViewId="0">
      <selection activeCell="I21" sqref="I$1:I$1048576"/>
    </sheetView>
  </sheetViews>
  <sheetFormatPr defaultColWidth="11" defaultRowHeight="18" customHeight="1"/>
  <cols>
    <col min="1" max="1" width="9.25" style="3" customWidth="1"/>
    <col min="2" max="2" width="22.75" style="3" customWidth="1"/>
    <col min="3" max="3" width="11.12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3" width="11.6666666666667" style="3" customWidth="1"/>
    <col min="16314" max="16314" width="11.6666666666667" style="3"/>
    <col min="16315" max="16320" width="11" style="3"/>
    <col min="16321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69</v>
      </c>
      <c r="B3" s="3" t="s">
        <v>70</v>
      </c>
      <c r="E3" s="4"/>
    </row>
    <row r="4" s="3" customFormat="1" customHeight="1" spans="1:10">
      <c r="A4" s="3" t="s">
        <v>71</v>
      </c>
      <c r="B4" s="8">
        <v>45166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4</v>
      </c>
      <c r="F6" s="13">
        <f t="shared" ref="F6:F27" si="0">H6/0.85</f>
        <v>3.52941176470588</v>
      </c>
      <c r="G6" s="14">
        <f t="shared" ref="G6:G27" si="1">H6/F6</f>
        <v>0.85</v>
      </c>
      <c r="H6" s="15">
        <v>3</v>
      </c>
      <c r="I6" s="15">
        <f t="shared" ref="I6:I27" si="2">E6*H6</f>
        <v>12</v>
      </c>
      <c r="J6" s="11"/>
    </row>
    <row r="7" s="3" customFormat="1" ht="16" customHeight="1" spans="1:10">
      <c r="A7" s="11">
        <v>2</v>
      </c>
      <c r="B7" s="11" t="s">
        <v>46</v>
      </c>
      <c r="C7" s="11" t="s">
        <v>47</v>
      </c>
      <c r="D7" s="12" t="s">
        <v>14</v>
      </c>
      <c r="E7" s="12">
        <v>6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21</v>
      </c>
      <c r="J7" s="11"/>
    </row>
    <row r="8" s="3" customFormat="1" ht="16" customHeight="1" spans="1:10">
      <c r="A8" s="11">
        <v>3</v>
      </c>
      <c r="B8" s="11" t="s">
        <v>15</v>
      </c>
      <c r="C8" s="11"/>
      <c r="D8" s="12" t="s">
        <v>14</v>
      </c>
      <c r="E8" s="12">
        <v>4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14</v>
      </c>
      <c r="J8" s="11"/>
    </row>
    <row r="9" s="3" customFormat="1" ht="16" customHeight="1" spans="1:10">
      <c r="A9" s="11">
        <v>4</v>
      </c>
      <c r="B9" s="16" t="s">
        <v>103</v>
      </c>
      <c r="C9" s="16"/>
      <c r="D9" s="12" t="s">
        <v>14</v>
      </c>
      <c r="E9" s="12">
        <v>1</v>
      </c>
      <c r="F9" s="13">
        <f t="shared" si="0"/>
        <v>8</v>
      </c>
      <c r="G9" s="14">
        <f t="shared" si="1"/>
        <v>0.85</v>
      </c>
      <c r="H9" s="15">
        <v>6.8</v>
      </c>
      <c r="I9" s="15">
        <f t="shared" si="2"/>
        <v>6.8</v>
      </c>
      <c r="J9" s="11"/>
    </row>
    <row r="10" s="3" customFormat="1" ht="16" customHeight="1" spans="1:10">
      <c r="A10" s="11">
        <v>5</v>
      </c>
      <c r="B10" s="11" t="s">
        <v>226</v>
      </c>
      <c r="C10" s="11"/>
      <c r="D10" s="12" t="s">
        <v>14</v>
      </c>
      <c r="E10" s="12">
        <v>6</v>
      </c>
      <c r="F10" s="13">
        <f t="shared" si="0"/>
        <v>9.41176470588235</v>
      </c>
      <c r="G10" s="14">
        <f t="shared" si="1"/>
        <v>0.85</v>
      </c>
      <c r="H10" s="15">
        <v>8</v>
      </c>
      <c r="I10" s="15">
        <f t="shared" si="2"/>
        <v>48</v>
      </c>
      <c r="J10" s="11"/>
    </row>
    <row r="11" s="3" customFormat="1" ht="16" customHeight="1" spans="1:10">
      <c r="A11" s="11">
        <v>6</v>
      </c>
      <c r="B11" s="11" t="s">
        <v>49</v>
      </c>
      <c r="C11" s="11"/>
      <c r="D11" s="12" t="s">
        <v>14</v>
      </c>
      <c r="E11" s="12">
        <v>2</v>
      </c>
      <c r="F11" s="13">
        <f t="shared" si="0"/>
        <v>9.17647058823529</v>
      </c>
      <c r="G11" s="14">
        <f t="shared" si="1"/>
        <v>0.85</v>
      </c>
      <c r="H11" s="15">
        <v>7.8</v>
      </c>
      <c r="I11" s="15">
        <f t="shared" si="2"/>
        <v>15.6</v>
      </c>
      <c r="J11" s="11"/>
    </row>
    <row r="12" s="3" customFormat="1" ht="16" customHeight="1" spans="1:10">
      <c r="A12" s="11">
        <v>7</v>
      </c>
      <c r="B12" s="16" t="s">
        <v>19</v>
      </c>
      <c r="C12" s="16"/>
      <c r="D12" s="17" t="s">
        <v>14</v>
      </c>
      <c r="E12" s="17">
        <v>8</v>
      </c>
      <c r="F12" s="13">
        <f t="shared" si="0"/>
        <v>2.94117647058824</v>
      </c>
      <c r="G12" s="14">
        <f t="shared" si="1"/>
        <v>0.85</v>
      </c>
      <c r="H12" s="18">
        <v>2.5</v>
      </c>
      <c r="I12" s="15">
        <f t="shared" si="2"/>
        <v>20</v>
      </c>
      <c r="J12" s="16"/>
    </row>
    <row r="13" s="3" customFormat="1" ht="16" customHeight="1" spans="1:10">
      <c r="A13" s="11">
        <v>8</v>
      </c>
      <c r="B13" s="16" t="s">
        <v>20</v>
      </c>
      <c r="C13" s="16"/>
      <c r="D13" s="17" t="s">
        <v>21</v>
      </c>
      <c r="E13" s="17">
        <v>7</v>
      </c>
      <c r="F13" s="13">
        <f t="shared" si="0"/>
        <v>3.52941176470588</v>
      </c>
      <c r="G13" s="14">
        <f t="shared" si="1"/>
        <v>0.85</v>
      </c>
      <c r="H13" s="18">
        <v>3</v>
      </c>
      <c r="I13" s="15">
        <f t="shared" si="2"/>
        <v>21</v>
      </c>
      <c r="J13" s="16"/>
    </row>
    <row r="14" s="3" customFormat="1" ht="16" customHeight="1" spans="1:10">
      <c r="A14" s="11">
        <v>9</v>
      </c>
      <c r="B14" s="16" t="s">
        <v>50</v>
      </c>
      <c r="C14" s="16"/>
      <c r="D14" s="17" t="s">
        <v>14</v>
      </c>
      <c r="E14" s="17">
        <v>2</v>
      </c>
      <c r="F14" s="13">
        <f t="shared" si="0"/>
        <v>5.29411764705882</v>
      </c>
      <c r="G14" s="14">
        <f t="shared" si="1"/>
        <v>0.85</v>
      </c>
      <c r="H14" s="18">
        <v>4.5</v>
      </c>
      <c r="I14" s="15">
        <f t="shared" si="2"/>
        <v>9</v>
      </c>
      <c r="J14" s="16"/>
    </row>
    <row r="15" s="3" customFormat="1" ht="16" customHeight="1" spans="1:10">
      <c r="A15" s="11">
        <v>10</v>
      </c>
      <c r="B15" s="16" t="s">
        <v>51</v>
      </c>
      <c r="C15" s="16"/>
      <c r="D15" s="17" t="s">
        <v>14</v>
      </c>
      <c r="E15" s="17">
        <v>5</v>
      </c>
      <c r="F15" s="13">
        <f t="shared" si="0"/>
        <v>4.47058823529412</v>
      </c>
      <c r="G15" s="14">
        <f t="shared" si="1"/>
        <v>0.85</v>
      </c>
      <c r="H15" s="18">
        <v>3.8</v>
      </c>
      <c r="I15" s="15">
        <f t="shared" si="2"/>
        <v>19</v>
      </c>
      <c r="J15" s="16"/>
    </row>
    <row r="16" s="3" customFormat="1" ht="16" customHeight="1" spans="1:10">
      <c r="A16" s="11">
        <v>11</v>
      </c>
      <c r="B16" s="16" t="s">
        <v>53</v>
      </c>
      <c r="C16" s="16"/>
      <c r="D16" s="17" t="s">
        <v>14</v>
      </c>
      <c r="E16" s="17">
        <v>18</v>
      </c>
      <c r="F16" s="13">
        <f t="shared" si="0"/>
        <v>2.11764705882353</v>
      </c>
      <c r="G16" s="14">
        <f t="shared" si="1"/>
        <v>0.85</v>
      </c>
      <c r="H16" s="18">
        <v>1.8</v>
      </c>
      <c r="I16" s="15">
        <f t="shared" si="2"/>
        <v>32.4</v>
      </c>
      <c r="J16" s="16"/>
    </row>
    <row r="17" s="3" customFormat="1" ht="16" customHeight="1" spans="1:10">
      <c r="A17" s="11">
        <v>12</v>
      </c>
      <c r="B17" s="11" t="s">
        <v>76</v>
      </c>
      <c r="C17" s="11"/>
      <c r="D17" s="16" t="s">
        <v>14</v>
      </c>
      <c r="E17" s="12">
        <v>18</v>
      </c>
      <c r="F17" s="13">
        <f t="shared" si="0"/>
        <v>4.11764705882353</v>
      </c>
      <c r="G17" s="14">
        <f t="shared" si="1"/>
        <v>0.85</v>
      </c>
      <c r="H17" s="18">
        <v>3.5</v>
      </c>
      <c r="I17" s="15">
        <f t="shared" si="2"/>
        <v>63</v>
      </c>
      <c r="J17" s="11"/>
    </row>
    <row r="18" s="3" customFormat="1" ht="16" customHeight="1" spans="1:10">
      <c r="A18" s="11">
        <v>13</v>
      </c>
      <c r="B18" s="11" t="s">
        <v>26</v>
      </c>
      <c r="C18" s="11" t="s">
        <v>27</v>
      </c>
      <c r="D18" s="11" t="s">
        <v>28</v>
      </c>
      <c r="E18" s="12">
        <v>1</v>
      </c>
      <c r="F18" s="13">
        <f t="shared" si="0"/>
        <v>352.941176470588</v>
      </c>
      <c r="G18" s="14">
        <f t="shared" si="1"/>
        <v>0.85</v>
      </c>
      <c r="H18" s="18">
        <v>300</v>
      </c>
      <c r="I18" s="15">
        <f t="shared" si="2"/>
        <v>300</v>
      </c>
      <c r="J18" s="11"/>
    </row>
    <row r="19" s="3" customFormat="1" ht="13.5" spans="1:10">
      <c r="A19" s="11">
        <v>14</v>
      </c>
      <c r="B19" s="11" t="s">
        <v>77</v>
      </c>
      <c r="C19" s="11"/>
      <c r="D19" s="11" t="s">
        <v>14</v>
      </c>
      <c r="E19" s="12">
        <v>14</v>
      </c>
      <c r="F19" s="13">
        <f t="shared" si="0"/>
        <v>25.8823529411765</v>
      </c>
      <c r="G19" s="14">
        <f t="shared" si="1"/>
        <v>0.85</v>
      </c>
      <c r="H19" s="18">
        <v>22</v>
      </c>
      <c r="I19" s="15">
        <f t="shared" si="2"/>
        <v>308</v>
      </c>
      <c r="J19" s="11"/>
    </row>
    <row r="20" s="3" customFormat="1" customHeight="1" spans="1:10">
      <c r="A20" s="11">
        <v>15</v>
      </c>
      <c r="B20" s="13" t="s">
        <v>29</v>
      </c>
      <c r="C20" s="13"/>
      <c r="D20" s="13" t="s">
        <v>14</v>
      </c>
      <c r="E20" s="12">
        <v>5</v>
      </c>
      <c r="F20" s="13">
        <f t="shared" ref="F20:F35" si="3">H20/0.85</f>
        <v>19.7647058823529</v>
      </c>
      <c r="G20" s="14">
        <f t="shared" ref="G20:G35" si="4">H20/F20</f>
        <v>0.85</v>
      </c>
      <c r="H20" s="18">
        <v>16.8</v>
      </c>
      <c r="I20" s="15">
        <f t="shared" ref="I20:I35" si="5">E20*H20</f>
        <v>84</v>
      </c>
      <c r="J20" s="13"/>
    </row>
    <row r="21" s="3" customFormat="1" customHeight="1" spans="1:10">
      <c r="A21" s="11">
        <v>16</v>
      </c>
      <c r="B21" s="13" t="s">
        <v>100</v>
      </c>
      <c r="C21" s="13"/>
      <c r="D21" s="13" t="s">
        <v>14</v>
      </c>
      <c r="E21" s="12">
        <v>3</v>
      </c>
      <c r="F21" s="13">
        <f t="shared" si="3"/>
        <v>19.7647058823529</v>
      </c>
      <c r="G21" s="14">
        <f t="shared" si="4"/>
        <v>0.85</v>
      </c>
      <c r="H21" s="18">
        <v>16.8</v>
      </c>
      <c r="I21" s="15">
        <f t="shared" si="5"/>
        <v>50.4</v>
      </c>
      <c r="J21" s="13"/>
    </row>
    <row r="22" s="3" customFormat="1" customHeight="1" spans="1:10">
      <c r="A22" s="11">
        <v>17</v>
      </c>
      <c r="B22" s="13" t="s">
        <v>173</v>
      </c>
      <c r="C22" s="13" t="s">
        <v>174</v>
      </c>
      <c r="D22" s="13" t="s">
        <v>37</v>
      </c>
      <c r="E22" s="12">
        <v>5</v>
      </c>
      <c r="F22" s="13">
        <f t="shared" si="3"/>
        <v>25.8823529411765</v>
      </c>
      <c r="G22" s="14">
        <f t="shared" si="4"/>
        <v>0.85</v>
      </c>
      <c r="H22" s="18">
        <v>22</v>
      </c>
      <c r="I22" s="15">
        <f t="shared" si="5"/>
        <v>110</v>
      </c>
      <c r="J22" s="13"/>
    </row>
    <row r="23" s="3" customFormat="1" customHeight="1" spans="1:10">
      <c r="A23" s="11">
        <v>18</v>
      </c>
      <c r="B23" s="13" t="s">
        <v>60</v>
      </c>
      <c r="C23" s="13" t="s">
        <v>61</v>
      </c>
      <c r="D23" s="13" t="s">
        <v>28</v>
      </c>
      <c r="E23" s="12">
        <v>1</v>
      </c>
      <c r="F23" s="13">
        <f t="shared" si="3"/>
        <v>338.823529411765</v>
      </c>
      <c r="G23" s="14">
        <f t="shared" si="4"/>
        <v>0.85</v>
      </c>
      <c r="H23" s="18">
        <v>288</v>
      </c>
      <c r="I23" s="15">
        <f t="shared" si="5"/>
        <v>288</v>
      </c>
      <c r="J23" s="13"/>
    </row>
    <row r="24" s="3" customFormat="1" customHeight="1" spans="1:10">
      <c r="A24" s="11">
        <v>19</v>
      </c>
      <c r="B24" s="13" t="s">
        <v>227</v>
      </c>
      <c r="C24" s="13" t="s">
        <v>228</v>
      </c>
      <c r="D24" s="13" t="s">
        <v>37</v>
      </c>
      <c r="E24" s="12">
        <v>5</v>
      </c>
      <c r="F24" s="13">
        <f t="shared" si="3"/>
        <v>18.8235294117647</v>
      </c>
      <c r="G24" s="14">
        <f t="shared" si="4"/>
        <v>0.85</v>
      </c>
      <c r="H24" s="18">
        <v>16</v>
      </c>
      <c r="I24" s="15">
        <f t="shared" si="5"/>
        <v>80</v>
      </c>
      <c r="J24" s="13"/>
    </row>
    <row r="25" s="3" customFormat="1" customHeight="1" spans="1:10">
      <c r="A25" s="11">
        <v>20</v>
      </c>
      <c r="B25" s="13" t="s">
        <v>229</v>
      </c>
      <c r="C25" s="13" t="s">
        <v>230</v>
      </c>
      <c r="D25" s="13" t="s">
        <v>28</v>
      </c>
      <c r="E25" s="12">
        <v>1</v>
      </c>
      <c r="F25" s="13">
        <f t="shared" si="3"/>
        <v>776.470588235294</v>
      </c>
      <c r="G25" s="14">
        <f t="shared" si="4"/>
        <v>0.85</v>
      </c>
      <c r="H25" s="18">
        <v>660</v>
      </c>
      <c r="I25" s="15">
        <f t="shared" si="5"/>
        <v>660</v>
      </c>
      <c r="J25" s="13"/>
    </row>
    <row r="26" s="3" customFormat="1" customHeight="1" spans="1:10">
      <c r="A26" s="11">
        <v>21</v>
      </c>
      <c r="B26" s="13" t="s">
        <v>117</v>
      </c>
      <c r="C26" s="13" t="s">
        <v>118</v>
      </c>
      <c r="D26" s="13" t="s">
        <v>37</v>
      </c>
      <c r="E26" s="12">
        <v>3</v>
      </c>
      <c r="F26" s="13">
        <f t="shared" si="3"/>
        <v>52.9411764705882</v>
      </c>
      <c r="G26" s="14">
        <f t="shared" si="4"/>
        <v>0.85</v>
      </c>
      <c r="H26" s="18">
        <v>45</v>
      </c>
      <c r="I26" s="15">
        <f t="shared" si="5"/>
        <v>135</v>
      </c>
      <c r="J26" s="13"/>
    </row>
    <row r="27" s="3" customFormat="1" customHeight="1" spans="1:10">
      <c r="A27" s="11">
        <v>22</v>
      </c>
      <c r="B27" s="13" t="s">
        <v>135</v>
      </c>
      <c r="C27" s="13" t="s">
        <v>136</v>
      </c>
      <c r="D27" s="13" t="s">
        <v>37</v>
      </c>
      <c r="E27" s="12">
        <v>3</v>
      </c>
      <c r="F27" s="13">
        <f t="shared" si="3"/>
        <v>42.8235294117647</v>
      </c>
      <c r="G27" s="14">
        <f t="shared" si="4"/>
        <v>0.85</v>
      </c>
      <c r="H27" s="18">
        <v>36.4</v>
      </c>
      <c r="I27" s="15">
        <f t="shared" si="5"/>
        <v>109.2</v>
      </c>
      <c r="J27" s="13"/>
    </row>
    <row r="28" s="3" customFormat="1" customHeight="1" spans="1:10">
      <c r="A28" s="11">
        <v>23</v>
      </c>
      <c r="B28" s="13" t="s">
        <v>231</v>
      </c>
      <c r="C28" s="13" t="s">
        <v>232</v>
      </c>
      <c r="D28" s="13" t="s">
        <v>233</v>
      </c>
      <c r="E28" s="12">
        <v>10</v>
      </c>
      <c r="F28" s="13">
        <f t="shared" si="3"/>
        <v>2.35294117647059</v>
      </c>
      <c r="G28" s="14">
        <f t="shared" si="4"/>
        <v>0.85</v>
      </c>
      <c r="H28" s="18">
        <v>2</v>
      </c>
      <c r="I28" s="15">
        <f t="shared" si="5"/>
        <v>20</v>
      </c>
      <c r="J28" s="13"/>
    </row>
    <row r="29" s="3" customFormat="1" customHeight="1" spans="1:10">
      <c r="A29" s="11">
        <v>24</v>
      </c>
      <c r="B29" s="13" t="s">
        <v>234</v>
      </c>
      <c r="C29" s="13" t="s">
        <v>235</v>
      </c>
      <c r="D29" s="13" t="s">
        <v>28</v>
      </c>
      <c r="E29" s="12">
        <v>1</v>
      </c>
      <c r="F29" s="13">
        <f t="shared" si="3"/>
        <v>205.882352941176</v>
      </c>
      <c r="G29" s="14">
        <f t="shared" si="4"/>
        <v>0.85</v>
      </c>
      <c r="H29" s="18">
        <v>175</v>
      </c>
      <c r="I29" s="15">
        <f t="shared" si="5"/>
        <v>175</v>
      </c>
      <c r="J29" s="13"/>
    </row>
    <row r="30" s="3" customFormat="1" customHeight="1" spans="1:10">
      <c r="A30" s="11">
        <v>25</v>
      </c>
      <c r="B30" s="13" t="s">
        <v>225</v>
      </c>
      <c r="C30" s="13" t="s">
        <v>47</v>
      </c>
      <c r="D30" s="13" t="s">
        <v>14</v>
      </c>
      <c r="E30" s="12">
        <v>11</v>
      </c>
      <c r="F30" s="13">
        <f t="shared" si="3"/>
        <v>14.1176470588235</v>
      </c>
      <c r="G30" s="14">
        <f t="shared" si="4"/>
        <v>0.85</v>
      </c>
      <c r="H30" s="18">
        <v>12</v>
      </c>
      <c r="I30" s="15">
        <f t="shared" si="5"/>
        <v>132</v>
      </c>
      <c r="J30" s="13"/>
    </row>
    <row r="31" s="3" customFormat="1" customHeight="1" spans="1:10">
      <c r="A31" s="11">
        <v>26</v>
      </c>
      <c r="B31" s="13" t="s">
        <v>123</v>
      </c>
      <c r="C31" s="13"/>
      <c r="D31" s="13" t="s">
        <v>14</v>
      </c>
      <c r="E31" s="12">
        <v>5</v>
      </c>
      <c r="F31" s="13">
        <f t="shared" si="3"/>
        <v>103.529411764706</v>
      </c>
      <c r="G31" s="14">
        <f t="shared" si="4"/>
        <v>0.85</v>
      </c>
      <c r="H31" s="18">
        <v>88</v>
      </c>
      <c r="I31" s="15">
        <f t="shared" si="5"/>
        <v>440</v>
      </c>
      <c r="J31" s="13"/>
    </row>
    <row r="32" s="3" customFormat="1" customHeight="1" spans="1:10">
      <c r="A32" s="11">
        <v>27</v>
      </c>
      <c r="B32" s="13" t="s">
        <v>111</v>
      </c>
      <c r="C32" s="13"/>
      <c r="D32" s="13" t="s">
        <v>40</v>
      </c>
      <c r="E32" s="12">
        <v>55</v>
      </c>
      <c r="F32" s="13">
        <f t="shared" si="3"/>
        <v>4.11764705882353</v>
      </c>
      <c r="G32" s="14">
        <f t="shared" si="4"/>
        <v>0.85</v>
      </c>
      <c r="H32" s="18">
        <v>3.5</v>
      </c>
      <c r="I32" s="15">
        <f t="shared" si="5"/>
        <v>192.5</v>
      </c>
      <c r="J32" s="13"/>
    </row>
    <row r="33" s="3" customFormat="1" customHeight="1" spans="1:10">
      <c r="A33" s="11">
        <v>28</v>
      </c>
      <c r="B33" s="13"/>
      <c r="C33" s="13"/>
      <c r="D33" s="13"/>
      <c r="E33" s="12"/>
      <c r="F33" s="13"/>
      <c r="G33" s="14"/>
      <c r="H33" s="18"/>
      <c r="I33" s="15"/>
      <c r="J33" s="13"/>
    </row>
    <row r="34" s="3" customFormat="1" customHeight="1" spans="1:10">
      <c r="A34" s="11">
        <v>29</v>
      </c>
      <c r="B34" s="13"/>
      <c r="C34" s="13"/>
      <c r="D34" s="13"/>
      <c r="E34" s="12"/>
      <c r="F34" s="13"/>
      <c r="G34" s="14"/>
      <c r="H34" s="18"/>
      <c r="I34" s="15"/>
      <c r="J34" s="13"/>
    </row>
    <row r="35" s="3" customFormat="1" customHeight="1" spans="1:10">
      <c r="A35" s="11">
        <v>30</v>
      </c>
      <c r="B35" s="13"/>
      <c r="C35" s="13"/>
      <c r="D35" s="13"/>
      <c r="E35" s="12"/>
      <c r="F35" s="13"/>
      <c r="G35" s="14"/>
      <c r="H35" s="18"/>
      <c r="I35" s="15"/>
      <c r="J35" s="13"/>
    </row>
    <row r="36" s="3" customFormat="1" customHeight="1" spans="1:10">
      <c r="A36" s="11">
        <v>31</v>
      </c>
      <c r="B36" s="13"/>
      <c r="C36" s="13"/>
      <c r="D36" s="13"/>
      <c r="E36" s="12"/>
      <c r="F36" s="13"/>
      <c r="G36" s="14"/>
      <c r="H36" s="18"/>
      <c r="I36" s="15"/>
      <c r="J36" s="13"/>
    </row>
    <row r="37" s="3" customFormat="1" customHeight="1" spans="1:10">
      <c r="A37" s="11">
        <v>32</v>
      </c>
      <c r="B37" s="13"/>
      <c r="C37" s="13"/>
      <c r="D37" s="13"/>
      <c r="E37" s="12"/>
      <c r="F37" s="13"/>
      <c r="G37" s="14"/>
      <c r="H37" s="18"/>
      <c r="I37" s="15"/>
      <c r="J37" s="13"/>
    </row>
    <row r="38" s="3" customFormat="1" customHeight="1" spans="1:10">
      <c r="A38" s="11" t="s">
        <v>90</v>
      </c>
      <c r="B38" s="19">
        <f>SUM(I6:I37)</f>
        <v>3365.9</v>
      </c>
      <c r="C38" s="20"/>
      <c r="D38" s="20"/>
      <c r="E38" s="21"/>
      <c r="F38" s="20"/>
      <c r="G38" s="20"/>
      <c r="H38" s="20"/>
      <c r="I38" s="20"/>
      <c r="J38" s="24"/>
    </row>
    <row r="39" s="3" customFormat="1" customHeight="1" spans="1:10">
      <c r="A39" s="11" t="s">
        <v>43</v>
      </c>
      <c r="B39" s="22">
        <f>B38</f>
        <v>3365.9</v>
      </c>
      <c r="C39" s="23"/>
      <c r="D39" s="23"/>
      <c r="E39" s="21"/>
      <c r="F39" s="23"/>
      <c r="G39" s="23"/>
      <c r="H39" s="23"/>
      <c r="I39" s="23"/>
      <c r="J39" s="25"/>
    </row>
    <row r="40" s="3" customFormat="1" customHeight="1" spans="1:5">
      <c r="A40" s="3" t="s">
        <v>44</v>
      </c>
      <c r="E40" s="4"/>
    </row>
  </sheetData>
  <mergeCells count="4">
    <mergeCell ref="A1:J1"/>
    <mergeCell ref="B38:J38"/>
    <mergeCell ref="B39:J39"/>
    <mergeCell ref="A40:J40"/>
  </mergeCells>
  <conditionalFormatting sqref="B6:B37">
    <cfRule type="duplicateValues" dxfId="0" priority="2"/>
  </conditionalFormatting>
  <conditionalFormatting sqref="B1:B37 B40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409027777777778" bottom="0.2125" header="0.5" footer="0.5"/>
  <pageSetup paperSize="9" scale="93" orientation="portrait" horizontalDpi="600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15" workbookViewId="0">
      <selection activeCell="A6" sqref="A6:A32"/>
    </sheetView>
  </sheetViews>
  <sheetFormatPr defaultColWidth="11" defaultRowHeight="18" customHeight="1"/>
  <cols>
    <col min="1" max="1" width="9.25" style="3" customWidth="1"/>
    <col min="2" max="2" width="22.75" style="3" customWidth="1"/>
    <col min="3" max="3" width="11.12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3" width="11.6666666666667" style="3" customWidth="1"/>
    <col min="16314" max="16314" width="11.6666666666667" style="3"/>
    <col min="16315" max="16320" width="11" style="3"/>
    <col min="16321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69</v>
      </c>
      <c r="B3" s="3" t="s">
        <v>70</v>
      </c>
      <c r="E3" s="4"/>
    </row>
    <row r="4" s="3" customFormat="1" customHeight="1" spans="1:10">
      <c r="A4" s="3" t="s">
        <v>71</v>
      </c>
      <c r="B4" s="8">
        <v>45167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4</v>
      </c>
      <c r="F6" s="13">
        <f t="shared" ref="F6:F28" si="0">H6/0.85</f>
        <v>3.52941176470588</v>
      </c>
      <c r="G6" s="14">
        <f t="shared" ref="G6:G28" si="1">H6/F6</f>
        <v>0.85</v>
      </c>
      <c r="H6" s="15">
        <v>3</v>
      </c>
      <c r="I6" s="15">
        <f t="shared" ref="I6:I28" si="2">E6*H6</f>
        <v>12</v>
      </c>
      <c r="J6" s="11"/>
    </row>
    <row r="7" s="3" customFormat="1" ht="16" customHeight="1" spans="1:10">
      <c r="A7" s="11">
        <v>2</v>
      </c>
      <c r="B7" s="11" t="s">
        <v>152</v>
      </c>
      <c r="C7" s="11"/>
      <c r="D7" s="12" t="s">
        <v>14</v>
      </c>
      <c r="E7" s="12">
        <v>4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14</v>
      </c>
      <c r="J7" s="11"/>
    </row>
    <row r="8" s="3" customFormat="1" ht="16" customHeight="1" spans="1:10">
      <c r="A8" s="11">
        <v>3</v>
      </c>
      <c r="B8" s="11" t="s">
        <v>15</v>
      </c>
      <c r="C8" s="11"/>
      <c r="D8" s="12" t="s">
        <v>14</v>
      </c>
      <c r="E8" s="12">
        <v>5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17.5</v>
      </c>
      <c r="J8" s="11"/>
    </row>
    <row r="9" s="3" customFormat="1" ht="16" customHeight="1" spans="1:10">
      <c r="A9" s="11">
        <v>4</v>
      </c>
      <c r="B9" s="16" t="s">
        <v>72</v>
      </c>
      <c r="C9" s="16"/>
      <c r="D9" s="12" t="s">
        <v>14</v>
      </c>
      <c r="E9" s="12">
        <v>2</v>
      </c>
      <c r="F9" s="13">
        <f t="shared" si="0"/>
        <v>4.11764705882353</v>
      </c>
      <c r="G9" s="14">
        <f t="shared" si="1"/>
        <v>0.85</v>
      </c>
      <c r="H9" s="15">
        <v>3.5</v>
      </c>
      <c r="I9" s="15">
        <f t="shared" si="2"/>
        <v>7</v>
      </c>
      <c r="J9" s="11"/>
    </row>
    <row r="10" s="3" customFormat="1" ht="16" customHeight="1" spans="1:10">
      <c r="A10" s="11">
        <v>5</v>
      </c>
      <c r="B10" s="11" t="s">
        <v>153</v>
      </c>
      <c r="C10" s="11"/>
      <c r="D10" s="12" t="s">
        <v>14</v>
      </c>
      <c r="E10" s="12">
        <v>4</v>
      </c>
      <c r="F10" s="13">
        <f t="shared" si="0"/>
        <v>9.17647058823529</v>
      </c>
      <c r="G10" s="14">
        <f t="shared" si="1"/>
        <v>0.85</v>
      </c>
      <c r="H10" s="15">
        <v>7.8</v>
      </c>
      <c r="I10" s="15">
        <f t="shared" si="2"/>
        <v>31.2</v>
      </c>
      <c r="J10" s="11"/>
    </row>
    <row r="11" s="3" customFormat="1" ht="16" customHeight="1" spans="1:10">
      <c r="A11" s="11">
        <v>6</v>
      </c>
      <c r="B11" s="11" t="s">
        <v>52</v>
      </c>
      <c r="C11" s="11"/>
      <c r="D11" s="12" t="s">
        <v>14</v>
      </c>
      <c r="E11" s="12">
        <v>16</v>
      </c>
      <c r="F11" s="13">
        <f t="shared" si="0"/>
        <v>6.47058823529412</v>
      </c>
      <c r="G11" s="14">
        <f t="shared" si="1"/>
        <v>0.85</v>
      </c>
      <c r="H11" s="15">
        <v>5.5</v>
      </c>
      <c r="I11" s="15">
        <f t="shared" si="2"/>
        <v>88</v>
      </c>
      <c r="J11" s="11"/>
    </row>
    <row r="12" s="3" customFormat="1" ht="16" customHeight="1" spans="1:10">
      <c r="A12" s="11">
        <v>7</v>
      </c>
      <c r="B12" s="16" t="s">
        <v>75</v>
      </c>
      <c r="C12" s="16"/>
      <c r="D12" s="17" t="s">
        <v>14</v>
      </c>
      <c r="E12" s="17">
        <v>7</v>
      </c>
      <c r="F12" s="13">
        <f t="shared" si="0"/>
        <v>2.94117647058824</v>
      </c>
      <c r="G12" s="14">
        <f t="shared" si="1"/>
        <v>0.85</v>
      </c>
      <c r="H12" s="18">
        <v>2.5</v>
      </c>
      <c r="I12" s="15">
        <f t="shared" si="2"/>
        <v>17.5</v>
      </c>
      <c r="J12" s="16"/>
    </row>
    <row r="13" s="3" customFormat="1" ht="16" customHeight="1" spans="1:10">
      <c r="A13" s="11">
        <v>8</v>
      </c>
      <c r="B13" s="16" t="s">
        <v>104</v>
      </c>
      <c r="C13" s="16"/>
      <c r="D13" s="17" t="s">
        <v>14</v>
      </c>
      <c r="E13" s="17">
        <v>1</v>
      </c>
      <c r="F13" s="13">
        <f t="shared" si="0"/>
        <v>11.5294117647059</v>
      </c>
      <c r="G13" s="14">
        <f t="shared" si="1"/>
        <v>0.85</v>
      </c>
      <c r="H13" s="18">
        <v>9.8</v>
      </c>
      <c r="I13" s="15">
        <f t="shared" si="2"/>
        <v>9.8</v>
      </c>
      <c r="J13" s="16"/>
    </row>
    <row r="14" s="3" customFormat="1" ht="16" customHeight="1" spans="1:10">
      <c r="A14" s="11">
        <v>9</v>
      </c>
      <c r="B14" s="16" t="s">
        <v>97</v>
      </c>
      <c r="C14" s="16"/>
      <c r="D14" s="17" t="s">
        <v>14</v>
      </c>
      <c r="E14" s="17">
        <v>8</v>
      </c>
      <c r="F14" s="13">
        <f t="shared" si="0"/>
        <v>5.88235294117647</v>
      </c>
      <c r="G14" s="14">
        <f t="shared" si="1"/>
        <v>0.85</v>
      </c>
      <c r="H14" s="18">
        <v>5</v>
      </c>
      <c r="I14" s="15">
        <f t="shared" si="2"/>
        <v>40</v>
      </c>
      <c r="J14" s="16"/>
    </row>
    <row r="15" s="3" customFormat="1" ht="16" customHeight="1" spans="1:10">
      <c r="A15" s="11">
        <v>10</v>
      </c>
      <c r="B15" s="16" t="s">
        <v>115</v>
      </c>
      <c r="C15" s="16"/>
      <c r="D15" s="17" t="s">
        <v>14</v>
      </c>
      <c r="E15" s="17">
        <v>5</v>
      </c>
      <c r="F15" s="13">
        <f t="shared" si="0"/>
        <v>2.35294117647059</v>
      </c>
      <c r="G15" s="14">
        <f t="shared" si="1"/>
        <v>0.85</v>
      </c>
      <c r="H15" s="18">
        <v>2</v>
      </c>
      <c r="I15" s="15">
        <f t="shared" si="2"/>
        <v>10</v>
      </c>
      <c r="J15" s="16"/>
    </row>
    <row r="16" s="3" customFormat="1" ht="16" customHeight="1" spans="1:10">
      <c r="A16" s="11">
        <v>11</v>
      </c>
      <c r="B16" s="16" t="s">
        <v>166</v>
      </c>
      <c r="C16" s="16"/>
      <c r="D16" s="17" t="s">
        <v>14</v>
      </c>
      <c r="E16" s="17">
        <v>18</v>
      </c>
      <c r="F16" s="13">
        <f t="shared" si="0"/>
        <v>4.11764705882353</v>
      </c>
      <c r="G16" s="14">
        <f t="shared" si="1"/>
        <v>0.85</v>
      </c>
      <c r="H16" s="18">
        <v>3.5</v>
      </c>
      <c r="I16" s="15">
        <f t="shared" si="2"/>
        <v>63</v>
      </c>
      <c r="J16" s="16"/>
    </row>
    <row r="17" s="3" customFormat="1" ht="16" customHeight="1" spans="1:10">
      <c r="A17" s="11">
        <v>12</v>
      </c>
      <c r="B17" s="11" t="s">
        <v>29</v>
      </c>
      <c r="C17" s="11"/>
      <c r="D17" s="16" t="s">
        <v>14</v>
      </c>
      <c r="E17" s="12">
        <v>5</v>
      </c>
      <c r="F17" s="13">
        <f t="shared" si="0"/>
        <v>19.7647058823529</v>
      </c>
      <c r="G17" s="14">
        <f t="shared" si="1"/>
        <v>0.85</v>
      </c>
      <c r="H17" s="18">
        <v>16.8</v>
      </c>
      <c r="I17" s="15">
        <f t="shared" si="2"/>
        <v>84</v>
      </c>
      <c r="J17" s="11"/>
    </row>
    <row r="18" s="3" customFormat="1" ht="16" customHeight="1" spans="1:10">
      <c r="A18" s="11">
        <v>13</v>
      </c>
      <c r="B18" s="11" t="s">
        <v>110</v>
      </c>
      <c r="C18" s="11"/>
      <c r="D18" s="11" t="s">
        <v>14</v>
      </c>
      <c r="E18" s="12">
        <v>18</v>
      </c>
      <c r="F18" s="13">
        <f t="shared" si="0"/>
        <v>45.8823529411765</v>
      </c>
      <c r="G18" s="14">
        <f t="shared" si="1"/>
        <v>0.85</v>
      </c>
      <c r="H18" s="18">
        <v>39</v>
      </c>
      <c r="I18" s="15">
        <f t="shared" si="2"/>
        <v>702</v>
      </c>
      <c r="J18" s="11"/>
    </row>
    <row r="19" s="3" customFormat="1" customHeight="1" spans="1:10">
      <c r="A19" s="11">
        <v>14</v>
      </c>
      <c r="B19" s="13" t="s">
        <v>58</v>
      </c>
      <c r="C19" s="13" t="s">
        <v>59</v>
      </c>
      <c r="D19" s="13" t="s">
        <v>37</v>
      </c>
      <c r="E19" s="12">
        <v>2</v>
      </c>
      <c r="F19" s="13">
        <f t="shared" si="0"/>
        <v>10.5882352941176</v>
      </c>
      <c r="G19" s="14">
        <f t="shared" si="1"/>
        <v>0.85</v>
      </c>
      <c r="H19" s="18">
        <v>9</v>
      </c>
      <c r="I19" s="15">
        <f t="shared" si="2"/>
        <v>18</v>
      </c>
      <c r="J19" s="13"/>
    </row>
    <row r="20" s="3" customFormat="1" customHeight="1" spans="1:10">
      <c r="A20" s="11">
        <v>15</v>
      </c>
      <c r="B20" s="13" t="s">
        <v>101</v>
      </c>
      <c r="C20" s="13"/>
      <c r="D20" s="13" t="s">
        <v>14</v>
      </c>
      <c r="E20" s="12">
        <v>8</v>
      </c>
      <c r="F20" s="13">
        <f t="shared" si="0"/>
        <v>5.76470588235294</v>
      </c>
      <c r="G20" s="14">
        <f t="shared" si="1"/>
        <v>0.85</v>
      </c>
      <c r="H20" s="18">
        <v>4.9</v>
      </c>
      <c r="I20" s="15">
        <f t="shared" si="2"/>
        <v>39.2</v>
      </c>
      <c r="J20" s="13"/>
    </row>
    <row r="21" s="3" customFormat="1" customHeight="1" spans="1:10">
      <c r="A21" s="11">
        <v>16</v>
      </c>
      <c r="B21" s="13" t="s">
        <v>236</v>
      </c>
      <c r="C21" s="13"/>
      <c r="D21" s="13" t="s">
        <v>28</v>
      </c>
      <c r="E21" s="12">
        <v>1</v>
      </c>
      <c r="F21" s="13">
        <f t="shared" si="0"/>
        <v>141.176470588235</v>
      </c>
      <c r="G21" s="14">
        <f t="shared" si="1"/>
        <v>0.85</v>
      </c>
      <c r="H21" s="18">
        <v>120</v>
      </c>
      <c r="I21" s="15">
        <f t="shared" si="2"/>
        <v>120</v>
      </c>
      <c r="J21" s="13"/>
    </row>
    <row r="22" s="3" customFormat="1" customHeight="1" spans="1:10">
      <c r="A22" s="11">
        <v>17</v>
      </c>
      <c r="B22" s="13" t="s">
        <v>237</v>
      </c>
      <c r="C22" s="13" t="s">
        <v>238</v>
      </c>
      <c r="D22" s="13" t="s">
        <v>14</v>
      </c>
      <c r="E22" s="12">
        <v>10</v>
      </c>
      <c r="F22" s="13">
        <f t="shared" si="0"/>
        <v>8</v>
      </c>
      <c r="G22" s="14">
        <f t="shared" si="1"/>
        <v>0.85</v>
      </c>
      <c r="H22" s="18">
        <v>6.8</v>
      </c>
      <c r="I22" s="15">
        <f t="shared" si="2"/>
        <v>68</v>
      </c>
      <c r="J22" s="13"/>
    </row>
    <row r="23" s="3" customFormat="1" customHeight="1" spans="1:10">
      <c r="A23" s="11">
        <v>18</v>
      </c>
      <c r="B23" s="13" t="s">
        <v>239</v>
      </c>
      <c r="C23" s="13" t="s">
        <v>240</v>
      </c>
      <c r="D23" s="13" t="s">
        <v>81</v>
      </c>
      <c r="E23" s="12">
        <v>5</v>
      </c>
      <c r="F23" s="13">
        <f t="shared" si="0"/>
        <v>14.1176470588235</v>
      </c>
      <c r="G23" s="14">
        <f t="shared" si="1"/>
        <v>0.85</v>
      </c>
      <c r="H23" s="18">
        <v>12</v>
      </c>
      <c r="I23" s="15">
        <f t="shared" si="2"/>
        <v>60</v>
      </c>
      <c r="J23" s="13"/>
    </row>
    <row r="24" s="3" customFormat="1" customHeight="1" spans="1:10">
      <c r="A24" s="11">
        <v>19</v>
      </c>
      <c r="B24" s="13" t="s">
        <v>241</v>
      </c>
      <c r="C24" s="13" t="s">
        <v>242</v>
      </c>
      <c r="D24" s="13" t="s">
        <v>37</v>
      </c>
      <c r="E24" s="12">
        <v>3</v>
      </c>
      <c r="F24" s="13">
        <f t="shared" si="0"/>
        <v>35.5294117647059</v>
      </c>
      <c r="G24" s="14">
        <f t="shared" si="1"/>
        <v>0.85</v>
      </c>
      <c r="H24" s="18">
        <v>30.2</v>
      </c>
      <c r="I24" s="15">
        <f t="shared" si="2"/>
        <v>90.6</v>
      </c>
      <c r="J24" s="13"/>
    </row>
    <row r="25" s="3" customFormat="1" customHeight="1" spans="1:10">
      <c r="A25" s="11">
        <v>20</v>
      </c>
      <c r="B25" s="13" t="s">
        <v>243</v>
      </c>
      <c r="C25" s="13" t="s">
        <v>244</v>
      </c>
      <c r="D25" s="13" t="s">
        <v>177</v>
      </c>
      <c r="E25" s="12">
        <v>28</v>
      </c>
      <c r="F25" s="13">
        <f t="shared" si="0"/>
        <v>2.35294117647059</v>
      </c>
      <c r="G25" s="14">
        <f t="shared" si="1"/>
        <v>0.85</v>
      </c>
      <c r="H25" s="18">
        <v>2</v>
      </c>
      <c r="I25" s="15">
        <f t="shared" si="2"/>
        <v>56</v>
      </c>
      <c r="J25" s="13"/>
    </row>
    <row r="26" s="3" customFormat="1" customHeight="1" spans="1:10">
      <c r="A26" s="11">
        <v>21</v>
      </c>
      <c r="B26" s="13" t="s">
        <v>245</v>
      </c>
      <c r="C26" s="13" t="s">
        <v>246</v>
      </c>
      <c r="D26" s="13" t="s">
        <v>81</v>
      </c>
      <c r="E26" s="12">
        <v>5</v>
      </c>
      <c r="F26" s="13">
        <f t="shared" si="0"/>
        <v>14.7058823529412</v>
      </c>
      <c r="G26" s="14">
        <f t="shared" si="1"/>
        <v>0.85</v>
      </c>
      <c r="H26" s="18">
        <v>12.5</v>
      </c>
      <c r="I26" s="15">
        <f t="shared" si="2"/>
        <v>62.5</v>
      </c>
      <c r="J26" s="13"/>
    </row>
    <row r="27" s="3" customFormat="1" customHeight="1" spans="1:10">
      <c r="A27" s="11">
        <v>22</v>
      </c>
      <c r="B27" s="13" t="s">
        <v>247</v>
      </c>
      <c r="C27" s="13" t="s">
        <v>34</v>
      </c>
      <c r="D27" s="13" t="s">
        <v>120</v>
      </c>
      <c r="E27" s="12">
        <v>1</v>
      </c>
      <c r="F27" s="13">
        <f t="shared" si="0"/>
        <v>102.941176470588</v>
      </c>
      <c r="G27" s="14">
        <f t="shared" si="1"/>
        <v>0.85</v>
      </c>
      <c r="H27" s="18">
        <v>87.5</v>
      </c>
      <c r="I27" s="15">
        <f t="shared" si="2"/>
        <v>87.5</v>
      </c>
      <c r="J27" s="13"/>
    </row>
    <row r="28" s="3" customFormat="1" customHeight="1" spans="1:10">
      <c r="A28" s="11">
        <v>23</v>
      </c>
      <c r="B28" s="13" t="s">
        <v>164</v>
      </c>
      <c r="C28" s="13" t="s">
        <v>165</v>
      </c>
      <c r="D28" s="13" t="s">
        <v>40</v>
      </c>
      <c r="E28" s="12">
        <v>65</v>
      </c>
      <c r="F28" s="13">
        <f t="shared" si="0"/>
        <v>4.11764705882353</v>
      </c>
      <c r="G28" s="14">
        <f t="shared" si="1"/>
        <v>0.85</v>
      </c>
      <c r="H28" s="18">
        <v>3.5</v>
      </c>
      <c r="I28" s="15">
        <f t="shared" si="2"/>
        <v>227.5</v>
      </c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 t="s">
        <v>90</v>
      </c>
      <c r="B33" s="19">
        <f>SUM(I6:I32)</f>
        <v>1925.3</v>
      </c>
      <c r="C33" s="20"/>
      <c r="D33" s="20"/>
      <c r="E33" s="21"/>
      <c r="F33" s="20"/>
      <c r="G33" s="20"/>
      <c r="H33" s="20"/>
      <c r="I33" s="20"/>
      <c r="J33" s="24"/>
    </row>
    <row r="34" s="3" customFormat="1" customHeight="1" spans="1:10">
      <c r="A34" s="11" t="s">
        <v>43</v>
      </c>
      <c r="B34" s="22">
        <f>B33</f>
        <v>1925.3</v>
      </c>
      <c r="C34" s="23"/>
      <c r="D34" s="23"/>
      <c r="E34" s="21"/>
      <c r="F34" s="23"/>
      <c r="G34" s="23"/>
      <c r="H34" s="23"/>
      <c r="I34" s="23"/>
      <c r="J34" s="25"/>
    </row>
    <row r="35" s="3" customFormat="1" customHeight="1" spans="1:5">
      <c r="A35" s="3" t="s">
        <v>44</v>
      </c>
      <c r="E35" s="4"/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2"/>
  </conditionalFormatting>
  <conditionalFormatting sqref="B1:B32 B35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409027777777778" bottom="0.2125" header="0.5" footer="0.5"/>
  <pageSetup paperSize="9" scale="93" orientation="portrait" horizontalDpi="600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1"/>
  <sheetViews>
    <sheetView topLeftCell="A12" workbookViewId="0">
      <selection activeCell="B29" sqref="B29:J29"/>
    </sheetView>
  </sheetViews>
  <sheetFormatPr defaultColWidth="11" defaultRowHeight="18" customHeight="1"/>
  <cols>
    <col min="1" max="1" width="9.25" style="3" customWidth="1"/>
    <col min="2" max="2" width="22.75" style="3" customWidth="1"/>
    <col min="3" max="3" width="11.12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3" width="11.6666666666667" style="3" customWidth="1"/>
    <col min="16314" max="16314" width="11.6666666666667" style="3"/>
    <col min="16315" max="16320" width="11" style="3"/>
    <col min="16321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69</v>
      </c>
      <c r="B3" s="3" t="s">
        <v>70</v>
      </c>
      <c r="E3" s="4"/>
    </row>
    <row r="4" s="3" customFormat="1" customHeight="1" spans="1:10">
      <c r="A4" s="3" t="s">
        <v>71</v>
      </c>
      <c r="B4" s="8">
        <v>45167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248</v>
      </c>
      <c r="C6" s="11" t="s">
        <v>249</v>
      </c>
      <c r="D6" s="12" t="s">
        <v>120</v>
      </c>
      <c r="E6" s="12">
        <v>4</v>
      </c>
      <c r="F6" s="13">
        <f t="shared" ref="F6:F11" si="0">H6/0.85</f>
        <v>56.4705882352941</v>
      </c>
      <c r="G6" s="14">
        <f t="shared" ref="G6:G15" si="1">H6/F6</f>
        <v>0.85</v>
      </c>
      <c r="H6" s="15">
        <v>48</v>
      </c>
      <c r="I6" s="15">
        <f t="shared" ref="I6:I15" si="2">E6*H6</f>
        <v>192</v>
      </c>
      <c r="J6" s="11"/>
    </row>
    <row r="7" s="3" customFormat="1" ht="16" customHeight="1" spans="1:10">
      <c r="A7" s="11">
        <v>2</v>
      </c>
      <c r="B7" s="11" t="s">
        <v>250</v>
      </c>
      <c r="C7" s="11" t="s">
        <v>251</v>
      </c>
      <c r="D7" s="12" t="s">
        <v>37</v>
      </c>
      <c r="E7" s="12">
        <v>11</v>
      </c>
      <c r="F7" s="13">
        <f t="shared" si="0"/>
        <v>2.94117647058824</v>
      </c>
      <c r="G7" s="14">
        <f t="shared" si="1"/>
        <v>0.85</v>
      </c>
      <c r="H7" s="15">
        <v>2.5</v>
      </c>
      <c r="I7" s="15">
        <f t="shared" si="2"/>
        <v>27.5</v>
      </c>
      <c r="J7" s="11"/>
    </row>
    <row r="8" s="3" customFormat="1" ht="16" customHeight="1" spans="1:10">
      <c r="A8" s="11">
        <v>3</v>
      </c>
      <c r="B8" s="11" t="s">
        <v>179</v>
      </c>
      <c r="C8" s="11"/>
      <c r="D8" s="12" t="s">
        <v>89</v>
      </c>
      <c r="E8" s="12">
        <v>2</v>
      </c>
      <c r="F8" s="13">
        <f t="shared" si="0"/>
        <v>176.470588235294</v>
      </c>
      <c r="G8" s="14">
        <f t="shared" si="1"/>
        <v>0.85</v>
      </c>
      <c r="H8" s="15">
        <v>150</v>
      </c>
      <c r="I8" s="15">
        <f t="shared" si="2"/>
        <v>300</v>
      </c>
      <c r="J8" s="11"/>
    </row>
    <row r="9" s="3" customFormat="1" ht="16" customHeight="1" spans="1:10">
      <c r="A9" s="11">
        <v>4</v>
      </c>
      <c r="B9" s="16" t="s">
        <v>252</v>
      </c>
      <c r="C9" s="16" t="s">
        <v>253</v>
      </c>
      <c r="D9" s="12" t="s">
        <v>254</v>
      </c>
      <c r="E9" s="12">
        <v>2</v>
      </c>
      <c r="F9" s="13">
        <f t="shared" si="0"/>
        <v>35.2941176470588</v>
      </c>
      <c r="G9" s="14">
        <f t="shared" si="1"/>
        <v>0.85</v>
      </c>
      <c r="H9" s="15">
        <v>30</v>
      </c>
      <c r="I9" s="15">
        <f t="shared" si="2"/>
        <v>60</v>
      </c>
      <c r="J9" s="11"/>
    </row>
    <row r="10" s="3" customFormat="1" ht="16" customHeight="1" spans="1:10">
      <c r="A10" s="11">
        <v>5</v>
      </c>
      <c r="B10" s="11" t="s">
        <v>255</v>
      </c>
      <c r="C10" s="11" t="s">
        <v>200</v>
      </c>
      <c r="D10" s="12" t="s">
        <v>37</v>
      </c>
      <c r="E10" s="12">
        <v>1</v>
      </c>
      <c r="F10" s="13">
        <f t="shared" si="0"/>
        <v>52.9411764705882</v>
      </c>
      <c r="G10" s="14">
        <f t="shared" si="1"/>
        <v>0.85</v>
      </c>
      <c r="H10" s="15">
        <v>45</v>
      </c>
      <c r="I10" s="15">
        <f t="shared" si="2"/>
        <v>45</v>
      </c>
      <c r="J10" s="11"/>
    </row>
    <row r="11" s="3" customFormat="1" ht="16" customHeight="1" spans="1:10">
      <c r="A11" s="11">
        <v>6</v>
      </c>
      <c r="B11" s="11" t="s">
        <v>256</v>
      </c>
      <c r="C11" s="11" t="s">
        <v>257</v>
      </c>
      <c r="D11" s="12" t="s">
        <v>37</v>
      </c>
      <c r="E11" s="12">
        <v>2</v>
      </c>
      <c r="F11" s="13">
        <f t="shared" si="0"/>
        <v>41.1764705882353</v>
      </c>
      <c r="G11" s="14">
        <f t="shared" si="1"/>
        <v>0.85</v>
      </c>
      <c r="H11" s="15">
        <v>35</v>
      </c>
      <c r="I11" s="15">
        <f t="shared" si="2"/>
        <v>70</v>
      </c>
      <c r="J11" s="11"/>
    </row>
    <row r="12" s="3" customFormat="1" ht="16" customHeight="1" spans="1:10">
      <c r="A12" s="11">
        <v>11</v>
      </c>
      <c r="B12" s="16"/>
      <c r="C12" s="16"/>
      <c r="D12" s="17"/>
      <c r="E12" s="17"/>
      <c r="F12" s="13"/>
      <c r="G12" s="14"/>
      <c r="H12" s="18"/>
      <c r="I12" s="15"/>
      <c r="J12" s="16"/>
    </row>
    <row r="13" s="3" customFormat="1" ht="16" customHeight="1" spans="1:10">
      <c r="A13" s="11">
        <v>12</v>
      </c>
      <c r="B13" s="11"/>
      <c r="C13" s="11"/>
      <c r="D13" s="16"/>
      <c r="E13" s="12"/>
      <c r="F13" s="13"/>
      <c r="G13" s="14"/>
      <c r="H13" s="18"/>
      <c r="I13" s="15"/>
      <c r="J13" s="11"/>
    </row>
    <row r="14" s="3" customFormat="1" ht="16" customHeight="1" spans="1:10">
      <c r="A14" s="11">
        <v>13</v>
      </c>
      <c r="B14" s="11"/>
      <c r="C14" s="11"/>
      <c r="D14" s="11"/>
      <c r="E14" s="12"/>
      <c r="F14" s="13"/>
      <c r="G14" s="14"/>
      <c r="H14" s="18"/>
      <c r="I14" s="15"/>
      <c r="J14" s="11"/>
    </row>
    <row r="15" s="3" customFormat="1" customHeight="1" spans="1:10">
      <c r="A15" s="11">
        <v>15</v>
      </c>
      <c r="B15" s="13"/>
      <c r="C15" s="13"/>
      <c r="D15" s="13"/>
      <c r="E15" s="12"/>
      <c r="F15" s="13"/>
      <c r="G15" s="14"/>
      <c r="H15" s="18"/>
      <c r="I15" s="15"/>
      <c r="J15" s="13"/>
    </row>
    <row r="16" s="3" customFormat="1" customHeight="1" spans="1:10">
      <c r="A16" s="11">
        <v>16</v>
      </c>
      <c r="B16" s="13"/>
      <c r="C16" s="13"/>
      <c r="D16" s="13"/>
      <c r="E16" s="12"/>
      <c r="F16" s="13"/>
      <c r="G16" s="14"/>
      <c r="H16" s="18"/>
      <c r="I16" s="15"/>
      <c r="J16" s="13"/>
    </row>
    <row r="17" s="3" customFormat="1" customHeight="1" spans="1:10">
      <c r="A17" s="11">
        <v>17</v>
      </c>
      <c r="B17" s="13"/>
      <c r="C17" s="13"/>
      <c r="D17" s="13"/>
      <c r="E17" s="12"/>
      <c r="F17" s="13"/>
      <c r="G17" s="14"/>
      <c r="H17" s="18"/>
      <c r="I17" s="15"/>
      <c r="J17" s="13"/>
    </row>
    <row r="18" s="3" customFormat="1" customHeight="1" spans="1:10">
      <c r="A18" s="11">
        <v>18</v>
      </c>
      <c r="B18" s="13"/>
      <c r="C18" s="13"/>
      <c r="D18" s="13"/>
      <c r="E18" s="12"/>
      <c r="F18" s="13"/>
      <c r="G18" s="14"/>
      <c r="H18" s="18"/>
      <c r="I18" s="15"/>
      <c r="J18" s="13"/>
    </row>
    <row r="19" s="3" customFormat="1" customHeight="1" spans="1:10">
      <c r="A19" s="11">
        <v>19</v>
      </c>
      <c r="B19" s="13"/>
      <c r="C19" s="13"/>
      <c r="D19" s="13"/>
      <c r="E19" s="12"/>
      <c r="F19" s="13"/>
      <c r="G19" s="14"/>
      <c r="H19" s="18"/>
      <c r="I19" s="15"/>
      <c r="J19" s="13"/>
    </row>
    <row r="20" s="3" customFormat="1" customHeight="1" spans="1:10">
      <c r="A20" s="11">
        <v>20</v>
      </c>
      <c r="B20" s="13"/>
      <c r="C20" s="13"/>
      <c r="D20" s="13"/>
      <c r="E20" s="12"/>
      <c r="F20" s="13"/>
      <c r="G20" s="14"/>
      <c r="H20" s="18"/>
      <c r="I20" s="15"/>
      <c r="J20" s="13"/>
    </row>
    <row r="21" s="3" customFormat="1" customHeight="1" spans="1:10">
      <c r="A21" s="11">
        <v>21</v>
      </c>
      <c r="B21" s="13"/>
      <c r="C21" s="13"/>
      <c r="D21" s="13"/>
      <c r="E21" s="12"/>
      <c r="F21" s="13"/>
      <c r="G21" s="14"/>
      <c r="H21" s="18"/>
      <c r="I21" s="15"/>
      <c r="J21" s="13"/>
    </row>
    <row r="22" s="3" customFormat="1" customHeight="1" spans="1:10">
      <c r="A22" s="11">
        <v>22</v>
      </c>
      <c r="B22" s="13"/>
      <c r="C22" s="13"/>
      <c r="D22" s="13"/>
      <c r="E22" s="12"/>
      <c r="F22" s="13"/>
      <c r="G22" s="14"/>
      <c r="H22" s="18"/>
      <c r="I22" s="15"/>
      <c r="J22" s="13"/>
    </row>
    <row r="23" s="3" customFormat="1" customHeight="1" spans="1:10">
      <c r="A23" s="11">
        <v>23</v>
      </c>
      <c r="B23" s="13"/>
      <c r="C23" s="13"/>
      <c r="D23" s="13"/>
      <c r="E23" s="12"/>
      <c r="F23" s="13"/>
      <c r="G23" s="14"/>
      <c r="H23" s="18"/>
      <c r="I23" s="15"/>
      <c r="J23" s="13"/>
    </row>
    <row r="24" s="3" customFormat="1" customHeight="1" spans="1:10">
      <c r="A24" s="11">
        <v>24</v>
      </c>
      <c r="B24" s="13"/>
      <c r="C24" s="13"/>
      <c r="D24" s="13"/>
      <c r="E24" s="12"/>
      <c r="F24" s="13"/>
      <c r="G24" s="14"/>
      <c r="H24" s="18"/>
      <c r="I24" s="15"/>
      <c r="J24" s="13"/>
    </row>
    <row r="25" s="3" customFormat="1" customHeight="1" spans="1:10">
      <c r="A25" s="11">
        <v>25</v>
      </c>
      <c r="B25" s="13"/>
      <c r="C25" s="13"/>
      <c r="D25" s="13"/>
      <c r="E25" s="12"/>
      <c r="F25" s="13"/>
      <c r="G25" s="14"/>
      <c r="H25" s="18"/>
      <c r="I25" s="15"/>
      <c r="J25" s="13"/>
    </row>
    <row r="26" s="3" customFormat="1" customHeight="1" spans="1:10">
      <c r="A26" s="11">
        <v>26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27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28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 t="s">
        <v>90</v>
      </c>
      <c r="B29" s="19">
        <f>SUM(I6:I28)</f>
        <v>694.5</v>
      </c>
      <c r="C29" s="20"/>
      <c r="D29" s="20"/>
      <c r="E29" s="21"/>
      <c r="F29" s="20"/>
      <c r="G29" s="20"/>
      <c r="H29" s="20"/>
      <c r="I29" s="20"/>
      <c r="J29" s="24"/>
    </row>
    <row r="30" s="3" customFormat="1" customHeight="1" spans="1:10">
      <c r="A30" s="11" t="s">
        <v>43</v>
      </c>
      <c r="B30" s="22">
        <f>B29</f>
        <v>694.5</v>
      </c>
      <c r="C30" s="23"/>
      <c r="D30" s="23"/>
      <c r="E30" s="21"/>
      <c r="F30" s="23"/>
      <c r="G30" s="23"/>
      <c r="H30" s="23"/>
      <c r="I30" s="23"/>
      <c r="J30" s="25"/>
    </row>
    <row r="31" s="3" customFormat="1" customHeight="1" spans="1:5">
      <c r="A31" s="3" t="s">
        <v>44</v>
      </c>
      <c r="E31" s="4"/>
    </row>
  </sheetData>
  <mergeCells count="4">
    <mergeCell ref="A1:J1"/>
    <mergeCell ref="B29:J29"/>
    <mergeCell ref="B30:J30"/>
    <mergeCell ref="A31:J31"/>
  </mergeCells>
  <conditionalFormatting sqref="B6:B28">
    <cfRule type="duplicateValues" dxfId="0" priority="2"/>
  </conditionalFormatting>
  <conditionalFormatting sqref="B1:B28 B31:B1048576">
    <cfRule type="duplicateValues" dxfId="0" priority="1"/>
  </conditionalFormatting>
  <conditionalFormatting sqref="B6:C12">
    <cfRule type="duplicateValues" dxfId="0" priority="3"/>
  </conditionalFormatting>
  <pageMargins left="0.751388888888889" right="0.751388888888889" top="0.409027777777778" bottom="0.2125" header="0.5" footer="0.5"/>
  <pageSetup paperSize="9" scale="93" orientation="portrait" horizontalDpi="6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3"/>
  <sheetViews>
    <sheetView topLeftCell="A13" workbookViewId="0">
      <selection activeCell="I13" sqref="I$1:I$1048576"/>
    </sheetView>
  </sheetViews>
  <sheetFormatPr defaultColWidth="11" defaultRowHeight="18" customHeight="1"/>
  <cols>
    <col min="1" max="1" width="9.25" style="3" customWidth="1"/>
    <col min="2" max="2" width="22.75" style="3" customWidth="1"/>
    <col min="3" max="3" width="11.12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3" width="11.6666666666667" style="3" customWidth="1"/>
    <col min="16314" max="16314" width="11.6666666666667" style="3"/>
    <col min="16315" max="16320" width="11" style="3"/>
    <col min="16321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69</v>
      </c>
      <c r="B3" s="3" t="s">
        <v>70</v>
      </c>
      <c r="E3" s="4"/>
    </row>
    <row r="4" s="3" customFormat="1" customHeight="1" spans="1:10">
      <c r="A4" s="3" t="s">
        <v>71</v>
      </c>
      <c r="B4" s="8">
        <v>45168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6</v>
      </c>
      <c r="F6" s="13">
        <f t="shared" ref="F6:F27" si="0">H6/0.85</f>
        <v>3.52941176470588</v>
      </c>
      <c r="G6" s="14">
        <f t="shared" ref="G6:G27" si="1">H6/F6</f>
        <v>0.85</v>
      </c>
      <c r="H6" s="15">
        <v>3</v>
      </c>
      <c r="I6" s="15">
        <f t="shared" ref="I6:I27" si="2">E6*H6</f>
        <v>18</v>
      </c>
      <c r="J6" s="11"/>
    </row>
    <row r="7" s="3" customFormat="1" ht="16" customHeight="1" spans="1:10">
      <c r="A7" s="11">
        <v>2</v>
      </c>
      <c r="B7" s="11" t="s">
        <v>46</v>
      </c>
      <c r="C7" s="11" t="s">
        <v>47</v>
      </c>
      <c r="D7" s="12" t="s">
        <v>14</v>
      </c>
      <c r="E7" s="12">
        <v>6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21</v>
      </c>
      <c r="J7" s="11"/>
    </row>
    <row r="8" s="3" customFormat="1" ht="16" customHeight="1" spans="1:10">
      <c r="A8" s="11">
        <v>3</v>
      </c>
      <c r="B8" s="11" t="s">
        <v>15</v>
      </c>
      <c r="C8" s="11"/>
      <c r="D8" s="12" t="s">
        <v>14</v>
      </c>
      <c r="E8" s="12">
        <v>5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17.5</v>
      </c>
      <c r="J8" s="11"/>
    </row>
    <row r="9" s="3" customFormat="1" ht="16" customHeight="1" spans="1:10">
      <c r="A9" s="11">
        <v>4</v>
      </c>
      <c r="B9" s="16" t="s">
        <v>170</v>
      </c>
      <c r="C9" s="16"/>
      <c r="D9" s="12" t="s">
        <v>14</v>
      </c>
      <c r="E9" s="12">
        <v>4</v>
      </c>
      <c r="F9" s="13">
        <f t="shared" si="0"/>
        <v>7.05882352941176</v>
      </c>
      <c r="G9" s="14">
        <f t="shared" si="1"/>
        <v>0.85</v>
      </c>
      <c r="H9" s="15">
        <v>6</v>
      </c>
      <c r="I9" s="15">
        <f t="shared" si="2"/>
        <v>24</v>
      </c>
      <c r="J9" s="11"/>
    </row>
    <row r="10" s="3" customFormat="1" ht="16" customHeight="1" spans="1:10">
      <c r="A10" s="11">
        <v>5</v>
      </c>
      <c r="B10" s="11" t="s">
        <v>48</v>
      </c>
      <c r="C10" s="11"/>
      <c r="D10" s="12" t="s">
        <v>14</v>
      </c>
      <c r="E10" s="12">
        <v>10</v>
      </c>
      <c r="F10" s="13">
        <f t="shared" si="0"/>
        <v>7.64705882352941</v>
      </c>
      <c r="G10" s="14">
        <f t="shared" si="1"/>
        <v>0.85</v>
      </c>
      <c r="H10" s="15">
        <v>6.5</v>
      </c>
      <c r="I10" s="15">
        <f t="shared" si="2"/>
        <v>65</v>
      </c>
      <c r="J10" s="11"/>
    </row>
    <row r="11" s="3" customFormat="1" ht="16" customHeight="1" spans="1:10">
      <c r="A11" s="11">
        <v>6</v>
      </c>
      <c r="B11" s="11" t="s">
        <v>49</v>
      </c>
      <c r="C11" s="11"/>
      <c r="D11" s="12" t="s">
        <v>14</v>
      </c>
      <c r="E11" s="12">
        <v>3</v>
      </c>
      <c r="F11" s="13">
        <f t="shared" si="0"/>
        <v>9.17647058823529</v>
      </c>
      <c r="G11" s="14">
        <f t="shared" si="1"/>
        <v>0.85</v>
      </c>
      <c r="H11" s="15">
        <v>7.8</v>
      </c>
      <c r="I11" s="15">
        <f t="shared" si="2"/>
        <v>23.4</v>
      </c>
      <c r="J11" s="11"/>
    </row>
    <row r="12" s="3" customFormat="1" ht="16" customHeight="1" spans="1:10">
      <c r="A12" s="11">
        <v>7</v>
      </c>
      <c r="B12" s="16" t="s">
        <v>20</v>
      </c>
      <c r="C12" s="16"/>
      <c r="D12" s="17" t="s">
        <v>21</v>
      </c>
      <c r="E12" s="17">
        <v>7</v>
      </c>
      <c r="F12" s="13">
        <f t="shared" si="0"/>
        <v>3.52941176470588</v>
      </c>
      <c r="G12" s="14">
        <f t="shared" si="1"/>
        <v>0.85</v>
      </c>
      <c r="H12" s="18">
        <v>3</v>
      </c>
      <c r="I12" s="15">
        <f t="shared" si="2"/>
        <v>21</v>
      </c>
      <c r="J12" s="16"/>
    </row>
    <row r="13" s="3" customFormat="1" ht="16" customHeight="1" spans="1:10">
      <c r="A13" s="11">
        <v>8</v>
      </c>
      <c r="B13" s="16" t="s">
        <v>50</v>
      </c>
      <c r="C13" s="16"/>
      <c r="D13" s="17" t="s">
        <v>14</v>
      </c>
      <c r="E13" s="17">
        <v>5</v>
      </c>
      <c r="F13" s="13">
        <f t="shared" si="0"/>
        <v>5.29411764705882</v>
      </c>
      <c r="G13" s="14">
        <f t="shared" si="1"/>
        <v>0.85</v>
      </c>
      <c r="H13" s="18">
        <v>4.5</v>
      </c>
      <c r="I13" s="15">
        <f t="shared" si="2"/>
        <v>22.5</v>
      </c>
      <c r="J13" s="16"/>
    </row>
    <row r="14" s="3" customFormat="1" ht="16" customHeight="1" spans="1:10">
      <c r="A14" s="11">
        <v>9</v>
      </c>
      <c r="B14" s="16" t="s">
        <v>190</v>
      </c>
      <c r="C14" s="16"/>
      <c r="D14" s="17" t="s">
        <v>14</v>
      </c>
      <c r="E14" s="17">
        <v>19</v>
      </c>
      <c r="F14" s="13">
        <f t="shared" si="0"/>
        <v>5.64705882352941</v>
      </c>
      <c r="G14" s="14">
        <f t="shared" si="1"/>
        <v>0.85</v>
      </c>
      <c r="H14" s="18">
        <v>4.8</v>
      </c>
      <c r="I14" s="15">
        <f t="shared" si="2"/>
        <v>91.2</v>
      </c>
      <c r="J14" s="16"/>
    </row>
    <row r="15" s="3" customFormat="1" ht="16" customHeight="1" spans="1:10">
      <c r="A15" s="11">
        <v>10</v>
      </c>
      <c r="B15" s="16" t="s">
        <v>104</v>
      </c>
      <c r="C15" s="16"/>
      <c r="D15" s="17" t="s">
        <v>14</v>
      </c>
      <c r="E15" s="17">
        <v>6</v>
      </c>
      <c r="F15" s="13">
        <f t="shared" si="0"/>
        <v>11.5294117647059</v>
      </c>
      <c r="G15" s="14">
        <f t="shared" si="1"/>
        <v>0.85</v>
      </c>
      <c r="H15" s="18">
        <v>9.8</v>
      </c>
      <c r="I15" s="15">
        <f t="shared" si="2"/>
        <v>58.8</v>
      </c>
      <c r="J15" s="16"/>
    </row>
    <row r="16" s="3" customFormat="1" ht="16" customHeight="1" spans="1:10">
      <c r="A16" s="11">
        <v>11</v>
      </c>
      <c r="B16" s="16" t="s">
        <v>115</v>
      </c>
      <c r="C16" s="16"/>
      <c r="D16" s="17" t="s">
        <v>14</v>
      </c>
      <c r="E16" s="17">
        <v>18</v>
      </c>
      <c r="F16" s="13">
        <f t="shared" si="0"/>
        <v>2.35294117647059</v>
      </c>
      <c r="G16" s="14">
        <f t="shared" si="1"/>
        <v>0.85</v>
      </c>
      <c r="H16" s="18">
        <v>2</v>
      </c>
      <c r="I16" s="15">
        <f t="shared" si="2"/>
        <v>36</v>
      </c>
      <c r="J16" s="16"/>
    </row>
    <row r="17" s="3" customFormat="1" ht="16" customHeight="1" spans="1:10">
      <c r="A17" s="11">
        <v>12</v>
      </c>
      <c r="B17" s="11" t="s">
        <v>29</v>
      </c>
      <c r="C17" s="11"/>
      <c r="D17" s="16" t="s">
        <v>14</v>
      </c>
      <c r="E17" s="12">
        <v>8</v>
      </c>
      <c r="F17" s="13">
        <f t="shared" si="0"/>
        <v>19.7647058823529</v>
      </c>
      <c r="G17" s="14">
        <f t="shared" si="1"/>
        <v>0.85</v>
      </c>
      <c r="H17" s="18">
        <v>16.8</v>
      </c>
      <c r="I17" s="15">
        <f t="shared" si="2"/>
        <v>134.4</v>
      </c>
      <c r="J17" s="11"/>
    </row>
    <row r="18" s="3" customFormat="1" ht="16" customHeight="1" spans="1:10">
      <c r="A18" s="11">
        <v>13</v>
      </c>
      <c r="B18" s="11" t="s">
        <v>100</v>
      </c>
      <c r="C18" s="11"/>
      <c r="D18" s="11" t="s">
        <v>14</v>
      </c>
      <c r="E18" s="12">
        <v>13</v>
      </c>
      <c r="F18" s="13">
        <f t="shared" si="0"/>
        <v>19.7647058823529</v>
      </c>
      <c r="G18" s="14">
        <f t="shared" si="1"/>
        <v>0.85</v>
      </c>
      <c r="H18" s="18">
        <v>16.8</v>
      </c>
      <c r="I18" s="15">
        <f t="shared" si="2"/>
        <v>218.4</v>
      </c>
      <c r="J18" s="11"/>
    </row>
    <row r="19" s="3" customFormat="1" customHeight="1" spans="1:10">
      <c r="A19" s="11">
        <v>14</v>
      </c>
      <c r="B19" s="13" t="s">
        <v>258</v>
      </c>
      <c r="C19" s="13" t="s">
        <v>259</v>
      </c>
      <c r="D19" s="13" t="s">
        <v>81</v>
      </c>
      <c r="E19" s="12">
        <v>10</v>
      </c>
      <c r="F19" s="13">
        <f t="shared" si="0"/>
        <v>5.29411764705882</v>
      </c>
      <c r="G19" s="14">
        <f t="shared" si="1"/>
        <v>0.85</v>
      </c>
      <c r="H19" s="18">
        <v>4.5</v>
      </c>
      <c r="I19" s="15">
        <f t="shared" si="2"/>
        <v>45</v>
      </c>
      <c r="J19" s="13"/>
    </row>
    <row r="20" s="3" customFormat="1" customHeight="1" spans="1:10">
      <c r="A20" s="11">
        <v>15</v>
      </c>
      <c r="B20" s="13" t="s">
        <v>247</v>
      </c>
      <c r="C20" s="13" t="s">
        <v>34</v>
      </c>
      <c r="D20" s="13" t="s">
        <v>120</v>
      </c>
      <c r="E20" s="12">
        <v>2</v>
      </c>
      <c r="F20" s="13">
        <f t="shared" si="0"/>
        <v>102.941176470588</v>
      </c>
      <c r="G20" s="14">
        <f t="shared" si="1"/>
        <v>0.85</v>
      </c>
      <c r="H20" s="18">
        <v>87.5</v>
      </c>
      <c r="I20" s="15">
        <f t="shared" si="2"/>
        <v>175</v>
      </c>
      <c r="J20" s="13"/>
    </row>
    <row r="21" s="3" customFormat="1" customHeight="1" spans="1:10">
      <c r="A21" s="11">
        <v>16</v>
      </c>
      <c r="B21" s="13" t="s">
        <v>260</v>
      </c>
      <c r="C21" s="13" t="s">
        <v>261</v>
      </c>
      <c r="D21" s="13" t="s">
        <v>37</v>
      </c>
      <c r="E21" s="12">
        <v>8</v>
      </c>
      <c r="F21" s="13">
        <f t="shared" si="0"/>
        <v>72.9411764705882</v>
      </c>
      <c r="G21" s="14">
        <f t="shared" si="1"/>
        <v>0.85</v>
      </c>
      <c r="H21" s="18">
        <v>62</v>
      </c>
      <c r="I21" s="15">
        <f t="shared" si="2"/>
        <v>496</v>
      </c>
      <c r="J21" s="13"/>
    </row>
    <row r="22" s="3" customFormat="1" customHeight="1" spans="1:10">
      <c r="A22" s="11">
        <v>17</v>
      </c>
      <c r="B22" s="13" t="s">
        <v>164</v>
      </c>
      <c r="C22" s="13" t="s">
        <v>165</v>
      </c>
      <c r="D22" s="13" t="s">
        <v>40</v>
      </c>
      <c r="E22" s="12">
        <v>65</v>
      </c>
      <c r="F22" s="13">
        <f t="shared" si="0"/>
        <v>4.11764705882353</v>
      </c>
      <c r="G22" s="14">
        <f t="shared" si="1"/>
        <v>0.85</v>
      </c>
      <c r="H22" s="18">
        <v>3.5</v>
      </c>
      <c r="I22" s="15">
        <f t="shared" si="2"/>
        <v>227.5</v>
      </c>
      <c r="J22" s="13"/>
    </row>
    <row r="23" s="3" customFormat="1" customHeight="1" spans="1:10">
      <c r="A23" s="11">
        <v>18</v>
      </c>
      <c r="B23" s="13"/>
      <c r="C23" s="13"/>
      <c r="D23" s="13"/>
      <c r="E23" s="12"/>
      <c r="F23" s="13"/>
      <c r="G23" s="14"/>
      <c r="H23" s="18"/>
      <c r="I23" s="15"/>
      <c r="J23" s="13"/>
    </row>
    <row r="24" s="3" customFormat="1" customHeight="1" spans="1:10">
      <c r="A24" s="11">
        <v>19</v>
      </c>
      <c r="B24" s="13"/>
      <c r="C24" s="13"/>
      <c r="D24" s="13"/>
      <c r="E24" s="12"/>
      <c r="F24" s="13"/>
      <c r="G24" s="14"/>
      <c r="H24" s="18"/>
      <c r="I24" s="15"/>
      <c r="J24" s="13"/>
    </row>
    <row r="25" s="3" customFormat="1" customHeight="1" spans="1:10">
      <c r="A25" s="11">
        <v>20</v>
      </c>
      <c r="B25" s="13"/>
      <c r="C25" s="13"/>
      <c r="D25" s="13"/>
      <c r="E25" s="12"/>
      <c r="F25" s="13"/>
      <c r="G25" s="14"/>
      <c r="H25" s="18"/>
      <c r="I25" s="15"/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 t="s">
        <v>90</v>
      </c>
      <c r="B31" s="19">
        <f>SUM(I6:I30)</f>
        <v>1694.7</v>
      </c>
      <c r="C31" s="20"/>
      <c r="D31" s="20"/>
      <c r="E31" s="21"/>
      <c r="F31" s="20"/>
      <c r="G31" s="20"/>
      <c r="H31" s="20"/>
      <c r="I31" s="20"/>
      <c r="J31" s="24"/>
    </row>
    <row r="32" s="3" customFormat="1" customHeight="1" spans="1:10">
      <c r="A32" s="11" t="s">
        <v>43</v>
      </c>
      <c r="B32" s="22">
        <f>B31</f>
        <v>1694.7</v>
      </c>
      <c r="C32" s="23"/>
      <c r="D32" s="23"/>
      <c r="E32" s="21"/>
      <c r="F32" s="23"/>
      <c r="G32" s="23"/>
      <c r="H32" s="23"/>
      <c r="I32" s="23"/>
      <c r="J32" s="25"/>
    </row>
    <row r="33" s="3" customFormat="1" customHeight="1" spans="1:5">
      <c r="A33" s="3" t="s">
        <v>44</v>
      </c>
      <c r="E33" s="4"/>
    </row>
  </sheetData>
  <mergeCells count="4">
    <mergeCell ref="A1:J1"/>
    <mergeCell ref="B31:J31"/>
    <mergeCell ref="B32:J32"/>
    <mergeCell ref="A33:J33"/>
  </mergeCells>
  <conditionalFormatting sqref="B6:B30">
    <cfRule type="duplicateValues" dxfId="0" priority="2"/>
  </conditionalFormatting>
  <conditionalFormatting sqref="B1:B30 B33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409027777777778" bottom="0.2125" header="0.5" footer="0.5"/>
  <pageSetup paperSize="9" scale="94" orientation="portrait" horizontalDpi="600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17" workbookViewId="0">
      <selection activeCell="I17" sqref="I$1:I$1048576"/>
    </sheetView>
  </sheetViews>
  <sheetFormatPr defaultColWidth="11" defaultRowHeight="18" customHeight="1"/>
  <cols>
    <col min="1" max="1" width="9.25" style="3" customWidth="1"/>
    <col min="2" max="2" width="22.75" style="3" customWidth="1"/>
    <col min="3" max="3" width="11.12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3" width="11.6666666666667" style="3" customWidth="1"/>
    <col min="16314" max="16314" width="11.6666666666667" style="3"/>
    <col min="16315" max="16320" width="11" style="3"/>
    <col min="16321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69</v>
      </c>
      <c r="B3" s="3" t="s">
        <v>70</v>
      </c>
      <c r="E3" s="4"/>
    </row>
    <row r="4" s="3" customFormat="1" customHeight="1" spans="1:10">
      <c r="A4" s="3" t="s">
        <v>71</v>
      </c>
      <c r="B4" s="8">
        <v>45169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="3" customFormat="1" ht="16" customHeight="1" spans="1:10">
      <c r="A6" s="11">
        <v>1</v>
      </c>
      <c r="B6" s="11" t="s">
        <v>13</v>
      </c>
      <c r="C6" s="11"/>
      <c r="D6" s="12" t="s">
        <v>14</v>
      </c>
      <c r="E6" s="12">
        <v>5</v>
      </c>
      <c r="F6" s="13">
        <f t="shared" ref="F6:F19" si="0">H6/0.85</f>
        <v>3.52941176470588</v>
      </c>
      <c r="G6" s="14">
        <f t="shared" ref="G6:G19" si="1">H6/F6</f>
        <v>0.85</v>
      </c>
      <c r="H6" s="15">
        <v>3</v>
      </c>
      <c r="I6" s="15">
        <f t="shared" ref="I6:I19" si="2">E6*H6</f>
        <v>15</v>
      </c>
      <c r="J6" s="11"/>
    </row>
    <row r="7" s="3" customFormat="1" ht="16" customHeight="1" spans="1:10">
      <c r="A7" s="11">
        <v>2</v>
      </c>
      <c r="B7" s="11" t="s">
        <v>15</v>
      </c>
      <c r="C7" s="11"/>
      <c r="D7" s="12" t="s">
        <v>14</v>
      </c>
      <c r="E7" s="12">
        <v>5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17.5</v>
      </c>
      <c r="J7" s="11"/>
    </row>
    <row r="8" s="3" customFormat="1" ht="16" customHeight="1" spans="1:10">
      <c r="A8" s="11">
        <v>3</v>
      </c>
      <c r="B8" s="11" t="s">
        <v>113</v>
      </c>
      <c r="C8" s="11"/>
      <c r="D8" s="12" t="s">
        <v>14</v>
      </c>
      <c r="E8" s="12">
        <v>5</v>
      </c>
      <c r="F8" s="13">
        <f t="shared" si="0"/>
        <v>15.0588235294118</v>
      </c>
      <c r="G8" s="14">
        <f t="shared" si="1"/>
        <v>0.85</v>
      </c>
      <c r="H8" s="15">
        <v>12.8</v>
      </c>
      <c r="I8" s="15">
        <f t="shared" si="2"/>
        <v>64</v>
      </c>
      <c r="J8" s="11"/>
    </row>
    <row r="9" s="3" customFormat="1" ht="16" customHeight="1" spans="1:10">
      <c r="A9" s="11">
        <v>4</v>
      </c>
      <c r="B9" s="16" t="s">
        <v>153</v>
      </c>
      <c r="C9" s="16"/>
      <c r="D9" s="12" t="s">
        <v>14</v>
      </c>
      <c r="E9" s="12">
        <v>6</v>
      </c>
      <c r="F9" s="13">
        <f t="shared" si="0"/>
        <v>9.17647058823529</v>
      </c>
      <c r="G9" s="14">
        <f t="shared" si="1"/>
        <v>0.85</v>
      </c>
      <c r="H9" s="15">
        <v>7.8</v>
      </c>
      <c r="I9" s="15">
        <f t="shared" si="2"/>
        <v>46.8</v>
      </c>
      <c r="J9" s="11"/>
    </row>
    <row r="10" s="3" customFormat="1" ht="16" customHeight="1" spans="1:10">
      <c r="A10" s="11">
        <v>5</v>
      </c>
      <c r="B10" s="11" t="s">
        <v>49</v>
      </c>
      <c r="C10" s="11"/>
      <c r="D10" s="12" t="s">
        <v>14</v>
      </c>
      <c r="E10" s="12">
        <v>3</v>
      </c>
      <c r="F10" s="13">
        <f t="shared" si="0"/>
        <v>9.17647058823529</v>
      </c>
      <c r="G10" s="14">
        <f t="shared" si="1"/>
        <v>0.85</v>
      </c>
      <c r="H10" s="15">
        <v>7.8</v>
      </c>
      <c r="I10" s="15">
        <f t="shared" si="2"/>
        <v>23.4</v>
      </c>
      <c r="J10" s="11"/>
    </row>
    <row r="11" s="3" customFormat="1" ht="16" customHeight="1" spans="1:10">
      <c r="A11" s="11">
        <v>6</v>
      </c>
      <c r="B11" s="11" t="s">
        <v>50</v>
      </c>
      <c r="C11" s="11"/>
      <c r="D11" s="12" t="s">
        <v>14</v>
      </c>
      <c r="E11" s="12">
        <v>3</v>
      </c>
      <c r="F11" s="13">
        <f t="shared" si="0"/>
        <v>5.29411764705882</v>
      </c>
      <c r="G11" s="14">
        <f t="shared" si="1"/>
        <v>0.85</v>
      </c>
      <c r="H11" s="15">
        <v>4.5</v>
      </c>
      <c r="I11" s="15">
        <f t="shared" si="2"/>
        <v>13.5</v>
      </c>
      <c r="J11" s="11"/>
    </row>
    <row r="12" s="3" customFormat="1" ht="16" customHeight="1" spans="1:10">
      <c r="A12" s="11">
        <v>7</v>
      </c>
      <c r="B12" s="16" t="s">
        <v>51</v>
      </c>
      <c r="C12" s="16"/>
      <c r="D12" s="17" t="s">
        <v>14</v>
      </c>
      <c r="E12" s="17">
        <v>3</v>
      </c>
      <c r="F12" s="13">
        <f t="shared" si="0"/>
        <v>4.47058823529412</v>
      </c>
      <c r="G12" s="14">
        <f t="shared" si="1"/>
        <v>0.85</v>
      </c>
      <c r="H12" s="18">
        <v>3.8</v>
      </c>
      <c r="I12" s="15">
        <f t="shared" si="2"/>
        <v>11.4</v>
      </c>
      <c r="J12" s="16"/>
    </row>
    <row r="13" s="3" customFormat="1" ht="16" customHeight="1" spans="1:10">
      <c r="A13" s="11">
        <v>8</v>
      </c>
      <c r="B13" s="16" t="s">
        <v>95</v>
      </c>
      <c r="C13" s="16"/>
      <c r="D13" s="17" t="s">
        <v>14</v>
      </c>
      <c r="E13" s="17">
        <v>19</v>
      </c>
      <c r="F13" s="13">
        <f t="shared" si="0"/>
        <v>4.47058823529412</v>
      </c>
      <c r="G13" s="14">
        <f t="shared" si="1"/>
        <v>0.85</v>
      </c>
      <c r="H13" s="18">
        <v>3.8</v>
      </c>
      <c r="I13" s="15">
        <f t="shared" si="2"/>
        <v>72.2</v>
      </c>
      <c r="J13" s="16"/>
    </row>
    <row r="14" s="3" customFormat="1" ht="16" customHeight="1" spans="1:10">
      <c r="A14" s="11">
        <v>9</v>
      </c>
      <c r="B14" s="16" t="s">
        <v>262</v>
      </c>
      <c r="C14" s="16" t="s">
        <v>263</v>
      </c>
      <c r="D14" s="17" t="s">
        <v>14</v>
      </c>
      <c r="E14" s="17">
        <v>19</v>
      </c>
      <c r="F14" s="13">
        <f t="shared" si="0"/>
        <v>13.8823529411765</v>
      </c>
      <c r="G14" s="14">
        <f t="shared" si="1"/>
        <v>0.85</v>
      </c>
      <c r="H14" s="18">
        <v>11.8</v>
      </c>
      <c r="I14" s="15">
        <f t="shared" si="2"/>
        <v>224.2</v>
      </c>
      <c r="J14" s="16"/>
    </row>
    <row r="15" s="3" customFormat="1" ht="16" customHeight="1" spans="1:10">
      <c r="A15" s="11">
        <v>10</v>
      </c>
      <c r="B15" s="16" t="s">
        <v>159</v>
      </c>
      <c r="C15" s="16"/>
      <c r="D15" s="17" t="s">
        <v>14</v>
      </c>
      <c r="E15" s="17">
        <v>18</v>
      </c>
      <c r="F15" s="13">
        <f t="shared" si="0"/>
        <v>4.11764705882353</v>
      </c>
      <c r="G15" s="14">
        <f t="shared" si="1"/>
        <v>0.85</v>
      </c>
      <c r="H15" s="18">
        <v>3.5</v>
      </c>
      <c r="I15" s="15">
        <f t="shared" si="2"/>
        <v>63</v>
      </c>
      <c r="J15" s="16"/>
    </row>
    <row r="16" s="3" customFormat="1" ht="16" customHeight="1" spans="1:10">
      <c r="A16" s="11">
        <v>11</v>
      </c>
      <c r="B16" s="16" t="s">
        <v>210</v>
      </c>
      <c r="C16" s="16" t="s">
        <v>211</v>
      </c>
      <c r="D16" s="17" t="s">
        <v>81</v>
      </c>
      <c r="E16" s="17">
        <v>2</v>
      </c>
      <c r="F16" s="13">
        <f t="shared" si="0"/>
        <v>19.4117647058824</v>
      </c>
      <c r="G16" s="14">
        <f t="shared" si="1"/>
        <v>0.85</v>
      </c>
      <c r="H16" s="18">
        <v>16.5</v>
      </c>
      <c r="I16" s="15">
        <f t="shared" si="2"/>
        <v>33</v>
      </c>
      <c r="J16" s="16"/>
    </row>
    <row r="17" s="3" customFormat="1" ht="16" customHeight="1" spans="1:10">
      <c r="A17" s="11">
        <v>12</v>
      </c>
      <c r="B17" s="11" t="s">
        <v>247</v>
      </c>
      <c r="C17" s="11" t="s">
        <v>34</v>
      </c>
      <c r="D17" s="16" t="s">
        <v>28</v>
      </c>
      <c r="E17" s="12">
        <v>2</v>
      </c>
      <c r="F17" s="13">
        <f t="shared" si="0"/>
        <v>411.764705882353</v>
      </c>
      <c r="G17" s="14">
        <f t="shared" si="1"/>
        <v>0.85</v>
      </c>
      <c r="H17" s="18">
        <v>350</v>
      </c>
      <c r="I17" s="15">
        <f t="shared" si="2"/>
        <v>700</v>
      </c>
      <c r="J17" s="11"/>
    </row>
    <row r="18" s="3" customFormat="1" ht="16" customHeight="1" spans="1:10">
      <c r="A18" s="11">
        <v>13</v>
      </c>
      <c r="B18" s="11" t="s">
        <v>264</v>
      </c>
      <c r="C18" s="11" t="s">
        <v>265</v>
      </c>
      <c r="D18" s="11" t="s">
        <v>37</v>
      </c>
      <c r="E18" s="12">
        <v>1</v>
      </c>
      <c r="F18" s="13">
        <f t="shared" si="0"/>
        <v>103.529411764706</v>
      </c>
      <c r="G18" s="14">
        <f t="shared" si="1"/>
        <v>0.85</v>
      </c>
      <c r="H18" s="18">
        <v>88</v>
      </c>
      <c r="I18" s="15">
        <f t="shared" si="2"/>
        <v>88</v>
      </c>
      <c r="J18" s="11"/>
    </row>
    <row r="19" s="3" customFormat="1" customHeight="1" spans="1:10">
      <c r="A19" s="11">
        <v>14</v>
      </c>
      <c r="B19" s="13" t="s">
        <v>266</v>
      </c>
      <c r="C19" s="13" t="s">
        <v>165</v>
      </c>
      <c r="D19" s="13" t="s">
        <v>40</v>
      </c>
      <c r="E19" s="12">
        <v>57</v>
      </c>
      <c r="F19" s="13">
        <f t="shared" si="0"/>
        <v>4.11764705882353</v>
      </c>
      <c r="G19" s="14">
        <f t="shared" si="1"/>
        <v>0.85</v>
      </c>
      <c r="H19" s="18">
        <v>3.5</v>
      </c>
      <c r="I19" s="15">
        <f t="shared" si="2"/>
        <v>199.5</v>
      </c>
      <c r="J19" s="13"/>
    </row>
    <row r="20" s="3" customFormat="1" customHeight="1" spans="1:10">
      <c r="A20" s="11">
        <v>15</v>
      </c>
      <c r="B20" s="13"/>
      <c r="C20" s="13"/>
      <c r="D20" s="13"/>
      <c r="E20" s="12"/>
      <c r="F20" s="13"/>
      <c r="G20" s="14"/>
      <c r="H20" s="18"/>
      <c r="I20" s="15"/>
      <c r="J20" s="13"/>
    </row>
    <row r="21" s="3" customFormat="1" customHeight="1" spans="1:10">
      <c r="A21" s="11">
        <v>16</v>
      </c>
      <c r="B21" s="13"/>
      <c r="C21" s="13"/>
      <c r="D21" s="13"/>
      <c r="E21" s="12"/>
      <c r="F21" s="13"/>
      <c r="G21" s="14"/>
      <c r="H21" s="18"/>
      <c r="I21" s="15"/>
      <c r="J21" s="13"/>
    </row>
    <row r="22" s="3" customFormat="1" customHeight="1" spans="1:10">
      <c r="A22" s="11">
        <v>17</v>
      </c>
      <c r="B22" s="13"/>
      <c r="C22" s="13"/>
      <c r="D22" s="13"/>
      <c r="E22" s="12"/>
      <c r="F22" s="13"/>
      <c r="G22" s="14"/>
      <c r="H22" s="18"/>
      <c r="I22" s="15"/>
      <c r="J22" s="13"/>
    </row>
    <row r="23" s="3" customFormat="1" customHeight="1" spans="1:10">
      <c r="A23" s="11">
        <v>18</v>
      </c>
      <c r="B23" s="13"/>
      <c r="C23" s="13"/>
      <c r="D23" s="13"/>
      <c r="E23" s="12"/>
      <c r="F23" s="13"/>
      <c r="G23" s="14"/>
      <c r="H23" s="18"/>
      <c r="I23" s="15"/>
      <c r="J23" s="13"/>
    </row>
    <row r="24" s="3" customFormat="1" customHeight="1" spans="1:10">
      <c r="A24" s="11">
        <v>19</v>
      </c>
      <c r="B24" s="13"/>
      <c r="C24" s="13"/>
      <c r="D24" s="13"/>
      <c r="E24" s="12"/>
      <c r="F24" s="13"/>
      <c r="G24" s="14"/>
      <c r="H24" s="18"/>
      <c r="I24" s="15"/>
      <c r="J24" s="13"/>
    </row>
    <row r="25" s="3" customFormat="1" customHeight="1" spans="1:10">
      <c r="A25" s="11">
        <v>20</v>
      </c>
      <c r="B25" s="13"/>
      <c r="C25" s="13"/>
      <c r="D25" s="13"/>
      <c r="E25" s="12"/>
      <c r="F25" s="13"/>
      <c r="G25" s="14"/>
      <c r="H25" s="18"/>
      <c r="I25" s="15"/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 t="s">
        <v>90</v>
      </c>
      <c r="B33" s="19">
        <f>SUM(I6:I32)</f>
        <v>1571.5</v>
      </c>
      <c r="C33" s="20"/>
      <c r="D33" s="20"/>
      <c r="E33" s="21"/>
      <c r="F33" s="20"/>
      <c r="G33" s="20"/>
      <c r="H33" s="20"/>
      <c r="I33" s="20"/>
      <c r="J33" s="24"/>
    </row>
    <row r="34" s="3" customFormat="1" customHeight="1" spans="1:10">
      <c r="A34" s="11" t="s">
        <v>43</v>
      </c>
      <c r="B34" s="22">
        <f>B33</f>
        <v>1571.5</v>
      </c>
      <c r="C34" s="23"/>
      <c r="D34" s="23"/>
      <c r="E34" s="21"/>
      <c r="F34" s="23"/>
      <c r="G34" s="23"/>
      <c r="H34" s="23"/>
      <c r="I34" s="23"/>
      <c r="J34" s="25"/>
    </row>
    <row r="35" s="3" customFormat="1" customHeight="1" spans="1:5">
      <c r="A35" s="3" t="s">
        <v>44</v>
      </c>
      <c r="E35" s="4"/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2"/>
  </conditionalFormatting>
  <conditionalFormatting sqref="B1:B32 B35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409027777777778" bottom="0.2125" header="0.5" footer="0.5"/>
  <pageSetup paperSize="9" scale="94" orientation="portrait" horizontalDpi="600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abSelected="1" topLeftCell="A13" workbookViewId="0">
      <selection activeCell="B34" sqref="B34"/>
    </sheetView>
  </sheetViews>
  <sheetFormatPr defaultColWidth="9" defaultRowHeight="13.5" outlineLevelCol="3"/>
  <cols>
    <col min="1" max="1" width="10.375"/>
    <col min="2" max="2" width="9.375"/>
    <col min="4" max="4" width="9.375"/>
  </cols>
  <sheetData>
    <row r="1" spans="1:1">
      <c r="A1" t="s">
        <v>267</v>
      </c>
    </row>
    <row r="2" spans="1:3">
      <c r="A2" s="1" t="s">
        <v>268</v>
      </c>
      <c r="B2" s="1" t="s">
        <v>269</v>
      </c>
      <c r="C2" s="1" t="s">
        <v>270</v>
      </c>
    </row>
    <row r="3" spans="1:4">
      <c r="A3" s="2">
        <v>45139</v>
      </c>
      <c r="B3">
        <f>'1'!B31</f>
        <v>2201.51</v>
      </c>
      <c r="D3">
        <f>SUM(B3:C3)</f>
        <v>2201.51</v>
      </c>
    </row>
    <row r="4" spans="1:4">
      <c r="A4" s="2">
        <v>45140</v>
      </c>
      <c r="B4">
        <f>'2'!B34</f>
        <v>1130.74</v>
      </c>
      <c r="D4">
        <f t="shared" ref="D4:D33" si="0">SUM(B4:C4)</f>
        <v>1130.74</v>
      </c>
    </row>
    <row r="5" spans="1:4">
      <c r="A5" s="2">
        <v>45141</v>
      </c>
      <c r="B5">
        <f>'3'!B34</f>
        <v>2095.8</v>
      </c>
      <c r="D5">
        <f t="shared" si="0"/>
        <v>2095.8</v>
      </c>
    </row>
    <row r="6" spans="1:4">
      <c r="A6" s="2">
        <v>45142</v>
      </c>
      <c r="B6">
        <f>'4'!B33</f>
        <v>1473.95</v>
      </c>
      <c r="D6">
        <f t="shared" si="0"/>
        <v>1473.95</v>
      </c>
    </row>
    <row r="7" spans="1:4">
      <c r="A7" s="2">
        <v>45143</v>
      </c>
      <c r="B7">
        <v>0</v>
      </c>
      <c r="D7">
        <f t="shared" si="0"/>
        <v>0</v>
      </c>
    </row>
    <row r="8" spans="1:4">
      <c r="A8" s="2">
        <v>45144</v>
      </c>
      <c r="B8">
        <f>'6'!B35</f>
        <v>724.48</v>
      </c>
      <c r="D8">
        <f t="shared" si="0"/>
        <v>724.48</v>
      </c>
    </row>
    <row r="9" spans="1:4">
      <c r="A9" s="2">
        <v>45145</v>
      </c>
      <c r="B9">
        <f>'7'!B34</f>
        <v>2608.95</v>
      </c>
      <c r="D9">
        <f t="shared" si="0"/>
        <v>2608.95</v>
      </c>
    </row>
    <row r="10" spans="1:4">
      <c r="A10" s="2">
        <v>45146</v>
      </c>
      <c r="B10">
        <f>'8'!B34</f>
        <v>809.8</v>
      </c>
      <c r="D10">
        <f t="shared" si="0"/>
        <v>809.8</v>
      </c>
    </row>
    <row r="11" spans="1:4">
      <c r="A11" s="2">
        <v>45147</v>
      </c>
      <c r="B11">
        <f>'9'!B32</f>
        <v>2383</v>
      </c>
      <c r="D11">
        <f t="shared" si="0"/>
        <v>2383</v>
      </c>
    </row>
    <row r="12" spans="1:4">
      <c r="A12" s="2">
        <v>45148</v>
      </c>
      <c r="B12">
        <f>'10'!B32</f>
        <v>1033.392</v>
      </c>
      <c r="D12">
        <f t="shared" si="0"/>
        <v>1033.392</v>
      </c>
    </row>
    <row r="13" spans="1:4">
      <c r="A13" s="2">
        <v>45149</v>
      </c>
      <c r="B13">
        <f>'11'!B34</f>
        <v>965.5</v>
      </c>
      <c r="D13">
        <f t="shared" si="0"/>
        <v>965.5</v>
      </c>
    </row>
    <row r="14" spans="1:4">
      <c r="A14" s="2">
        <v>45150</v>
      </c>
      <c r="B14">
        <v>0</v>
      </c>
      <c r="D14">
        <f t="shared" si="0"/>
        <v>0</v>
      </c>
    </row>
    <row r="15" spans="1:4">
      <c r="A15" s="2">
        <v>45151</v>
      </c>
      <c r="B15">
        <v>0</v>
      </c>
      <c r="D15">
        <f t="shared" si="0"/>
        <v>0</v>
      </c>
    </row>
    <row r="16" spans="1:4">
      <c r="A16" s="2">
        <v>45152</v>
      </c>
      <c r="B16">
        <f>'14'!B33</f>
        <v>1662.9</v>
      </c>
      <c r="D16">
        <f t="shared" si="0"/>
        <v>1662.9</v>
      </c>
    </row>
    <row r="17" spans="1:4">
      <c r="A17" s="2">
        <v>45153</v>
      </c>
      <c r="B17">
        <f>'15'!B34</f>
        <v>1789.58</v>
      </c>
      <c r="D17">
        <f t="shared" si="0"/>
        <v>1789.58</v>
      </c>
    </row>
    <row r="18" spans="1:4">
      <c r="A18" s="2">
        <v>45154</v>
      </c>
      <c r="B18">
        <f>'16'!B34</f>
        <v>2846.7</v>
      </c>
      <c r="D18">
        <f t="shared" si="0"/>
        <v>2846.7</v>
      </c>
    </row>
    <row r="19" spans="1:4">
      <c r="A19" s="2">
        <v>45155</v>
      </c>
      <c r="B19">
        <f>'17'!B33</f>
        <v>907.65</v>
      </c>
      <c r="D19">
        <f t="shared" si="0"/>
        <v>907.65</v>
      </c>
    </row>
    <row r="20" spans="1:4">
      <c r="A20" s="2">
        <v>45156</v>
      </c>
      <c r="B20">
        <f>'18'!B34</f>
        <v>901.3</v>
      </c>
      <c r="D20">
        <f t="shared" si="0"/>
        <v>901.3</v>
      </c>
    </row>
    <row r="21" spans="1:4">
      <c r="A21" s="2">
        <v>45157</v>
      </c>
      <c r="B21">
        <v>0</v>
      </c>
      <c r="D21">
        <f t="shared" si="0"/>
        <v>0</v>
      </c>
    </row>
    <row r="22" spans="1:4">
      <c r="A22" s="2">
        <v>45158</v>
      </c>
      <c r="B22">
        <f>'20.'!B32</f>
        <v>209.1</v>
      </c>
      <c r="D22">
        <f t="shared" si="0"/>
        <v>209.1</v>
      </c>
    </row>
    <row r="23" spans="1:4">
      <c r="A23" s="2">
        <v>45159</v>
      </c>
      <c r="B23">
        <f>'21.'!B33</f>
        <v>1779.6</v>
      </c>
      <c r="D23">
        <f t="shared" si="0"/>
        <v>1779.6</v>
      </c>
    </row>
    <row r="24" spans="1:4">
      <c r="A24" s="2">
        <v>45160</v>
      </c>
      <c r="B24">
        <f>'22'!B30</f>
        <v>971.68</v>
      </c>
      <c r="D24">
        <f t="shared" si="0"/>
        <v>971.68</v>
      </c>
    </row>
    <row r="25" spans="1:4">
      <c r="A25" s="2">
        <v>45161</v>
      </c>
      <c r="B25">
        <f>'23'!B31</f>
        <v>1634.16</v>
      </c>
      <c r="D25">
        <f t="shared" si="0"/>
        <v>1634.16</v>
      </c>
    </row>
    <row r="26" spans="1:4">
      <c r="A26" s="2">
        <v>45162</v>
      </c>
      <c r="B26">
        <f>'24'!B33</f>
        <v>1279.21</v>
      </c>
      <c r="D26">
        <f t="shared" si="0"/>
        <v>1279.21</v>
      </c>
    </row>
    <row r="27" spans="1:4">
      <c r="A27" s="2">
        <v>45163</v>
      </c>
      <c r="B27">
        <f>'25'!B35</f>
        <v>1172.5</v>
      </c>
      <c r="D27">
        <f t="shared" si="0"/>
        <v>1172.5</v>
      </c>
    </row>
    <row r="28" spans="1:4">
      <c r="A28" s="2">
        <v>45164</v>
      </c>
      <c r="B28">
        <f>'26'!B34</f>
        <v>58.14</v>
      </c>
      <c r="D28">
        <f t="shared" si="0"/>
        <v>58.14</v>
      </c>
    </row>
    <row r="29" spans="1:4">
      <c r="A29" s="2">
        <v>45165</v>
      </c>
      <c r="B29">
        <f>'27'!B34</f>
        <v>14</v>
      </c>
      <c r="D29">
        <f t="shared" si="0"/>
        <v>14</v>
      </c>
    </row>
    <row r="30" spans="1:4">
      <c r="A30" s="2">
        <v>45166</v>
      </c>
      <c r="B30">
        <f>'28'!B38</f>
        <v>3365.9</v>
      </c>
      <c r="D30">
        <f t="shared" si="0"/>
        <v>3365.9</v>
      </c>
    </row>
    <row r="31" spans="1:4">
      <c r="A31" s="2">
        <v>45167</v>
      </c>
      <c r="B31">
        <f>'29'!B33</f>
        <v>1925.3</v>
      </c>
      <c r="C31">
        <f>'29 (2)'!B29</f>
        <v>694.5</v>
      </c>
      <c r="D31">
        <f t="shared" si="0"/>
        <v>2619.8</v>
      </c>
    </row>
    <row r="32" spans="1:4">
      <c r="A32" s="2">
        <v>45168</v>
      </c>
      <c r="B32">
        <f>'30'!B31</f>
        <v>1694.7</v>
      </c>
      <c r="D32">
        <f t="shared" si="0"/>
        <v>1694.7</v>
      </c>
    </row>
    <row r="33" spans="1:4">
      <c r="A33" s="2">
        <v>45169</v>
      </c>
      <c r="B33">
        <f>'31'!B33</f>
        <v>1571.5</v>
      </c>
      <c r="D33">
        <f t="shared" si="0"/>
        <v>1571.5</v>
      </c>
    </row>
    <row r="34" spans="1:4">
      <c r="A34" t="s">
        <v>271</v>
      </c>
      <c r="B34">
        <f>SUM(B3:B33)</f>
        <v>39211.042</v>
      </c>
      <c r="C34">
        <f>SUM(C3:C33)</f>
        <v>694.5</v>
      </c>
      <c r="D34">
        <f>SUM(D3:D33)</f>
        <v>39905.542</v>
      </c>
    </row>
  </sheetData>
  <pageMargins left="0.75" right="0.75" top="1" bottom="1" header="0.5" footer="0.5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1</vt:lpstr>
      <vt:lpstr>2</vt:lpstr>
      <vt:lpstr>3</vt:lpstr>
      <vt:lpstr>4</vt:lpstr>
      <vt:lpstr>6</vt:lpstr>
      <vt:lpstr>7</vt:lpstr>
      <vt:lpstr>8</vt:lpstr>
      <vt:lpstr>9</vt:lpstr>
      <vt:lpstr>10</vt:lpstr>
      <vt:lpstr>11</vt:lpstr>
      <vt:lpstr>14</vt:lpstr>
      <vt:lpstr>15</vt:lpstr>
      <vt:lpstr>16</vt:lpstr>
      <vt:lpstr>17</vt:lpstr>
      <vt:lpstr>18</vt:lpstr>
      <vt:lpstr>20.</vt:lpstr>
      <vt:lpstr>21.</vt:lpstr>
      <vt:lpstr>22</vt:lpstr>
      <vt:lpstr>23</vt:lpstr>
      <vt:lpstr>24</vt:lpstr>
      <vt:lpstr>25</vt:lpstr>
      <vt:lpstr>26</vt:lpstr>
      <vt:lpstr>27</vt:lpstr>
      <vt:lpstr>28</vt:lpstr>
      <vt:lpstr>29</vt:lpstr>
      <vt:lpstr>29 (2)</vt:lpstr>
      <vt:lpstr>30</vt:lpstr>
      <vt:lpstr>31</vt:lpstr>
      <vt:lpstr>8月合计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罗小丽</cp:lastModifiedBy>
  <dcterms:created xsi:type="dcterms:W3CDTF">2023-07-03T11:11:00Z</dcterms:created>
  <dcterms:modified xsi:type="dcterms:W3CDTF">2025-02-09T08:33:25Z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0E1C7AE3AB9D456B9C34B9011364F17E_11</vt:lpwstr>
  </property>
  <property fmtid="{D5CDD505-2E9C-101B-9397-08002B2CF9AE}" pid="3" name="KSOProductBuildVer">
    <vt:lpwstr>2052-12.1.0.19770</vt:lpwstr>
  </property>
</Properties>
</file>