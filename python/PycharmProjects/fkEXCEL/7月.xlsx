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826" activeTab="24"/>
  </bookViews>
  <sheets>
    <sheet name="6.29" sheetId="31" r:id="rId1"/>
    <sheet name="1" sheetId="1" r:id="rId2"/>
    <sheet name="3" sheetId="9" r:id="rId3"/>
    <sheet name="4" sheetId="6" r:id="rId4"/>
    <sheet name="5" sheetId="10" r:id="rId5"/>
    <sheet name="6" sheetId="11" r:id="rId6"/>
    <sheet name="7" sheetId="12" r:id="rId7"/>
    <sheet name="8" sheetId="13" r:id="rId8"/>
    <sheet name="10" sheetId="14" r:id="rId9"/>
    <sheet name="11" sheetId="15" r:id="rId10"/>
    <sheet name="12" sheetId="16" r:id="rId11"/>
    <sheet name="13" sheetId="17" r:id="rId12"/>
    <sheet name="14" sheetId="18" r:id="rId13"/>
    <sheet name="17" sheetId="20" r:id="rId14"/>
    <sheet name="18" sheetId="21" r:id="rId15"/>
    <sheet name="19" sheetId="22" r:id="rId16"/>
    <sheet name="20" sheetId="23" r:id="rId17"/>
    <sheet name="21" sheetId="24" r:id="rId18"/>
    <sheet name="24" sheetId="25" r:id="rId19"/>
    <sheet name="25" sheetId="26" r:id="rId20"/>
    <sheet name="26" sheetId="27" r:id="rId21"/>
    <sheet name="27" sheetId="28" r:id="rId22"/>
    <sheet name="28" sheetId="29" r:id="rId23"/>
    <sheet name="31" sheetId="30" r:id="rId24"/>
    <sheet name="7月合计" sheetId="7" r:id="rId25"/>
  </sheets>
  <definedNames>
    <definedName name="_xlnm.Print_Area" localSheetId="1">'1'!$A$1:$J$73</definedName>
    <definedName name="_xlnm.Print_Area" localSheetId="3">'4'!$A$1:$J$37</definedName>
    <definedName name="_xlnm.Print_Area" localSheetId="4">'5'!$A$1:$J$34</definedName>
    <definedName name="_xlnm.Print_Area" localSheetId="5">'6'!$A$1:$J$37</definedName>
    <definedName name="_xlnm.Print_Area" localSheetId="6">'7'!$A$1:$J$35</definedName>
    <definedName name="_xlnm.Print_Area" localSheetId="7">'8'!$A$1:$J$35</definedName>
    <definedName name="_xlnm.Print_Area" localSheetId="8">'10'!$A$1:$J$36</definedName>
    <definedName name="_xlnm.Print_Area" localSheetId="9">'11'!$A$1:$J$42</definedName>
    <definedName name="_xlnm.Print_Area" localSheetId="10">'12'!$A$1:$J$38</definedName>
    <definedName name="_xlnm.Print_Area" localSheetId="11">'13'!$A$1:$J$34</definedName>
    <definedName name="_xlnm.Print_Area" localSheetId="12">'14'!$A$1:$J$34</definedName>
    <definedName name="_xlnm.Print_Area" localSheetId="13">'17'!$A$1:$J$35</definedName>
    <definedName name="_xlnm.Print_Area" localSheetId="14">'18'!$A$1:$J$34</definedName>
    <definedName name="_xlnm.Print_Area" localSheetId="15">'19'!$A$1:$J$36</definedName>
    <definedName name="_xlnm.Print_Area" localSheetId="16">'20'!$A$1:$J$35</definedName>
    <definedName name="_xlnm.Print_Area" localSheetId="17">'21'!$A$1:$J$33</definedName>
    <definedName name="_xlnm.Print_Area" localSheetId="18">'24'!$A$1:$J$32</definedName>
    <definedName name="_xlnm.Print_Area" localSheetId="19">'25'!$A$1:$J$33</definedName>
    <definedName name="_xlnm.Print_Area" localSheetId="20">'26'!$A$1:$J$36</definedName>
    <definedName name="_xlnm.Print_Area" localSheetId="21">'27'!$A$1:$J$36</definedName>
    <definedName name="_xlnm.Print_Area" localSheetId="22">'28'!$A$1:$J$36</definedName>
    <definedName name="_xlnm.Print_Area" localSheetId="23">'31'!$A$1:$J$34</definedName>
    <definedName name="_xlnm.Print_Area" localSheetId="0">'6.29'!$A$1:$H$51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<sst xmlns="http://schemas.openxmlformats.org/spreadsheetml/2006/main" count="1646" uniqueCount="345">
  <si>
    <t>武汉康恩农贸发展有限公司送货单</t>
  </si>
  <si>
    <t>收货单位：汉南数智化检测分公司</t>
  </si>
  <si>
    <t>配送日期：2023-6-29</t>
  </si>
  <si>
    <t>序号</t>
  </si>
  <si>
    <t>名称</t>
  </si>
  <si>
    <t>规格</t>
  </si>
  <si>
    <t>单位</t>
  </si>
  <si>
    <t>数量</t>
  </si>
  <si>
    <t>单价</t>
  </si>
  <si>
    <t>金额</t>
  </si>
  <si>
    <t>备注</t>
  </si>
  <si>
    <t>云鹤牌精选绿色碘盐</t>
  </si>
  <si>
    <t>400g</t>
  </si>
  <si>
    <t>包</t>
  </si>
  <si>
    <t>川郫红油豆瓣</t>
  </si>
  <si>
    <t>瓶</t>
  </si>
  <si>
    <t>金怡神食用玉米淀粉</t>
  </si>
  <si>
    <t>仲景麻辣鱼</t>
  </si>
  <si>
    <t>太太乐鸡精</t>
  </si>
  <si>
    <t>鲁花生鲜蚝油</t>
  </si>
  <si>
    <t>李锦记精选生抽</t>
  </si>
  <si>
    <t>李锦记精选老抽</t>
  </si>
  <si>
    <t>恒顺镇江香醋</t>
  </si>
  <si>
    <t>李锦记蒸鱼豉油</t>
  </si>
  <si>
    <t>汪德荣藤椒油</t>
  </si>
  <si>
    <t>德庄重庆小火锅底料</t>
  </si>
  <si>
    <t>鼎鼐白胡椒粉</t>
  </si>
  <si>
    <t>大桥牌味精</t>
  </si>
  <si>
    <t>红椒</t>
  </si>
  <si>
    <t>芜湖青椒</t>
  </si>
  <si>
    <t>薄千张</t>
  </si>
  <si>
    <t>福嘉柴火豆腐</t>
  </si>
  <si>
    <t>草鱼</t>
  </si>
  <si>
    <t>条</t>
  </si>
  <si>
    <t>后腿肉</t>
  </si>
  <si>
    <t>盒</t>
  </si>
  <si>
    <t>精品五花肉</t>
  </si>
  <si>
    <t>里脊肉</t>
  </si>
  <si>
    <t>糯米粉</t>
  </si>
  <si>
    <t>青花椒</t>
  </si>
  <si>
    <t>红花椒</t>
  </si>
  <si>
    <t>满天星辣椒干</t>
  </si>
  <si>
    <t>刁子鱼</t>
  </si>
  <si>
    <t>红苋菜</t>
  </si>
  <si>
    <t>金锣肘花火腿</t>
  </si>
  <si>
    <t>鸡全腿</t>
  </si>
  <si>
    <t>白芝麻</t>
  </si>
  <si>
    <t>香满园小麦粉</t>
  </si>
  <si>
    <t>白砂糖</t>
  </si>
  <si>
    <t>桂皮</t>
  </si>
  <si>
    <t>生姜</t>
  </si>
  <si>
    <t>王守义十三香</t>
  </si>
  <si>
    <t>八角</t>
  </si>
  <si>
    <t>安琪孝母</t>
  </si>
  <si>
    <t>鲁花玉米油</t>
  </si>
  <si>
    <t>壶</t>
  </si>
  <si>
    <t>韭菜</t>
  </si>
  <si>
    <t>都悦小葱</t>
  </si>
  <si>
    <t>光明益生菌酸奶（原味）</t>
  </si>
  <si>
    <t>100g</t>
  </si>
  <si>
    <t>杯</t>
  </si>
  <si>
    <t>合计:</t>
  </si>
  <si>
    <t>金额大写：</t>
  </si>
  <si>
    <t>制表人 ：樊君丽                 收货人：                送货人：</t>
  </si>
  <si>
    <t>配送日期：2023-7-1</t>
  </si>
  <si>
    <t>超市价格</t>
  </si>
  <si>
    <t>折扣率</t>
  </si>
  <si>
    <t>折后价</t>
  </si>
  <si>
    <t>折后金额</t>
  </si>
  <si>
    <t>大圆皮</t>
  </si>
  <si>
    <t>斤</t>
  </si>
  <si>
    <t>干细粉</t>
  </si>
  <si>
    <t>散称</t>
  </si>
  <si>
    <t>饺子皮</t>
  </si>
  <si>
    <t>宽粉</t>
  </si>
  <si>
    <t>热干面（熟）</t>
  </si>
  <si>
    <t>熟凉面</t>
  </si>
  <si>
    <t>熟汤面</t>
  </si>
  <si>
    <t>大葱</t>
  </si>
  <si>
    <t>带皮蒜头</t>
  </si>
  <si>
    <t>白豆角</t>
  </si>
  <si>
    <t>大土豆</t>
  </si>
  <si>
    <t>紫长茄子（细长）</t>
  </si>
  <si>
    <t>黄瓜</t>
  </si>
  <si>
    <t>老南瓜</t>
  </si>
  <si>
    <t>细土芹</t>
  </si>
  <si>
    <t>油麦菜</t>
  </si>
  <si>
    <t>厚干子</t>
  </si>
  <si>
    <t>嫩豆腐</t>
  </si>
  <si>
    <t>红壳鸡蛋</t>
  </si>
  <si>
    <t>12板/件</t>
  </si>
  <si>
    <t>件</t>
  </si>
  <si>
    <t>【鲜】猪板油</t>
  </si>
  <si>
    <t>【鲜】猪前腿肉沫</t>
  </si>
  <si>
    <t>【鲜】猪瘦肉片</t>
  </si>
  <si>
    <t>【鲜】猪瘦肉丝</t>
  </si>
  <si>
    <t>【鲜】猪通排骨</t>
  </si>
  <si>
    <t>【鲜】猪五花肉片</t>
  </si>
  <si>
    <t>【鲜】净胖头鱼头</t>
  </si>
  <si>
    <t>厨师乐加鲜味精</t>
  </si>
  <si>
    <t>2.27kg*10袋/件</t>
  </si>
  <si>
    <t>袋</t>
  </si>
  <si>
    <t>大桥鸡精900g</t>
  </si>
  <si>
    <t>（黄色）面包糠</t>
  </si>
  <si>
    <t>1kg*10袋/件</t>
  </si>
  <si>
    <t>安琪酵母</t>
  </si>
  <si>
    <t>500g*20袋/件</t>
  </si>
  <si>
    <t>粗苕粉</t>
  </si>
  <si>
    <t>东古南乳酱</t>
  </si>
  <si>
    <t>190g*48瓶/件</t>
  </si>
  <si>
    <t>福达坊芝麻酱6.25KG</t>
  </si>
  <si>
    <t>6.25KG*4桶/件</t>
  </si>
  <si>
    <t>桶</t>
  </si>
  <si>
    <t>干辣椒节</t>
  </si>
  <si>
    <t>海天草菇老抽1.9L</t>
  </si>
  <si>
    <t>1.9L*6壶/件</t>
  </si>
  <si>
    <t>海天金标生抽1.9L</t>
  </si>
  <si>
    <t>箱</t>
  </si>
  <si>
    <t>海天精制蚝油6kg</t>
  </si>
  <si>
    <t>6kg*2桶</t>
  </si>
  <si>
    <t>海天蒸鱼豉油1.75L</t>
  </si>
  <si>
    <t>1.75L*6壶/件</t>
  </si>
  <si>
    <t>黑芝麻</t>
  </si>
  <si>
    <t>火腿肠（整件）</t>
  </si>
  <si>
    <t>劲宝超级生粉</t>
  </si>
  <si>
    <t>5kg</t>
  </si>
  <si>
    <t>辣妹子辣椒酱</t>
  </si>
  <si>
    <t>920g*12瓶/件</t>
  </si>
  <si>
    <t>胖子红油麻辣鱼150g</t>
  </si>
  <si>
    <t>150g*40袋/件</t>
  </si>
  <si>
    <t>泡打粉（小袋）</t>
  </si>
  <si>
    <t>50g*20袋*10包/件</t>
  </si>
  <si>
    <t>三象水磨糯米粉</t>
  </si>
  <si>
    <t>500g</t>
  </si>
  <si>
    <t>三象水磨籼米粉</t>
  </si>
  <si>
    <t>500g*20包/件</t>
  </si>
  <si>
    <t>山西水塔陈醋</t>
  </si>
  <si>
    <t>天车甜面酱</t>
  </si>
  <si>
    <t>500g*12瓶/件</t>
  </si>
  <si>
    <t>维维豆奶760g</t>
  </si>
  <si>
    <t>760g*12袋/件</t>
  </si>
  <si>
    <t>味福白胡椒粉</t>
  </si>
  <si>
    <t>227g*10袋/件</t>
  </si>
  <si>
    <t>孝感米酒900g</t>
  </si>
  <si>
    <t>900g*6瓶/件</t>
  </si>
  <si>
    <t>鑫海贸紫菜50g</t>
  </si>
  <si>
    <t>50g*48包</t>
  </si>
  <si>
    <t>鑫石羊郫县豆瓣酱1kg</t>
  </si>
  <si>
    <t>1kg*8桶/件</t>
  </si>
  <si>
    <t>云鹤精制碘盐</t>
  </si>
  <si>
    <t>500g*50袋/件</t>
  </si>
  <si>
    <t>蒸肉白米粉(细）</t>
  </si>
  <si>
    <t>重庆三五火锅底料</t>
  </si>
  <si>
    <t>300g*32袋/件</t>
  </si>
  <si>
    <t>卤牛肉</t>
  </si>
  <si>
    <t>鲁花压榨玉米油</t>
  </si>
  <si>
    <t>5L*4壶/件</t>
  </si>
  <si>
    <t>鲁至尊面粉</t>
  </si>
  <si>
    <t>25kg</t>
  </si>
  <si>
    <t>米美佳东北香米15kg/袋</t>
  </si>
  <si>
    <t>15kg/袋</t>
  </si>
  <si>
    <t>正和珍珠糯米</t>
  </si>
  <si>
    <t>50斤/袋</t>
  </si>
  <si>
    <t>收货单位：</t>
  </si>
  <si>
    <t>汉南数智化检测分公司</t>
  </si>
  <si>
    <t>配送日期：</t>
  </si>
  <si>
    <t>（新鲜）河粉</t>
  </si>
  <si>
    <t>青杭椒</t>
  </si>
  <si>
    <t>蒜米</t>
  </si>
  <si>
    <t>小葱</t>
  </si>
  <si>
    <t>大红薯</t>
  </si>
  <si>
    <t>甜玉米棒</t>
  </si>
  <si>
    <t>个</t>
  </si>
  <si>
    <t>紫薯</t>
  </si>
  <si>
    <t>85苹果</t>
  </si>
  <si>
    <t>【鲜】净麻鸭</t>
  </si>
  <si>
    <t>【鲜】五花肉沫</t>
  </si>
  <si>
    <t>干葡萄干</t>
  </si>
  <si>
    <t>家乐浓缩鸡汁1kg</t>
  </si>
  <si>
    <t>1kg*6瓶/件</t>
  </si>
  <si>
    <t>绿豆</t>
  </si>
  <si>
    <t>25kg/件</t>
  </si>
  <si>
    <t>狮球吉士粉</t>
  </si>
  <si>
    <t>3kg*4桶/件</t>
  </si>
  <si>
    <t>文武麻辣油丁</t>
  </si>
  <si>
    <t>16斤/件</t>
  </si>
  <si>
    <t>鑫石羊郫县豆瓣酱4KG</t>
  </si>
  <si>
    <t>4KG/桶*4桶/件</t>
  </si>
  <si>
    <t>幺麻子藤椒油</t>
  </si>
  <si>
    <t>250ml*10瓶</t>
  </si>
  <si>
    <t>银耳</t>
  </si>
  <si>
    <t>红油榨菜丝</t>
  </si>
  <si>
    <t>宣乐红丁</t>
  </si>
  <si>
    <t>13斤/件</t>
  </si>
  <si>
    <t>原味酸豆角（切好的）</t>
  </si>
  <si>
    <t>八宝粥米</t>
  </si>
  <si>
    <t>福达坊芝麻香油</t>
  </si>
  <si>
    <t>360ml*12瓶</t>
  </si>
  <si>
    <t>缅甸香米25kg</t>
  </si>
  <si>
    <t>光明健能酸奶180g</t>
  </si>
  <si>
    <t>180g</t>
  </si>
  <si>
    <t>供货合计:</t>
  </si>
  <si>
    <t>平包菜</t>
  </si>
  <si>
    <t>【鲜】净三黄鸡</t>
  </si>
  <si>
    <t>鸡边腿剁块</t>
  </si>
  <si>
    <t>玉米面粉</t>
  </si>
  <si>
    <t>（生）春卷皮</t>
  </si>
  <si>
    <t>胡萝卜</t>
  </si>
  <si>
    <t>冬瓜</t>
  </si>
  <si>
    <t>生菜</t>
  </si>
  <si>
    <t>小白菜</t>
  </si>
  <si>
    <t>香梨</t>
  </si>
  <si>
    <t>皮蛋</t>
  </si>
  <si>
    <t>180个/件</t>
  </si>
  <si>
    <t>鸡脯肉丁</t>
  </si>
  <si>
    <t>【鲜】猪血</t>
  </si>
  <si>
    <t>【鲜】基围虾</t>
  </si>
  <si>
    <t>净鳝鱼</t>
  </si>
  <si>
    <t>米之佳酒鬼花生</t>
  </si>
  <si>
    <t>1.5kg/袋</t>
  </si>
  <si>
    <t>黄豆芽</t>
  </si>
  <si>
    <t>西红柿</t>
  </si>
  <si>
    <t>平菇</t>
  </si>
  <si>
    <t>麒麟西瓜</t>
  </si>
  <si>
    <t>熟鹌鹑蛋</t>
  </si>
  <si>
    <t>【鲜】精品五花</t>
  </si>
  <si>
    <t>900g*10袋/件</t>
  </si>
  <si>
    <t>双塔龙口粉丝</t>
  </si>
  <si>
    <t>500g*24袋/件</t>
  </si>
  <si>
    <t>大白菜</t>
  </si>
  <si>
    <t>【鲜】猪脊骨</t>
  </si>
  <si>
    <t>净草鱼块</t>
  </si>
  <si>
    <t>（冻）绿茶饼</t>
  </si>
  <si>
    <t>300g*20袋/件</t>
  </si>
  <si>
    <t>【冻】千味央厨香芋地瓜丸</t>
  </si>
  <si>
    <t>400g*10袋/件</t>
  </si>
  <si>
    <t>千味央厨小油条</t>
  </si>
  <si>
    <t>720g袋*6袋</t>
  </si>
  <si>
    <t>干黄花菜</t>
  </si>
  <si>
    <t>干辣椒片</t>
  </si>
  <si>
    <t>花生碎</t>
  </si>
  <si>
    <t>5斤/包</t>
  </si>
  <si>
    <t>水发海带头</t>
  </si>
  <si>
    <t>18斤/件</t>
  </si>
  <si>
    <t>坛坛乡剁椒1.15kg</t>
  </si>
  <si>
    <t>1.15kg*6瓶/件</t>
  </si>
  <si>
    <t>卤牛肚</t>
  </si>
  <si>
    <t>红皮洋葱</t>
  </si>
  <si>
    <t>香蕉</t>
  </si>
  <si>
    <t>【鲜】牛腩</t>
  </si>
  <si>
    <t>嫩藕</t>
  </si>
  <si>
    <t>有机花菜</t>
  </si>
  <si>
    <t>鲜香菇</t>
  </si>
  <si>
    <t>空心菜</t>
  </si>
  <si>
    <t>圣女果</t>
  </si>
  <si>
    <t>【鲜】猪肝</t>
  </si>
  <si>
    <t>【鲜】净大鲫鱼</t>
  </si>
  <si>
    <t>4两</t>
  </si>
  <si>
    <t>白玉兰蛋糕专用低筋面粉</t>
  </si>
  <si>
    <t>22.68kg/袋</t>
  </si>
  <si>
    <t>金钻甜点奶油</t>
  </si>
  <si>
    <t>907g</t>
  </si>
  <si>
    <t>食用小苏打</t>
  </si>
  <si>
    <t>140g*50袋/件</t>
  </si>
  <si>
    <t>九制话梅</t>
  </si>
  <si>
    <t>（85g/袋）</t>
  </si>
  <si>
    <t>光明畅优0腹担风味发酵乳</t>
  </si>
  <si>
    <t>100g/杯</t>
  </si>
  <si>
    <t>塔塔粉</t>
  </si>
  <si>
    <t>听</t>
  </si>
  <si>
    <t>铁棍山药</t>
  </si>
  <si>
    <t>兰州包菜</t>
  </si>
  <si>
    <t>黑布林</t>
  </si>
  <si>
    <t>【鲜】净牛蛙</t>
  </si>
  <si>
    <t>干黑木耳</t>
  </si>
  <si>
    <t>干片碱</t>
  </si>
  <si>
    <t>红豆</t>
  </si>
  <si>
    <t>皖顺福小米椒</t>
  </si>
  <si>
    <t>2kg*6袋/件</t>
  </si>
  <si>
    <t>四季豆</t>
  </si>
  <si>
    <t>香菜</t>
  </si>
  <si>
    <t>洪湖泡藕带</t>
  </si>
  <si>
    <t>400g*20袋</t>
  </si>
  <si>
    <t>双汇王中王火腿肠90g</t>
  </si>
  <si>
    <t>90g*50根/件</t>
  </si>
  <si>
    <t>小米</t>
  </si>
  <si>
    <t>馄饨皮</t>
  </si>
  <si>
    <t>韭黄</t>
  </si>
  <si>
    <t>油桃</t>
  </si>
  <si>
    <t>白壳鸡蛋</t>
  </si>
  <si>
    <t>板</t>
  </si>
  <si>
    <t>活大财鱼</t>
  </si>
  <si>
    <t>3斤以上</t>
  </si>
  <si>
    <t>虾皮</t>
  </si>
  <si>
    <t>文武酱菜外婆菜</t>
  </si>
  <si>
    <t>208g*40包/件</t>
  </si>
  <si>
    <t>净莴苣</t>
  </si>
  <si>
    <t>净大带鱼块</t>
  </si>
  <si>
    <t>大桥鸡精</t>
  </si>
  <si>
    <t>200g*40袋/件</t>
  </si>
  <si>
    <t>云鹤无碘盐</t>
  </si>
  <si>
    <t>350g*60袋/件</t>
  </si>
  <si>
    <t>干黄豆</t>
  </si>
  <si>
    <t>50斤/件</t>
  </si>
  <si>
    <t>新鲜红小米椒</t>
  </si>
  <si>
    <t>青丝瓜</t>
  </si>
  <si>
    <t>美都无籽冰糖瓜</t>
  </si>
  <si>
    <t>面筋</t>
  </si>
  <si>
    <t>清水笋丝</t>
  </si>
  <si>
    <t>2.5kg*6包/件</t>
  </si>
  <si>
    <t>味福黑胡椒粉</t>
  </si>
  <si>
    <t>新鲜毛豆米</t>
  </si>
  <si>
    <t>新藕</t>
  </si>
  <si>
    <t>白萝卜</t>
  </si>
  <si>
    <t>鸡头米杆子</t>
  </si>
  <si>
    <t>【鲜】筒子骨</t>
  </si>
  <si>
    <t>青豆角</t>
  </si>
  <si>
    <t>南德调味料</t>
  </si>
  <si>
    <t>150g*46袋</t>
  </si>
  <si>
    <t>王守义麻辣鲜</t>
  </si>
  <si>
    <t>102g</t>
  </si>
  <si>
    <t>小丑娃花椒粉</t>
  </si>
  <si>
    <t>30g*28袋/件</t>
  </si>
  <si>
    <t>芝麻酱</t>
  </si>
  <si>
    <t>永超榨菜</t>
  </si>
  <si>
    <t>8斤</t>
  </si>
  <si>
    <t>菱角米（去壳）</t>
  </si>
  <si>
    <t>【鲜】净黄骨鱼</t>
  </si>
  <si>
    <t>干桂林米粉</t>
  </si>
  <si>
    <t>白色臭干子</t>
  </si>
  <si>
    <t>【鲜】净大草鱼</t>
  </si>
  <si>
    <t>粤汉码头酸梅膏</t>
  </si>
  <si>
    <t>1.2l*12瓶/件</t>
  </si>
  <si>
    <t>（冻）蛋挞皮</t>
  </si>
  <si>
    <t>20g*60个/袋</t>
  </si>
  <si>
    <t>奥利客烘焙调理奶油</t>
  </si>
  <si>
    <t>907g/12瓶/件</t>
  </si>
  <si>
    <t>花生米</t>
  </si>
  <si>
    <t>无核红枣</t>
  </si>
  <si>
    <t>生面窝浆</t>
  </si>
  <si>
    <t>毛豆(剪好)</t>
  </si>
  <si>
    <t>杏鲍菇</t>
  </si>
  <si>
    <t>果珍风味固体饮料</t>
  </si>
  <si>
    <t>39号食堂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</si>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</sst>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[DBNum2][$RMB]General;[Red][DBNum2][$RMB]General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4" fontId="0" fillId="2" borderId="0" xfId="0" applyNumberFormat="1" applyFill="1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1"/>
  <sheetViews>
    <sheetView topLeftCell="A32" workbookViewId="0">
      <selection activeCell="G32" sqref="G$1:G$1048576"/>
    </sheetView>
  </sheetViews>
  <sheetFormatPr defaultColWidth="11" defaultRowHeight="18" customHeight="1" outlineLevelCol="7"/>
  <cols>
    <col min="1" max="1" width="8" style="4" customWidth="1"/>
    <col min="2" max="2" width="18.125" style="4" customWidth="1"/>
    <col min="3" max="3" width="13" style="4" customWidth="1"/>
    <col min="4" max="4" width="4.875" style="4" customWidth="1"/>
    <col min="5" max="5" width="5.5" style="4" customWidth="1"/>
    <col min="6" max="6" width="9.075" style="4" customWidth="1"/>
    <col min="7" max="7" width="7.375" style="4" customWidth="1"/>
    <col min="8" max="8" width="7" style="4" customWidth="1"/>
    <col min="9" max="16331" width="11.6666666666667" style="4" customWidth="1"/>
    <col min="16332" max="16332" width="11.6666666666667" style="4"/>
    <col min="16333" max="16338" width="11" style="4"/>
    <col min="16339" max="16384" width="11" style="6"/>
  </cols>
  <sheetData>
    <row r="1" s="4" customFormat="1" ht="24" customHeight="1" spans="1:8">
      <c r="A1" s="7" t="s">
        <v>0</v>
      </c>
      <c r="B1" s="7"/>
      <c r="C1" s="7"/>
      <c r="D1" s="7"/>
      <c r="E1" s="7"/>
      <c r="F1" s="7"/>
      <c r="G1" s="7"/>
      <c r="H1" s="7"/>
    </row>
    <row r="2" s="4" customFormat="1" ht="9" customHeight="1" spans="1:8">
      <c r="A2" s="7"/>
      <c r="B2" s="7"/>
      <c r="C2" s="7"/>
      <c r="D2" s="7"/>
      <c r="E2" s="7"/>
      <c r="F2" s="7"/>
      <c r="G2" s="7"/>
      <c r="H2" s="7"/>
    </row>
    <row r="3" s="4" customFormat="1" customHeight="1" spans="1:1">
      <c r="A3" s="4" t="s">
        <v>1</v>
      </c>
    </row>
    <row r="4" s="4" customFormat="1" customHeight="1" spans="1:8">
      <c r="A4" s="4" t="s">
        <v>2</v>
      </c>
      <c r="B4" s="9"/>
      <c r="C4" s="9"/>
      <c r="D4" s="10"/>
      <c r="E4" s="10"/>
      <c r="F4" s="10"/>
      <c r="G4" s="9"/>
      <c r="H4" s="9"/>
    </row>
    <row r="5" s="4" customFormat="1" customHeight="1" spans="1:8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4" customFormat="1" ht="16" customHeight="1" spans="1:8">
      <c r="A6" s="12">
        <v>1</v>
      </c>
      <c r="B6" s="12" t="s">
        <v>11</v>
      </c>
      <c r="C6" s="12" t="s">
        <v>12</v>
      </c>
      <c r="D6" s="13" t="s">
        <v>13</v>
      </c>
      <c r="E6" s="13">
        <v>3</v>
      </c>
      <c r="F6" s="14">
        <v>2.5</v>
      </c>
      <c r="G6" s="16">
        <f>E6*F6</f>
        <v>7.5</v>
      </c>
      <c r="H6" s="12"/>
    </row>
    <row r="7" s="4" customFormat="1" ht="16" customHeight="1" spans="1:8">
      <c r="A7" s="12">
        <v>2</v>
      </c>
      <c r="B7" s="12" t="s">
        <v>14</v>
      </c>
      <c r="C7" s="12"/>
      <c r="D7" s="13" t="s">
        <v>15</v>
      </c>
      <c r="E7" s="13">
        <v>1</v>
      </c>
      <c r="F7" s="14">
        <v>21.9</v>
      </c>
      <c r="G7" s="16">
        <f t="shared" ref="G7:G38" si="0">E7*F7</f>
        <v>21.9</v>
      </c>
      <c r="H7" s="12"/>
    </row>
    <row r="8" s="4" customFormat="1" ht="16" customHeight="1" spans="1:8">
      <c r="A8" s="12">
        <v>3</v>
      </c>
      <c r="B8" s="12" t="s">
        <v>16</v>
      </c>
      <c r="C8" s="12"/>
      <c r="D8" s="13" t="s">
        <v>13</v>
      </c>
      <c r="E8" s="13">
        <v>2</v>
      </c>
      <c r="F8" s="14">
        <v>4.1</v>
      </c>
      <c r="G8" s="16">
        <f t="shared" si="0"/>
        <v>8.2</v>
      </c>
      <c r="H8" s="12"/>
    </row>
    <row r="9" s="4" customFormat="1" ht="16" customHeight="1" spans="1:8">
      <c r="A9" s="12">
        <v>4</v>
      </c>
      <c r="B9" s="17" t="s">
        <v>17</v>
      </c>
      <c r="C9" s="17"/>
      <c r="D9" s="13" t="s">
        <v>13</v>
      </c>
      <c r="E9" s="13">
        <v>3</v>
      </c>
      <c r="F9" s="14">
        <v>11.9</v>
      </c>
      <c r="G9" s="16">
        <f t="shared" si="0"/>
        <v>35.7</v>
      </c>
      <c r="H9" s="12"/>
    </row>
    <row r="10" s="4" customFormat="1" ht="16" customHeight="1" spans="1:8">
      <c r="A10" s="12">
        <v>5</v>
      </c>
      <c r="B10" s="17" t="s">
        <v>18</v>
      </c>
      <c r="C10" s="17"/>
      <c r="D10" s="13" t="s">
        <v>13</v>
      </c>
      <c r="E10" s="13">
        <v>2</v>
      </c>
      <c r="F10" s="14">
        <v>13.7</v>
      </c>
      <c r="G10" s="16">
        <f t="shared" si="0"/>
        <v>27.4</v>
      </c>
      <c r="H10" s="12"/>
    </row>
    <row r="11" s="4" customFormat="1" ht="16" customHeight="1" spans="1:8">
      <c r="A11" s="12">
        <v>6</v>
      </c>
      <c r="B11" s="12" t="s">
        <v>19</v>
      </c>
      <c r="C11" s="12"/>
      <c r="D11" s="13" t="s">
        <v>15</v>
      </c>
      <c r="E11" s="13">
        <v>2</v>
      </c>
      <c r="F11" s="14">
        <v>16.9</v>
      </c>
      <c r="G11" s="16">
        <f t="shared" si="0"/>
        <v>33.8</v>
      </c>
      <c r="H11" s="12"/>
    </row>
    <row r="12" s="4" customFormat="1" ht="16" customHeight="1" spans="1:8">
      <c r="A12" s="12">
        <v>7</v>
      </c>
      <c r="B12" s="12" t="s">
        <v>20</v>
      </c>
      <c r="C12" s="12"/>
      <c r="D12" s="13" t="s">
        <v>15</v>
      </c>
      <c r="E12" s="13">
        <v>2</v>
      </c>
      <c r="F12" s="14">
        <v>9.9</v>
      </c>
      <c r="G12" s="16">
        <f t="shared" si="0"/>
        <v>19.8</v>
      </c>
      <c r="H12" s="12"/>
    </row>
    <row r="13" s="4" customFormat="1" ht="16" customHeight="1" spans="1:8">
      <c r="A13" s="12">
        <v>8</v>
      </c>
      <c r="B13" s="12" t="s">
        <v>21</v>
      </c>
      <c r="C13" s="12"/>
      <c r="D13" s="13" t="s">
        <v>15</v>
      </c>
      <c r="E13" s="13">
        <v>2</v>
      </c>
      <c r="F13" s="14">
        <v>11.9</v>
      </c>
      <c r="G13" s="16">
        <f t="shared" si="0"/>
        <v>23.8</v>
      </c>
      <c r="H13" s="12"/>
    </row>
    <row r="14" s="4" customFormat="1" ht="16" customHeight="1" spans="1:8">
      <c r="A14" s="12">
        <v>9</v>
      </c>
      <c r="B14" s="17" t="s">
        <v>22</v>
      </c>
      <c r="C14" s="17"/>
      <c r="D14" s="13" t="s">
        <v>15</v>
      </c>
      <c r="E14" s="18">
        <v>1</v>
      </c>
      <c r="F14" s="14">
        <v>12.9</v>
      </c>
      <c r="G14" s="16">
        <f t="shared" si="0"/>
        <v>12.9</v>
      </c>
      <c r="H14" s="17"/>
    </row>
    <row r="15" s="4" customFormat="1" ht="16" customHeight="1" spans="1:8">
      <c r="A15" s="12">
        <v>10</v>
      </c>
      <c r="B15" s="17" t="s">
        <v>23</v>
      </c>
      <c r="C15" s="17"/>
      <c r="D15" s="13" t="s">
        <v>15</v>
      </c>
      <c r="E15" s="18">
        <v>1</v>
      </c>
      <c r="F15" s="14">
        <v>13.9</v>
      </c>
      <c r="G15" s="16">
        <f t="shared" si="0"/>
        <v>13.9</v>
      </c>
      <c r="H15" s="17"/>
    </row>
    <row r="16" s="4" customFormat="1" ht="16" customHeight="1" spans="1:8">
      <c r="A16" s="12">
        <v>11</v>
      </c>
      <c r="B16" s="17" t="s">
        <v>24</v>
      </c>
      <c r="C16" s="17"/>
      <c r="D16" s="13" t="s">
        <v>15</v>
      </c>
      <c r="E16" s="18">
        <v>2</v>
      </c>
      <c r="F16" s="14">
        <v>16.9</v>
      </c>
      <c r="G16" s="16">
        <f t="shared" si="0"/>
        <v>33.8</v>
      </c>
      <c r="H16" s="17"/>
    </row>
    <row r="17" s="4" customFormat="1" ht="16" customHeight="1" spans="1:8">
      <c r="A17" s="12">
        <v>12</v>
      </c>
      <c r="B17" s="17" t="s">
        <v>25</v>
      </c>
      <c r="C17" s="17"/>
      <c r="D17" s="18" t="s">
        <v>13</v>
      </c>
      <c r="E17" s="18">
        <v>1</v>
      </c>
      <c r="F17" s="14">
        <v>28.8</v>
      </c>
      <c r="G17" s="16">
        <f t="shared" si="0"/>
        <v>28.8</v>
      </c>
      <c r="H17" s="17"/>
    </row>
    <row r="18" s="4" customFormat="1" ht="16" customHeight="1" spans="1:8">
      <c r="A18" s="12">
        <v>13</v>
      </c>
      <c r="B18" s="17" t="s">
        <v>26</v>
      </c>
      <c r="C18" s="17"/>
      <c r="D18" s="18" t="s">
        <v>13</v>
      </c>
      <c r="E18" s="18">
        <v>1</v>
      </c>
      <c r="F18" s="14">
        <v>17.8</v>
      </c>
      <c r="G18" s="16">
        <f t="shared" si="0"/>
        <v>17.8</v>
      </c>
      <c r="H18" s="17"/>
    </row>
    <row r="19" s="4" customFormat="1" ht="16" customHeight="1" spans="1:8">
      <c r="A19" s="12">
        <v>14</v>
      </c>
      <c r="B19" s="12" t="s">
        <v>27</v>
      </c>
      <c r="C19" s="12"/>
      <c r="D19" s="18" t="s">
        <v>13</v>
      </c>
      <c r="E19" s="13">
        <v>2</v>
      </c>
      <c r="F19" s="14">
        <v>6.2</v>
      </c>
      <c r="G19" s="16">
        <f t="shared" si="0"/>
        <v>12.4</v>
      </c>
      <c r="H19" s="12"/>
    </row>
    <row r="20" s="4" customFormat="1" ht="16" customHeight="1" spans="1:8">
      <c r="A20" s="12">
        <v>15</v>
      </c>
      <c r="B20" s="17" t="s">
        <v>28</v>
      </c>
      <c r="C20" s="17"/>
      <c r="D20" s="18" t="s">
        <v>13</v>
      </c>
      <c r="E20" s="18">
        <v>1</v>
      </c>
      <c r="F20" s="14">
        <v>11.1</v>
      </c>
      <c r="G20" s="16">
        <f t="shared" si="0"/>
        <v>11.1</v>
      </c>
      <c r="H20" s="17"/>
    </row>
    <row r="21" s="4" customFormat="1" ht="16" customHeight="1" spans="1:8">
      <c r="A21" s="12">
        <v>16</v>
      </c>
      <c r="B21" s="17" t="s">
        <v>29</v>
      </c>
      <c r="C21" s="17"/>
      <c r="D21" s="18" t="s">
        <v>13</v>
      </c>
      <c r="E21" s="18">
        <v>1</v>
      </c>
      <c r="F21" s="14">
        <v>1.9</v>
      </c>
      <c r="G21" s="16">
        <f t="shared" si="0"/>
        <v>1.9</v>
      </c>
      <c r="H21" s="17"/>
    </row>
    <row r="22" s="4" customFormat="1" ht="16" customHeight="1" spans="1:8">
      <c r="A22" s="12">
        <v>17</v>
      </c>
      <c r="B22" s="17" t="s">
        <v>30</v>
      </c>
      <c r="C22" s="17"/>
      <c r="D22" s="18" t="s">
        <v>13</v>
      </c>
      <c r="E22" s="18">
        <v>2</v>
      </c>
      <c r="F22" s="14">
        <v>5.9</v>
      </c>
      <c r="G22" s="16">
        <f t="shared" si="0"/>
        <v>11.8</v>
      </c>
      <c r="H22" s="17"/>
    </row>
    <row r="23" s="4" customFormat="1" ht="16" customHeight="1" spans="1:8">
      <c r="A23" s="12">
        <v>18</v>
      </c>
      <c r="B23" s="17" t="s">
        <v>31</v>
      </c>
      <c r="C23" s="17"/>
      <c r="D23" s="18" t="s">
        <v>13</v>
      </c>
      <c r="E23" s="18">
        <v>2</v>
      </c>
      <c r="F23" s="14">
        <v>5.5</v>
      </c>
      <c r="G23" s="16">
        <f t="shared" si="0"/>
        <v>11</v>
      </c>
      <c r="H23" s="17"/>
    </row>
    <row r="24" s="4" customFormat="1" ht="16" customHeight="1" spans="1:8">
      <c r="A24" s="12">
        <v>19</v>
      </c>
      <c r="B24" s="12" t="s">
        <v>32</v>
      </c>
      <c r="C24" s="12"/>
      <c r="D24" s="13" t="s">
        <v>33</v>
      </c>
      <c r="E24" s="13">
        <v>1</v>
      </c>
      <c r="F24" s="14">
        <v>23.9</v>
      </c>
      <c r="G24" s="16">
        <f t="shared" si="0"/>
        <v>23.9</v>
      </c>
      <c r="H24" s="12"/>
    </row>
    <row r="25" s="4" customFormat="1" ht="16" customHeight="1" spans="1:8">
      <c r="A25" s="12">
        <v>20</v>
      </c>
      <c r="B25" s="17" t="s">
        <v>34</v>
      </c>
      <c r="C25" s="17"/>
      <c r="D25" s="13" t="s">
        <v>35</v>
      </c>
      <c r="E25" s="13">
        <v>1</v>
      </c>
      <c r="F25" s="14">
        <v>22</v>
      </c>
      <c r="G25" s="16">
        <f t="shared" si="0"/>
        <v>22</v>
      </c>
      <c r="H25" s="12"/>
    </row>
    <row r="26" s="4" customFormat="1" ht="16" customHeight="1" spans="1:8">
      <c r="A26" s="12">
        <v>21</v>
      </c>
      <c r="B26" s="17" t="s">
        <v>36</v>
      </c>
      <c r="C26" s="17"/>
      <c r="D26" s="13" t="s">
        <v>35</v>
      </c>
      <c r="E26" s="18">
        <v>1</v>
      </c>
      <c r="F26" s="14">
        <v>38.5</v>
      </c>
      <c r="G26" s="16">
        <f t="shared" si="0"/>
        <v>38.5</v>
      </c>
      <c r="H26" s="17"/>
    </row>
    <row r="27" s="4" customFormat="1" ht="16" customHeight="1" spans="1:8">
      <c r="A27" s="12">
        <v>22</v>
      </c>
      <c r="B27" s="12" t="s">
        <v>37</v>
      </c>
      <c r="C27" s="12"/>
      <c r="D27" s="13" t="s">
        <v>35</v>
      </c>
      <c r="E27" s="13">
        <v>1</v>
      </c>
      <c r="F27" s="14">
        <v>17</v>
      </c>
      <c r="G27" s="16">
        <f t="shared" si="0"/>
        <v>17</v>
      </c>
      <c r="H27" s="12"/>
    </row>
    <row r="28" s="4" customFormat="1" ht="16" customHeight="1" spans="1:8">
      <c r="A28" s="12">
        <v>23</v>
      </c>
      <c r="B28" s="12" t="s">
        <v>38</v>
      </c>
      <c r="C28" s="12"/>
      <c r="D28" s="17" t="s">
        <v>13</v>
      </c>
      <c r="E28" s="13">
        <v>1</v>
      </c>
      <c r="F28" s="14">
        <v>13.6</v>
      </c>
      <c r="G28" s="16">
        <f t="shared" si="0"/>
        <v>13.6</v>
      </c>
      <c r="H28" s="12"/>
    </row>
    <row r="29" s="4" customFormat="1" ht="16" customHeight="1" spans="1:8">
      <c r="A29" s="12">
        <v>24</v>
      </c>
      <c r="B29" s="12" t="s">
        <v>39</v>
      </c>
      <c r="C29" s="12"/>
      <c r="D29" s="17" t="s">
        <v>13</v>
      </c>
      <c r="E29" s="13">
        <v>1</v>
      </c>
      <c r="F29" s="14">
        <v>29.2</v>
      </c>
      <c r="G29" s="16">
        <f t="shared" si="0"/>
        <v>29.2</v>
      </c>
      <c r="H29" s="12"/>
    </row>
    <row r="30" s="4" customFormat="1" ht="16" customHeight="1" spans="1:8">
      <c r="A30" s="12">
        <v>25</v>
      </c>
      <c r="B30" s="12" t="s">
        <v>40</v>
      </c>
      <c r="C30" s="12"/>
      <c r="D30" s="17" t="s">
        <v>13</v>
      </c>
      <c r="E30" s="13">
        <v>1</v>
      </c>
      <c r="F30" s="14">
        <v>54.3</v>
      </c>
      <c r="G30" s="16">
        <f t="shared" si="0"/>
        <v>54.3</v>
      </c>
      <c r="H30" s="12"/>
    </row>
    <row r="31" s="4" customFormat="1" ht="16" customHeight="1" spans="1:8">
      <c r="A31" s="12">
        <v>26</v>
      </c>
      <c r="B31" s="12" t="s">
        <v>41</v>
      </c>
      <c r="C31" s="12"/>
      <c r="D31" s="17" t="s">
        <v>13</v>
      </c>
      <c r="E31" s="13">
        <v>1</v>
      </c>
      <c r="F31" s="14">
        <v>24.7</v>
      </c>
      <c r="G31" s="16">
        <f t="shared" si="0"/>
        <v>24.7</v>
      </c>
      <c r="H31" s="12"/>
    </row>
    <row r="32" s="4" customFormat="1" ht="16" customHeight="1" spans="1:8">
      <c r="A32" s="12">
        <v>27</v>
      </c>
      <c r="B32" s="12" t="s">
        <v>42</v>
      </c>
      <c r="C32" s="12"/>
      <c r="D32" s="12" t="s">
        <v>35</v>
      </c>
      <c r="E32" s="13">
        <v>1</v>
      </c>
      <c r="F32" s="14">
        <v>16.1</v>
      </c>
      <c r="G32" s="16">
        <f t="shared" si="0"/>
        <v>16.1</v>
      </c>
      <c r="H32" s="12"/>
    </row>
    <row r="33" s="4" customFormat="1" ht="16" customHeight="1" spans="1:8">
      <c r="A33" s="12">
        <v>28</v>
      </c>
      <c r="B33" s="12" t="s">
        <v>43</v>
      </c>
      <c r="C33" s="12"/>
      <c r="D33" s="12" t="s">
        <v>35</v>
      </c>
      <c r="E33" s="13">
        <v>2</v>
      </c>
      <c r="F33" s="14">
        <v>6.2</v>
      </c>
      <c r="G33" s="16">
        <f t="shared" si="0"/>
        <v>12.4</v>
      </c>
      <c r="H33" s="12"/>
    </row>
    <row r="34" s="4" customFormat="1" ht="16" customHeight="1" spans="1:8">
      <c r="A34" s="12">
        <v>29</v>
      </c>
      <c r="B34" s="12" t="s">
        <v>44</v>
      </c>
      <c r="C34" s="12"/>
      <c r="D34" s="12" t="s">
        <v>35</v>
      </c>
      <c r="E34" s="13">
        <v>2</v>
      </c>
      <c r="F34" s="14">
        <v>14.8</v>
      </c>
      <c r="G34" s="16">
        <f t="shared" si="0"/>
        <v>29.6</v>
      </c>
      <c r="H34" s="12"/>
    </row>
    <row r="35" s="4" customFormat="1" ht="16" customHeight="1" spans="1:8">
      <c r="A35" s="12">
        <v>30</v>
      </c>
      <c r="B35" s="12" t="s">
        <v>45</v>
      </c>
      <c r="C35" s="12"/>
      <c r="D35" s="12" t="s">
        <v>35</v>
      </c>
      <c r="E35" s="13">
        <v>1</v>
      </c>
      <c r="F35" s="14">
        <v>14.5</v>
      </c>
      <c r="G35" s="16">
        <f t="shared" si="0"/>
        <v>14.5</v>
      </c>
      <c r="H35" s="12"/>
    </row>
    <row r="36" s="4" customFormat="1" ht="16" customHeight="1" spans="1:8">
      <c r="A36" s="12">
        <v>31</v>
      </c>
      <c r="B36" s="12" t="s">
        <v>46</v>
      </c>
      <c r="C36" s="12"/>
      <c r="D36" s="12" t="s">
        <v>13</v>
      </c>
      <c r="E36" s="13">
        <v>1</v>
      </c>
      <c r="F36" s="14">
        <v>19</v>
      </c>
      <c r="G36" s="16">
        <f t="shared" si="0"/>
        <v>19</v>
      </c>
      <c r="H36" s="12"/>
    </row>
    <row r="37" s="4" customFormat="1" ht="16" customHeight="1" spans="1:8">
      <c r="A37" s="12">
        <v>32</v>
      </c>
      <c r="B37" s="12" t="s">
        <v>47</v>
      </c>
      <c r="C37" s="12"/>
      <c r="D37" s="12" t="s">
        <v>13</v>
      </c>
      <c r="E37" s="13">
        <v>1</v>
      </c>
      <c r="F37" s="14">
        <v>13.9</v>
      </c>
      <c r="G37" s="16">
        <f t="shared" si="0"/>
        <v>13.9</v>
      </c>
      <c r="H37" s="12"/>
    </row>
    <row r="38" s="4" customFormat="1" ht="16" customHeight="1" spans="1:8">
      <c r="A38" s="12">
        <v>33</v>
      </c>
      <c r="B38" s="12" t="s">
        <v>48</v>
      </c>
      <c r="C38" s="12"/>
      <c r="D38" s="12" t="s">
        <v>13</v>
      </c>
      <c r="E38" s="13">
        <v>2</v>
      </c>
      <c r="F38" s="14">
        <v>10.5</v>
      </c>
      <c r="G38" s="16">
        <f t="shared" si="0"/>
        <v>21</v>
      </c>
      <c r="H38" s="12"/>
    </row>
    <row r="39" s="4" customFormat="1" ht="16" customHeight="1" spans="1:8">
      <c r="A39" s="12">
        <v>34</v>
      </c>
      <c r="B39" s="12" t="s">
        <v>49</v>
      </c>
      <c r="C39" s="12"/>
      <c r="D39" s="12" t="s">
        <v>13</v>
      </c>
      <c r="E39" s="13">
        <v>1</v>
      </c>
      <c r="F39" s="14">
        <v>15.9</v>
      </c>
      <c r="G39" s="16">
        <f t="shared" ref="G39:G51" si="1">E39*F39</f>
        <v>15.9</v>
      </c>
      <c r="H39" s="12"/>
    </row>
    <row r="40" s="4" customFormat="1" ht="16" customHeight="1" spans="1:8">
      <c r="A40" s="12">
        <v>35</v>
      </c>
      <c r="B40" s="12" t="s">
        <v>50</v>
      </c>
      <c r="C40" s="12"/>
      <c r="D40" s="12" t="s">
        <v>13</v>
      </c>
      <c r="E40" s="13">
        <v>6</v>
      </c>
      <c r="F40" s="14">
        <v>13.9</v>
      </c>
      <c r="G40" s="16">
        <f t="shared" si="1"/>
        <v>83.4</v>
      </c>
      <c r="H40" s="12"/>
    </row>
    <row r="41" s="4" customFormat="1" ht="16" customHeight="1" spans="1:8">
      <c r="A41" s="12">
        <v>36</v>
      </c>
      <c r="B41" s="12" t="s">
        <v>51</v>
      </c>
      <c r="C41" s="12"/>
      <c r="D41" s="12" t="s">
        <v>13</v>
      </c>
      <c r="E41" s="13">
        <v>4</v>
      </c>
      <c r="F41" s="14">
        <v>4.8</v>
      </c>
      <c r="G41" s="16">
        <f t="shared" si="1"/>
        <v>19.2</v>
      </c>
      <c r="H41" s="12"/>
    </row>
    <row r="42" s="4" customFormat="1" ht="16" customHeight="1" spans="1:8">
      <c r="A42" s="12">
        <v>37</v>
      </c>
      <c r="B42" s="12" t="s">
        <v>52</v>
      </c>
      <c r="C42" s="12"/>
      <c r="D42" s="12" t="s">
        <v>13</v>
      </c>
      <c r="E42" s="13">
        <v>2</v>
      </c>
      <c r="F42" s="14">
        <v>12.9</v>
      </c>
      <c r="G42" s="16">
        <f t="shared" si="1"/>
        <v>25.8</v>
      </c>
      <c r="H42" s="12"/>
    </row>
    <row r="43" s="4" customFormat="1" ht="16" customHeight="1" spans="1:8">
      <c r="A43" s="12">
        <v>38</v>
      </c>
      <c r="B43" s="12" t="s">
        <v>53</v>
      </c>
      <c r="C43" s="12"/>
      <c r="D43" s="12" t="s">
        <v>13</v>
      </c>
      <c r="E43" s="13">
        <v>4</v>
      </c>
      <c r="F43" s="14">
        <v>2.5</v>
      </c>
      <c r="G43" s="16">
        <f t="shared" si="1"/>
        <v>10</v>
      </c>
      <c r="H43" s="12"/>
    </row>
    <row r="44" s="4" customFormat="1" ht="16" customHeight="1" spans="1:8">
      <c r="A44" s="12">
        <v>39</v>
      </c>
      <c r="B44" s="12" t="s">
        <v>54</v>
      </c>
      <c r="C44" s="12"/>
      <c r="D44" s="12" t="s">
        <v>55</v>
      </c>
      <c r="E44" s="13">
        <v>1</v>
      </c>
      <c r="F44" s="14">
        <v>89.9</v>
      </c>
      <c r="G44" s="16">
        <f t="shared" si="1"/>
        <v>89.9</v>
      </c>
      <c r="H44" s="12"/>
    </row>
    <row r="45" s="4" customFormat="1" ht="16" customHeight="1" spans="1:8">
      <c r="A45" s="12">
        <v>40</v>
      </c>
      <c r="B45" s="12" t="s">
        <v>56</v>
      </c>
      <c r="C45" s="12"/>
      <c r="D45" s="12" t="s">
        <v>13</v>
      </c>
      <c r="E45" s="13">
        <v>1</v>
      </c>
      <c r="F45" s="14">
        <v>6.8</v>
      </c>
      <c r="G45" s="16">
        <f t="shared" si="1"/>
        <v>6.8</v>
      </c>
      <c r="H45" s="12"/>
    </row>
    <row r="46" s="4" customFormat="1" ht="16" customHeight="1" spans="1:8">
      <c r="A46" s="12">
        <v>41</v>
      </c>
      <c r="B46" s="12" t="s">
        <v>57</v>
      </c>
      <c r="C46" s="12"/>
      <c r="D46" s="12" t="s">
        <v>13</v>
      </c>
      <c r="E46" s="13">
        <v>5</v>
      </c>
      <c r="F46" s="14">
        <v>1.5</v>
      </c>
      <c r="G46" s="16">
        <f t="shared" si="1"/>
        <v>7.5</v>
      </c>
      <c r="H46" s="12"/>
    </row>
    <row r="47" s="4" customFormat="1" ht="16" customHeight="1" spans="1:8">
      <c r="A47" s="12">
        <v>42</v>
      </c>
      <c r="B47" s="14" t="s">
        <v>58</v>
      </c>
      <c r="C47" s="12" t="s">
        <v>59</v>
      </c>
      <c r="D47" s="12" t="s">
        <v>60</v>
      </c>
      <c r="E47" s="13">
        <v>63</v>
      </c>
      <c r="F47" s="14">
        <v>1.5</v>
      </c>
      <c r="G47" s="16">
        <f t="shared" si="1"/>
        <v>94.5</v>
      </c>
      <c r="H47" s="12"/>
    </row>
    <row r="48" s="4" customFormat="1" ht="16" customHeight="1" spans="1:8">
      <c r="A48" s="12">
        <v>43</v>
      </c>
      <c r="B48" s="12"/>
      <c r="C48" s="12"/>
      <c r="D48" s="12"/>
      <c r="E48" s="13"/>
      <c r="F48" s="14"/>
      <c r="G48" s="16"/>
      <c r="H48" s="12"/>
    </row>
    <row r="49" s="4" customFormat="1" customHeight="1" spans="1:8">
      <c r="A49" s="12" t="s">
        <v>61</v>
      </c>
      <c r="B49" s="20">
        <f>SUM(G6:G48)</f>
        <v>1036.2</v>
      </c>
      <c r="C49" s="21"/>
      <c r="D49" s="21"/>
      <c r="E49" s="21"/>
      <c r="F49" s="21"/>
      <c r="G49" s="21"/>
      <c r="H49" s="25"/>
    </row>
    <row r="50" s="4" customFormat="1" customHeight="1" spans="1:8">
      <c r="A50" s="12" t="s">
        <v>62</v>
      </c>
      <c r="B50" s="23">
        <f>B49</f>
        <v>1036.2</v>
      </c>
      <c r="C50" s="24"/>
      <c r="D50" s="24"/>
      <c r="E50" s="24"/>
      <c r="F50" s="24"/>
      <c r="G50" s="24"/>
      <c r="H50" s="26"/>
    </row>
    <row r="51" s="4" customFormat="1" customHeight="1" spans="1:1">
      <c r="A51" s="4" t="s">
        <v>63</v>
      </c>
    </row>
  </sheetData>
  <mergeCells count="4">
    <mergeCell ref="A1:H1"/>
    <mergeCell ref="B49:H49"/>
    <mergeCell ref="B50:H50"/>
    <mergeCell ref="A51:H51"/>
  </mergeCells>
  <conditionalFormatting sqref="B47">
    <cfRule type="duplicateValues" dxfId="0" priority="1"/>
  </conditionalFormatting>
  <conditionalFormatting sqref="B6:C24">
    <cfRule type="duplicateValues" dxfId="0" priority="3"/>
  </conditionalFormatting>
  <conditionalFormatting sqref="B6:B46 B48">
    <cfRule type="duplicateValues" dxfId="0" priority="2"/>
  </conditionalFormatting>
  <pageMargins left="0.751388888888889" right="0.751388888888889" top="0.409027777777778" bottom="0.60625" header="0.5" footer="0.5"/>
  <pageSetup paperSize="9" scale="93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zoomScale="85" zoomScaleNormal="85" topLeftCell="A51" workbookViewId="0">
      <selection activeCell="I51" sqref="I$1:I$1048576"/>
    </sheetView>
  </sheetViews>
  <sheetFormatPr defaultColWidth="11" defaultRowHeight="18" customHeight="1"/>
  <cols>
    <col min="1" max="1" width="8" style="4" customWidth="1"/>
    <col min="2" max="2" width="16.125" style="4" customWidth="1"/>
    <col min="3" max="3" width="13" style="4" customWidth="1"/>
    <col min="4" max="4" width="4.875" style="4" customWidth="1"/>
    <col min="5" max="5" width="5.5" style="4" customWidth="1"/>
    <col min="6" max="6" width="9.075" style="4" customWidth="1"/>
    <col min="7" max="7" width="7.125" style="4" customWidth="1"/>
    <col min="8" max="8" width="7.375" style="4" customWidth="1"/>
    <col min="9" max="9" width="8.625" style="4" customWidth="1"/>
    <col min="10" max="10" width="7" style="4" customWidth="1"/>
    <col min="11" max="16347" width="11.6666666666667" style="4" customWidth="1"/>
    <col min="16348" max="16348" width="11.6666666666667" style="4"/>
    <col min="16349" max="16354" width="11" style="4"/>
    <col min="16355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9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1">
      <c r="A3" s="4" t="s">
        <v>1</v>
      </c>
    </row>
    <row r="4" s="4" customFormat="1" customHeight="1" spans="1:10">
      <c r="A4" s="4" t="s">
        <v>64</v>
      </c>
      <c r="B4" s="9"/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69</v>
      </c>
      <c r="C6" s="12"/>
      <c r="D6" s="13" t="s">
        <v>70</v>
      </c>
      <c r="E6" s="13">
        <v>2</v>
      </c>
      <c r="F6" s="14">
        <f>H6/0.85</f>
        <v>4.70588235294118</v>
      </c>
      <c r="G6" s="15">
        <f>H6/F6</f>
        <v>0.85</v>
      </c>
      <c r="H6" s="16">
        <v>4</v>
      </c>
      <c r="I6" s="16">
        <f>E6*H6</f>
        <v>8</v>
      </c>
      <c r="J6" s="12"/>
    </row>
    <row r="7" s="4" customFormat="1" ht="16" customHeight="1" spans="1:10">
      <c r="A7" s="12">
        <v>2</v>
      </c>
      <c r="B7" s="12" t="s">
        <v>71</v>
      </c>
      <c r="C7" s="12" t="s">
        <v>72</v>
      </c>
      <c r="D7" s="13" t="s">
        <v>70</v>
      </c>
      <c r="E7" s="13">
        <v>5</v>
      </c>
      <c r="F7" s="14">
        <f t="shared" ref="F7:F38" si="0">H7/0.85</f>
        <v>4.11764705882353</v>
      </c>
      <c r="G7" s="15">
        <f t="shared" ref="G7:G38" si="1">H7/F7</f>
        <v>0.85</v>
      </c>
      <c r="H7" s="16">
        <v>3.5</v>
      </c>
      <c r="I7" s="16">
        <f t="shared" ref="I6:I16" si="2">E7*H7</f>
        <v>17.5</v>
      </c>
      <c r="J7" s="12"/>
    </row>
    <row r="8" s="4" customFormat="1" ht="16" customHeight="1" spans="1:10">
      <c r="A8" s="12">
        <v>3</v>
      </c>
      <c r="B8" s="12" t="s">
        <v>73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74</v>
      </c>
      <c r="C9" s="17"/>
      <c r="D9" s="13" t="s">
        <v>70</v>
      </c>
      <c r="E9" s="13">
        <v>5</v>
      </c>
      <c r="F9" s="14">
        <f t="shared" si="0"/>
        <v>3.52941176470588</v>
      </c>
      <c r="G9" s="15">
        <f t="shared" si="1"/>
        <v>0.85</v>
      </c>
      <c r="H9" s="16">
        <v>3</v>
      </c>
      <c r="I9" s="16">
        <f t="shared" si="2"/>
        <v>15</v>
      </c>
      <c r="J9" s="12"/>
    </row>
    <row r="10" s="4" customFormat="1" ht="16" customHeight="1" spans="1:10">
      <c r="A10" s="12">
        <v>5</v>
      </c>
      <c r="B10" s="17" t="s">
        <v>75</v>
      </c>
      <c r="C10" s="17"/>
      <c r="D10" s="13" t="s">
        <v>70</v>
      </c>
      <c r="E10" s="13">
        <v>10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35</v>
      </c>
      <c r="J10" s="12"/>
    </row>
    <row r="11" s="4" customFormat="1" ht="16" customHeight="1" spans="1:10">
      <c r="A11" s="12">
        <v>6</v>
      </c>
      <c r="B11" s="12" t="s">
        <v>76</v>
      </c>
      <c r="C11" s="12"/>
      <c r="D11" s="13" t="s">
        <v>70</v>
      </c>
      <c r="E11" s="13">
        <v>10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35</v>
      </c>
      <c r="J11" s="12"/>
    </row>
    <row r="12" s="4" customFormat="1" ht="16" customHeight="1" spans="1:10">
      <c r="A12" s="12">
        <v>7</v>
      </c>
      <c r="B12" s="12" t="s">
        <v>77</v>
      </c>
      <c r="C12" s="12"/>
      <c r="D12" s="13" t="s">
        <v>70</v>
      </c>
      <c r="E12" s="13">
        <v>5</v>
      </c>
      <c r="F12" s="14">
        <f t="shared" si="0"/>
        <v>4.11764705882353</v>
      </c>
      <c r="G12" s="15">
        <f t="shared" si="1"/>
        <v>0.85</v>
      </c>
      <c r="H12" s="16">
        <v>3.5</v>
      </c>
      <c r="I12" s="16">
        <f t="shared" si="2"/>
        <v>17.5</v>
      </c>
      <c r="J12" s="12"/>
    </row>
    <row r="13" s="4" customFormat="1" ht="16" customHeight="1" spans="1:10">
      <c r="A13" s="12">
        <v>8</v>
      </c>
      <c r="B13" s="12" t="s">
        <v>78</v>
      </c>
      <c r="C13" s="12"/>
      <c r="D13" s="13" t="s">
        <v>70</v>
      </c>
      <c r="E13" s="13">
        <v>2</v>
      </c>
      <c r="F13" s="14">
        <f t="shared" si="0"/>
        <v>4.11764705882353</v>
      </c>
      <c r="G13" s="15">
        <f t="shared" si="1"/>
        <v>0.85</v>
      </c>
      <c r="H13" s="16">
        <v>3.5</v>
      </c>
      <c r="I13" s="16">
        <f t="shared" si="2"/>
        <v>7</v>
      </c>
      <c r="J13" s="12"/>
    </row>
    <row r="14" s="4" customFormat="1" ht="16" customHeight="1" spans="1:10">
      <c r="A14" s="12">
        <v>9</v>
      </c>
      <c r="B14" s="17" t="s">
        <v>79</v>
      </c>
      <c r="C14" s="17"/>
      <c r="D14" s="18" t="s">
        <v>70</v>
      </c>
      <c r="E14" s="18">
        <v>5</v>
      </c>
      <c r="F14" s="14">
        <f t="shared" si="0"/>
        <v>9.41176470588235</v>
      </c>
      <c r="G14" s="15">
        <f t="shared" si="1"/>
        <v>0.85</v>
      </c>
      <c r="H14" s="19">
        <v>8</v>
      </c>
      <c r="I14" s="16">
        <f t="shared" si="2"/>
        <v>40</v>
      </c>
      <c r="J14" s="17"/>
    </row>
    <row r="15" s="4" customFormat="1" ht="16" customHeight="1" spans="1:10">
      <c r="A15" s="12">
        <v>10</v>
      </c>
      <c r="B15" s="17" t="s">
        <v>50</v>
      </c>
      <c r="C15" s="17"/>
      <c r="D15" s="18" t="s">
        <v>70</v>
      </c>
      <c r="E15" s="18">
        <v>10</v>
      </c>
      <c r="F15" s="14">
        <f t="shared" si="0"/>
        <v>15.0588235294118</v>
      </c>
      <c r="G15" s="15">
        <f t="shared" si="1"/>
        <v>0.85</v>
      </c>
      <c r="H15" s="19">
        <v>12.8</v>
      </c>
      <c r="I15" s="16">
        <f t="shared" si="2"/>
        <v>128</v>
      </c>
      <c r="J15" s="17"/>
    </row>
    <row r="16" s="4" customFormat="1" ht="16" customHeight="1" spans="1:10">
      <c r="A16" s="12">
        <v>11</v>
      </c>
      <c r="B16" s="17" t="s">
        <v>80</v>
      </c>
      <c r="C16" s="17"/>
      <c r="D16" s="18" t="s">
        <v>70</v>
      </c>
      <c r="E16" s="18">
        <v>13</v>
      </c>
      <c r="F16" s="14">
        <f t="shared" si="0"/>
        <v>4.47058823529412</v>
      </c>
      <c r="G16" s="15">
        <f t="shared" si="1"/>
        <v>0.85</v>
      </c>
      <c r="H16" s="19">
        <v>3.8</v>
      </c>
      <c r="I16" s="16">
        <f t="shared" ref="I16:I47" si="3">E16*H16</f>
        <v>49.4</v>
      </c>
      <c r="J16" s="17"/>
    </row>
    <row r="17" s="4" customFormat="1" ht="16" customHeight="1" spans="1:10">
      <c r="A17" s="12">
        <v>12</v>
      </c>
      <c r="B17" s="17" t="s">
        <v>81</v>
      </c>
      <c r="C17" s="17"/>
      <c r="D17" s="18" t="s">
        <v>70</v>
      </c>
      <c r="E17" s="18">
        <v>15</v>
      </c>
      <c r="F17" s="14">
        <f t="shared" si="0"/>
        <v>4.11764705882353</v>
      </c>
      <c r="G17" s="15">
        <f t="shared" si="1"/>
        <v>0.85</v>
      </c>
      <c r="H17" s="19">
        <v>3.5</v>
      </c>
      <c r="I17" s="16">
        <f t="shared" si="3"/>
        <v>52.5</v>
      </c>
      <c r="J17" s="17"/>
    </row>
    <row r="18" s="4" customFormat="1" ht="16" customHeight="1" spans="1:10">
      <c r="A18" s="12">
        <v>13</v>
      </c>
      <c r="B18" s="17" t="s">
        <v>82</v>
      </c>
      <c r="C18" s="17"/>
      <c r="D18" s="18" t="s">
        <v>70</v>
      </c>
      <c r="E18" s="18">
        <v>5</v>
      </c>
      <c r="F18" s="14">
        <f t="shared" si="0"/>
        <v>4.47058823529412</v>
      </c>
      <c r="G18" s="15">
        <f t="shared" si="1"/>
        <v>0.85</v>
      </c>
      <c r="H18" s="19">
        <v>3.8</v>
      </c>
      <c r="I18" s="16">
        <f t="shared" si="3"/>
        <v>19</v>
      </c>
      <c r="J18" s="17"/>
    </row>
    <row r="19" s="4" customFormat="1" ht="16" customHeight="1" spans="1:10">
      <c r="A19" s="12">
        <v>14</v>
      </c>
      <c r="B19" s="12" t="s">
        <v>83</v>
      </c>
      <c r="C19" s="12"/>
      <c r="D19" s="13" t="s">
        <v>70</v>
      </c>
      <c r="E19" s="13">
        <v>15</v>
      </c>
      <c r="F19" s="14">
        <f t="shared" si="0"/>
        <v>3.29411764705882</v>
      </c>
      <c r="G19" s="15">
        <f t="shared" si="1"/>
        <v>0.85</v>
      </c>
      <c r="H19" s="16">
        <v>2.8</v>
      </c>
      <c r="I19" s="16">
        <f t="shared" si="3"/>
        <v>42</v>
      </c>
      <c r="J19" s="12"/>
    </row>
    <row r="20" s="4" customFormat="1" ht="16" customHeight="1" spans="1:10">
      <c r="A20" s="12">
        <v>15</v>
      </c>
      <c r="B20" s="17" t="s">
        <v>84</v>
      </c>
      <c r="C20" s="17"/>
      <c r="D20" s="18" t="s">
        <v>70</v>
      </c>
      <c r="E20" s="18">
        <v>10</v>
      </c>
      <c r="F20" s="14">
        <f t="shared" si="0"/>
        <v>2.94117647058824</v>
      </c>
      <c r="G20" s="15">
        <f t="shared" si="1"/>
        <v>0.85</v>
      </c>
      <c r="H20" s="19">
        <v>2.5</v>
      </c>
      <c r="I20" s="16">
        <f t="shared" si="3"/>
        <v>25</v>
      </c>
      <c r="J20" s="17"/>
    </row>
    <row r="21" s="4" customFormat="1" ht="16" customHeight="1" spans="1:10">
      <c r="A21" s="12">
        <v>16</v>
      </c>
      <c r="B21" s="17" t="s">
        <v>56</v>
      </c>
      <c r="C21" s="17"/>
      <c r="D21" s="18" t="s">
        <v>70</v>
      </c>
      <c r="E21" s="18">
        <v>2</v>
      </c>
      <c r="F21" s="14">
        <f t="shared" si="0"/>
        <v>4.11764705882353</v>
      </c>
      <c r="G21" s="15">
        <f t="shared" si="1"/>
        <v>0.85</v>
      </c>
      <c r="H21" s="19">
        <v>3.5</v>
      </c>
      <c r="I21" s="16">
        <f t="shared" si="3"/>
        <v>7</v>
      </c>
      <c r="J21" s="17"/>
    </row>
    <row r="22" s="4" customFormat="1" ht="16" customHeight="1" spans="1:10">
      <c r="A22" s="12">
        <v>17</v>
      </c>
      <c r="B22" s="17" t="s">
        <v>85</v>
      </c>
      <c r="C22" s="17"/>
      <c r="D22" s="18" t="s">
        <v>70</v>
      </c>
      <c r="E22" s="18">
        <v>3</v>
      </c>
      <c r="F22" s="14">
        <f t="shared" si="0"/>
        <v>6.47058823529412</v>
      </c>
      <c r="G22" s="15">
        <f t="shared" si="1"/>
        <v>0.85</v>
      </c>
      <c r="H22" s="19">
        <v>5.5</v>
      </c>
      <c r="I22" s="16">
        <f t="shared" si="3"/>
        <v>16.5</v>
      </c>
      <c r="J22" s="17"/>
    </row>
    <row r="23" s="4" customFormat="1" ht="16" customHeight="1" spans="1:10">
      <c r="A23" s="12">
        <v>18</v>
      </c>
      <c r="B23" s="17" t="s">
        <v>86</v>
      </c>
      <c r="C23" s="17"/>
      <c r="D23" s="17" t="s">
        <v>70</v>
      </c>
      <c r="E23" s="18">
        <v>20</v>
      </c>
      <c r="F23" s="14">
        <f t="shared" si="0"/>
        <v>4.11764705882353</v>
      </c>
      <c r="G23" s="15">
        <f t="shared" si="1"/>
        <v>0.85</v>
      </c>
      <c r="H23" s="19">
        <v>3.5</v>
      </c>
      <c r="I23" s="16">
        <f t="shared" si="3"/>
        <v>70</v>
      </c>
      <c r="J23" s="17"/>
    </row>
    <row r="24" s="4" customFormat="1" ht="16" customHeight="1" spans="1:10">
      <c r="A24" s="12">
        <v>19</v>
      </c>
      <c r="B24" s="17" t="s">
        <v>87</v>
      </c>
      <c r="C24" s="17"/>
      <c r="D24" s="18" t="s">
        <v>70</v>
      </c>
      <c r="E24" s="18">
        <v>5</v>
      </c>
      <c r="F24" s="14">
        <f t="shared" si="0"/>
        <v>8</v>
      </c>
      <c r="G24" s="15">
        <f t="shared" si="1"/>
        <v>0.85</v>
      </c>
      <c r="H24" s="19">
        <v>6.8</v>
      </c>
      <c r="I24" s="16">
        <f t="shared" si="3"/>
        <v>34</v>
      </c>
      <c r="J24" s="17"/>
    </row>
    <row r="25" s="4" customFormat="1" ht="16" customHeight="1" spans="1:10">
      <c r="A25" s="12">
        <v>20</v>
      </c>
      <c r="B25" s="17" t="s">
        <v>88</v>
      </c>
      <c r="C25" s="17"/>
      <c r="D25" s="18" t="s">
        <v>70</v>
      </c>
      <c r="E25" s="18">
        <v>3</v>
      </c>
      <c r="F25" s="14">
        <f t="shared" si="0"/>
        <v>4.11764705882353</v>
      </c>
      <c r="G25" s="15">
        <f t="shared" si="1"/>
        <v>0.85</v>
      </c>
      <c r="H25" s="19">
        <v>3.5</v>
      </c>
      <c r="I25" s="16">
        <f t="shared" si="3"/>
        <v>10.5</v>
      </c>
      <c r="J25" s="17"/>
    </row>
    <row r="26" s="4" customFormat="1" ht="16" customHeight="1" spans="1:10">
      <c r="A26" s="12">
        <v>21</v>
      </c>
      <c r="B26" s="12" t="s">
        <v>89</v>
      </c>
      <c r="C26" s="12" t="s">
        <v>90</v>
      </c>
      <c r="D26" s="13" t="s">
        <v>91</v>
      </c>
      <c r="E26" s="13">
        <v>1</v>
      </c>
      <c r="F26" s="14">
        <f t="shared" si="0"/>
        <v>352.941176470588</v>
      </c>
      <c r="G26" s="15">
        <f t="shared" si="1"/>
        <v>0.85</v>
      </c>
      <c r="H26" s="16">
        <v>300</v>
      </c>
      <c r="I26" s="16">
        <f t="shared" si="3"/>
        <v>300</v>
      </c>
      <c r="J26" s="12"/>
    </row>
    <row r="27" s="4" customFormat="1" ht="16" customHeight="1" spans="1:10">
      <c r="A27" s="12">
        <v>22</v>
      </c>
      <c r="B27" s="17" t="s">
        <v>92</v>
      </c>
      <c r="C27" s="17"/>
      <c r="D27" s="13" t="s">
        <v>70</v>
      </c>
      <c r="E27" s="13">
        <v>5</v>
      </c>
      <c r="F27" s="14">
        <f t="shared" si="0"/>
        <v>14.1176470588235</v>
      </c>
      <c r="G27" s="15">
        <f t="shared" si="1"/>
        <v>0.85</v>
      </c>
      <c r="H27" s="16">
        <v>12</v>
      </c>
      <c r="I27" s="16">
        <f t="shared" si="3"/>
        <v>60</v>
      </c>
      <c r="J27" s="12"/>
    </row>
    <row r="28" s="4" customFormat="1" ht="16" customHeight="1" spans="1:10">
      <c r="A28" s="12">
        <v>23</v>
      </c>
      <c r="B28" s="17" t="s">
        <v>93</v>
      </c>
      <c r="C28" s="17"/>
      <c r="D28" s="17" t="s">
        <v>70</v>
      </c>
      <c r="E28" s="18">
        <v>5</v>
      </c>
      <c r="F28" s="14">
        <f t="shared" si="0"/>
        <v>15.2941176470588</v>
      </c>
      <c r="G28" s="15">
        <f t="shared" si="1"/>
        <v>0.85</v>
      </c>
      <c r="H28" s="19">
        <v>13</v>
      </c>
      <c r="I28" s="16">
        <f t="shared" si="3"/>
        <v>65</v>
      </c>
      <c r="J28" s="17"/>
    </row>
    <row r="29" s="4" customFormat="1" ht="16" customHeight="1" spans="1:10">
      <c r="A29" s="12">
        <v>24</v>
      </c>
      <c r="B29" s="12" t="s">
        <v>94</v>
      </c>
      <c r="C29" s="12"/>
      <c r="D29" s="17" t="s">
        <v>70</v>
      </c>
      <c r="E29" s="13">
        <v>5</v>
      </c>
      <c r="F29" s="14">
        <f t="shared" si="0"/>
        <v>23.5294117647059</v>
      </c>
      <c r="G29" s="15">
        <f t="shared" si="1"/>
        <v>0.85</v>
      </c>
      <c r="H29" s="16">
        <v>20</v>
      </c>
      <c r="I29" s="16">
        <f t="shared" si="3"/>
        <v>100</v>
      </c>
      <c r="J29" s="12"/>
    </row>
    <row r="30" s="4" customFormat="1" ht="16" customHeight="1" spans="1:10">
      <c r="A30" s="12">
        <v>25</v>
      </c>
      <c r="B30" s="12" t="s">
        <v>95</v>
      </c>
      <c r="C30" s="12"/>
      <c r="D30" s="17" t="s">
        <v>70</v>
      </c>
      <c r="E30" s="13">
        <v>5</v>
      </c>
      <c r="F30" s="14">
        <f t="shared" si="0"/>
        <v>23.5294117647059</v>
      </c>
      <c r="G30" s="15">
        <f t="shared" si="1"/>
        <v>0.85</v>
      </c>
      <c r="H30" s="16">
        <v>20</v>
      </c>
      <c r="I30" s="16">
        <f t="shared" si="3"/>
        <v>100</v>
      </c>
      <c r="J30" s="12"/>
    </row>
    <row r="31" s="4" customFormat="1" ht="16" customHeight="1" spans="1:10">
      <c r="A31" s="12">
        <v>26</v>
      </c>
      <c r="B31" s="12" t="s">
        <v>96</v>
      </c>
      <c r="C31" s="12"/>
      <c r="D31" s="12" t="s">
        <v>70</v>
      </c>
      <c r="E31" s="13">
        <v>8</v>
      </c>
      <c r="F31" s="14">
        <f t="shared" si="0"/>
        <v>28.2352941176471</v>
      </c>
      <c r="G31" s="15">
        <f t="shared" si="1"/>
        <v>0.85</v>
      </c>
      <c r="H31" s="16">
        <v>24</v>
      </c>
      <c r="I31" s="16">
        <f t="shared" si="3"/>
        <v>192</v>
      </c>
      <c r="J31" s="12"/>
    </row>
    <row r="32" s="4" customFormat="1" ht="16" customHeight="1" spans="1:10">
      <c r="A32" s="12">
        <v>27</v>
      </c>
      <c r="B32" s="12" t="s">
        <v>97</v>
      </c>
      <c r="C32" s="12"/>
      <c r="D32" s="12" t="s">
        <v>70</v>
      </c>
      <c r="E32" s="13">
        <v>5</v>
      </c>
      <c r="F32" s="14">
        <f t="shared" si="0"/>
        <v>17.6470588235294</v>
      </c>
      <c r="G32" s="15">
        <f t="shared" si="1"/>
        <v>0.85</v>
      </c>
      <c r="H32" s="16">
        <v>15</v>
      </c>
      <c r="I32" s="16">
        <f t="shared" si="3"/>
        <v>75</v>
      </c>
      <c r="J32" s="12"/>
    </row>
    <row r="33" s="4" customFormat="1" ht="16" customHeight="1" spans="1:10">
      <c r="A33" s="12">
        <v>28</v>
      </c>
      <c r="B33" s="12" t="s">
        <v>98</v>
      </c>
      <c r="C33" s="12"/>
      <c r="D33" s="12" t="s">
        <v>70</v>
      </c>
      <c r="E33" s="13">
        <v>10.4</v>
      </c>
      <c r="F33" s="14">
        <f t="shared" si="0"/>
        <v>23.5294117647059</v>
      </c>
      <c r="G33" s="15">
        <f t="shared" si="1"/>
        <v>0.85</v>
      </c>
      <c r="H33" s="16">
        <v>20</v>
      </c>
      <c r="I33" s="16">
        <f t="shared" si="3"/>
        <v>208</v>
      </c>
      <c r="J33" s="12"/>
    </row>
    <row r="34" s="4" customFormat="1" ht="16" customHeight="1" spans="1:10">
      <c r="A34" s="12">
        <v>29</v>
      </c>
      <c r="B34" s="12" t="s">
        <v>99</v>
      </c>
      <c r="C34" s="12" t="s">
        <v>100</v>
      </c>
      <c r="D34" s="12" t="s">
        <v>101</v>
      </c>
      <c r="E34" s="13">
        <v>3</v>
      </c>
      <c r="F34" s="14">
        <f t="shared" si="0"/>
        <v>52.9411764705882</v>
      </c>
      <c r="G34" s="15">
        <f t="shared" si="1"/>
        <v>0.85</v>
      </c>
      <c r="H34" s="16">
        <v>45</v>
      </c>
      <c r="I34" s="16">
        <f t="shared" si="3"/>
        <v>135</v>
      </c>
      <c r="J34" s="12"/>
    </row>
    <row r="35" s="4" customFormat="1" ht="16" customHeight="1" spans="1:10">
      <c r="A35" s="12">
        <v>30</v>
      </c>
      <c r="B35" s="12" t="s">
        <v>102</v>
      </c>
      <c r="C35" s="12"/>
      <c r="D35" s="12" t="s">
        <v>101</v>
      </c>
      <c r="E35" s="13">
        <v>3</v>
      </c>
      <c r="F35" s="14">
        <f t="shared" si="0"/>
        <v>42.8235294117647</v>
      </c>
      <c r="G35" s="15">
        <f t="shared" si="1"/>
        <v>0.85</v>
      </c>
      <c r="H35" s="16">
        <v>36.4</v>
      </c>
      <c r="I35" s="16">
        <f t="shared" si="3"/>
        <v>109.2</v>
      </c>
      <c r="J35" s="12"/>
    </row>
    <row r="36" s="4" customFormat="1" ht="16" customHeight="1" spans="1:10">
      <c r="A36" s="12">
        <v>31</v>
      </c>
      <c r="B36" s="12" t="s">
        <v>103</v>
      </c>
      <c r="C36" s="12" t="s">
        <v>104</v>
      </c>
      <c r="D36" s="12" t="s">
        <v>101</v>
      </c>
      <c r="E36" s="13">
        <v>1</v>
      </c>
      <c r="F36" s="14">
        <f t="shared" si="0"/>
        <v>25.8823529411765</v>
      </c>
      <c r="G36" s="15">
        <f t="shared" si="1"/>
        <v>0.85</v>
      </c>
      <c r="H36" s="16">
        <v>22</v>
      </c>
      <c r="I36" s="16">
        <f t="shared" si="3"/>
        <v>22</v>
      </c>
      <c r="J36" s="12"/>
    </row>
    <row r="37" s="4" customFormat="1" ht="16" customHeight="1" spans="1:10">
      <c r="A37" s="12">
        <v>32</v>
      </c>
      <c r="B37" s="12" t="s">
        <v>105</v>
      </c>
      <c r="C37" s="12" t="s">
        <v>106</v>
      </c>
      <c r="D37" s="12" t="s">
        <v>101</v>
      </c>
      <c r="E37" s="13">
        <v>1</v>
      </c>
      <c r="F37" s="14">
        <f t="shared" si="0"/>
        <v>29.4117647058824</v>
      </c>
      <c r="G37" s="15">
        <f t="shared" si="1"/>
        <v>0.85</v>
      </c>
      <c r="H37" s="16">
        <v>25</v>
      </c>
      <c r="I37" s="16">
        <f t="shared" si="3"/>
        <v>25</v>
      </c>
      <c r="J37" s="12"/>
    </row>
    <row r="38" s="4" customFormat="1" ht="16" customHeight="1" spans="1:10">
      <c r="A38" s="12">
        <v>33</v>
      </c>
      <c r="B38" s="12" t="s">
        <v>48</v>
      </c>
      <c r="C38" s="12"/>
      <c r="D38" s="12" t="s">
        <v>70</v>
      </c>
      <c r="E38" s="13">
        <v>8</v>
      </c>
      <c r="F38" s="14">
        <f t="shared" si="0"/>
        <v>5.76470588235294</v>
      </c>
      <c r="G38" s="15">
        <f t="shared" si="1"/>
        <v>0.85</v>
      </c>
      <c r="H38" s="16">
        <v>4.9</v>
      </c>
      <c r="I38" s="16">
        <f t="shared" si="3"/>
        <v>39.2</v>
      </c>
      <c r="J38" s="12"/>
    </row>
    <row r="39" s="4" customFormat="1" ht="16" customHeight="1" spans="1:10">
      <c r="A39" s="12">
        <v>34</v>
      </c>
      <c r="B39" s="12" t="s">
        <v>46</v>
      </c>
      <c r="C39" s="12" t="s">
        <v>72</v>
      </c>
      <c r="D39" s="12" t="s">
        <v>70</v>
      </c>
      <c r="E39" s="13">
        <v>5</v>
      </c>
      <c r="F39" s="14">
        <f t="shared" ref="F39:F71" si="4">H39/0.85</f>
        <v>17.6470588235294</v>
      </c>
      <c r="G39" s="15">
        <f t="shared" ref="G39:G71" si="5">H39/F39</f>
        <v>0.85</v>
      </c>
      <c r="H39" s="16">
        <v>15</v>
      </c>
      <c r="I39" s="16">
        <f t="shared" si="3"/>
        <v>75</v>
      </c>
      <c r="J39" s="12"/>
    </row>
    <row r="40" s="4" customFormat="1" ht="16" customHeight="1" spans="1:10">
      <c r="A40" s="12">
        <v>35</v>
      </c>
      <c r="B40" s="12" t="s">
        <v>107</v>
      </c>
      <c r="C40" s="12" t="s">
        <v>72</v>
      </c>
      <c r="D40" s="12" t="s">
        <v>70</v>
      </c>
      <c r="E40" s="13">
        <v>5</v>
      </c>
      <c r="F40" s="14">
        <f t="shared" si="4"/>
        <v>8</v>
      </c>
      <c r="G40" s="15">
        <f t="shared" si="5"/>
        <v>0.85</v>
      </c>
      <c r="H40" s="16">
        <v>6.8</v>
      </c>
      <c r="I40" s="16">
        <f t="shared" si="3"/>
        <v>34</v>
      </c>
      <c r="J40" s="12"/>
    </row>
    <row r="41" s="4" customFormat="1" ht="16" customHeight="1" spans="1:10">
      <c r="A41" s="12">
        <v>36</v>
      </c>
      <c r="B41" s="12" t="s">
        <v>108</v>
      </c>
      <c r="C41" s="12" t="s">
        <v>109</v>
      </c>
      <c r="D41" s="12" t="s">
        <v>15</v>
      </c>
      <c r="E41" s="13">
        <v>10</v>
      </c>
      <c r="F41" s="14">
        <f t="shared" si="4"/>
        <v>7.05882352941176</v>
      </c>
      <c r="G41" s="15">
        <f t="shared" si="5"/>
        <v>0.85</v>
      </c>
      <c r="H41" s="16">
        <v>6</v>
      </c>
      <c r="I41" s="16">
        <f t="shared" si="3"/>
        <v>60</v>
      </c>
      <c r="J41" s="12"/>
    </row>
    <row r="42" s="4" customFormat="1" ht="16" customHeight="1" spans="1:10">
      <c r="A42" s="12">
        <v>37</v>
      </c>
      <c r="B42" s="27" t="s">
        <v>110</v>
      </c>
      <c r="C42" s="12" t="s">
        <v>111</v>
      </c>
      <c r="D42" s="12" t="s">
        <v>112</v>
      </c>
      <c r="E42" s="13">
        <v>1</v>
      </c>
      <c r="F42" s="14">
        <f t="shared" si="4"/>
        <v>235.294117647059</v>
      </c>
      <c r="G42" s="15">
        <f t="shared" si="5"/>
        <v>0.85</v>
      </c>
      <c r="H42" s="16">
        <v>200</v>
      </c>
      <c r="I42" s="16">
        <f t="shared" si="3"/>
        <v>200</v>
      </c>
      <c r="J42" s="12"/>
    </row>
    <row r="43" s="4" customFormat="1" ht="16" customHeight="1" spans="1:10">
      <c r="A43" s="12">
        <v>38</v>
      </c>
      <c r="B43" s="12" t="s">
        <v>113</v>
      </c>
      <c r="C43" s="12" t="s">
        <v>72</v>
      </c>
      <c r="D43" s="12" t="s">
        <v>70</v>
      </c>
      <c r="E43" s="13">
        <v>3</v>
      </c>
      <c r="F43" s="14">
        <f t="shared" si="4"/>
        <v>30.5882352941176</v>
      </c>
      <c r="G43" s="15">
        <f t="shared" si="5"/>
        <v>0.85</v>
      </c>
      <c r="H43" s="16">
        <v>26</v>
      </c>
      <c r="I43" s="16">
        <f t="shared" si="3"/>
        <v>78</v>
      </c>
      <c r="J43" s="12"/>
    </row>
    <row r="44" s="4" customFormat="1" ht="16" customHeight="1" spans="1:10">
      <c r="A44" s="12">
        <v>39</v>
      </c>
      <c r="B44" s="12" t="s">
        <v>114</v>
      </c>
      <c r="C44" s="12" t="s">
        <v>115</v>
      </c>
      <c r="D44" s="12" t="s">
        <v>91</v>
      </c>
      <c r="E44" s="13">
        <v>1</v>
      </c>
      <c r="F44" s="14">
        <f t="shared" si="4"/>
        <v>170.588235294118</v>
      </c>
      <c r="G44" s="15">
        <f t="shared" si="5"/>
        <v>0.85</v>
      </c>
      <c r="H44" s="16">
        <v>145</v>
      </c>
      <c r="I44" s="16">
        <f t="shared" si="3"/>
        <v>145</v>
      </c>
      <c r="J44" s="12"/>
    </row>
    <row r="45" s="4" customFormat="1" ht="16" customHeight="1" spans="1:10">
      <c r="A45" s="12">
        <v>40</v>
      </c>
      <c r="B45" s="12" t="s">
        <v>116</v>
      </c>
      <c r="C45" s="12" t="s">
        <v>115</v>
      </c>
      <c r="D45" s="12" t="s">
        <v>117</v>
      </c>
      <c r="E45" s="13">
        <v>1</v>
      </c>
      <c r="F45" s="14">
        <f t="shared" si="4"/>
        <v>152.941176470588</v>
      </c>
      <c r="G45" s="15">
        <f t="shared" si="5"/>
        <v>0.85</v>
      </c>
      <c r="H45" s="16">
        <v>130</v>
      </c>
      <c r="I45" s="16">
        <f t="shared" si="3"/>
        <v>130</v>
      </c>
      <c r="J45" s="12"/>
    </row>
    <row r="46" s="4" customFormat="1" ht="16" customHeight="1" spans="1:10">
      <c r="A46" s="12">
        <v>41</v>
      </c>
      <c r="B46" s="12" t="s">
        <v>118</v>
      </c>
      <c r="C46" s="12" t="s">
        <v>119</v>
      </c>
      <c r="D46" s="12" t="s">
        <v>91</v>
      </c>
      <c r="E46" s="13">
        <v>1</v>
      </c>
      <c r="F46" s="14">
        <f t="shared" si="4"/>
        <v>97.6470588235294</v>
      </c>
      <c r="G46" s="15">
        <f t="shared" si="5"/>
        <v>0.85</v>
      </c>
      <c r="H46" s="16">
        <v>83</v>
      </c>
      <c r="I46" s="16">
        <f t="shared" si="3"/>
        <v>83</v>
      </c>
      <c r="J46" s="12"/>
    </row>
    <row r="47" s="4" customFormat="1" ht="16" customHeight="1" spans="1:10">
      <c r="A47" s="12">
        <v>42</v>
      </c>
      <c r="B47" s="12" t="s">
        <v>120</v>
      </c>
      <c r="C47" s="12" t="s">
        <v>121</v>
      </c>
      <c r="D47" s="12" t="s">
        <v>55</v>
      </c>
      <c r="E47" s="13">
        <v>6</v>
      </c>
      <c r="F47" s="14">
        <f t="shared" si="4"/>
        <v>31.7647058823529</v>
      </c>
      <c r="G47" s="15">
        <f t="shared" si="5"/>
        <v>0.85</v>
      </c>
      <c r="H47" s="16">
        <v>27</v>
      </c>
      <c r="I47" s="16">
        <f t="shared" si="3"/>
        <v>162</v>
      </c>
      <c r="J47" s="12"/>
    </row>
    <row r="48" s="4" customFormat="1" ht="16" customHeight="1" spans="1:10">
      <c r="A48" s="12">
        <v>43</v>
      </c>
      <c r="B48" s="12" t="s">
        <v>122</v>
      </c>
      <c r="C48" s="12" t="s">
        <v>72</v>
      </c>
      <c r="D48" s="12" t="s">
        <v>70</v>
      </c>
      <c r="E48" s="13">
        <v>2</v>
      </c>
      <c r="F48" s="14">
        <f t="shared" si="4"/>
        <v>18.8235294117647</v>
      </c>
      <c r="G48" s="15">
        <f t="shared" si="5"/>
        <v>0.85</v>
      </c>
      <c r="H48" s="16">
        <v>16</v>
      </c>
      <c r="I48" s="16">
        <f t="shared" ref="I48:I71" si="6">E48*H48</f>
        <v>32</v>
      </c>
      <c r="J48" s="12"/>
    </row>
    <row r="49" s="4" customFormat="1" ht="16" customHeight="1" spans="1:10">
      <c r="A49" s="12">
        <v>44</v>
      </c>
      <c r="B49" s="12" t="s">
        <v>123</v>
      </c>
      <c r="C49" s="12"/>
      <c r="D49" s="12" t="s">
        <v>91</v>
      </c>
      <c r="E49" s="13">
        <v>1</v>
      </c>
      <c r="F49" s="14">
        <f t="shared" si="4"/>
        <v>141.176470588235</v>
      </c>
      <c r="G49" s="15">
        <f t="shared" si="5"/>
        <v>0.85</v>
      </c>
      <c r="H49" s="16">
        <v>120</v>
      </c>
      <c r="I49" s="16">
        <f t="shared" si="6"/>
        <v>120</v>
      </c>
      <c r="J49" s="12"/>
    </row>
    <row r="50" s="4" customFormat="1" ht="16" customHeight="1" spans="1:10">
      <c r="A50" s="12">
        <v>45</v>
      </c>
      <c r="B50" s="12" t="s">
        <v>124</v>
      </c>
      <c r="C50" s="12" t="s">
        <v>125</v>
      </c>
      <c r="D50" s="12" t="s">
        <v>101</v>
      </c>
      <c r="E50" s="13">
        <v>2</v>
      </c>
      <c r="F50" s="14">
        <f t="shared" si="4"/>
        <v>97.6470588235294</v>
      </c>
      <c r="G50" s="15">
        <f t="shared" si="5"/>
        <v>0.85</v>
      </c>
      <c r="H50" s="16">
        <v>83</v>
      </c>
      <c r="I50" s="16">
        <f t="shared" si="6"/>
        <v>166</v>
      </c>
      <c r="J50" s="12"/>
    </row>
    <row r="51" s="4" customFormat="1" ht="16" customHeight="1" spans="1:10">
      <c r="A51" s="12">
        <v>46</v>
      </c>
      <c r="B51" s="12" t="s">
        <v>126</v>
      </c>
      <c r="C51" s="12" t="s">
        <v>127</v>
      </c>
      <c r="D51" s="12" t="s">
        <v>15</v>
      </c>
      <c r="E51" s="13">
        <v>5</v>
      </c>
      <c r="F51" s="14">
        <f t="shared" si="4"/>
        <v>25.8823529411765</v>
      </c>
      <c r="G51" s="15">
        <f t="shared" si="5"/>
        <v>0.85</v>
      </c>
      <c r="H51" s="16">
        <v>22</v>
      </c>
      <c r="I51" s="16">
        <f t="shared" si="6"/>
        <v>110</v>
      </c>
      <c r="J51" s="12"/>
    </row>
    <row r="52" s="4" customFormat="1" ht="16" customHeight="1" spans="1:10">
      <c r="A52" s="12">
        <v>47</v>
      </c>
      <c r="B52" s="27" t="s">
        <v>128</v>
      </c>
      <c r="C52" s="12" t="s">
        <v>129</v>
      </c>
      <c r="D52" s="12" t="s">
        <v>101</v>
      </c>
      <c r="E52" s="13">
        <v>5</v>
      </c>
      <c r="F52" s="14">
        <f t="shared" si="4"/>
        <v>10.5882352941176</v>
      </c>
      <c r="G52" s="15">
        <f t="shared" si="5"/>
        <v>0.85</v>
      </c>
      <c r="H52" s="16">
        <v>9</v>
      </c>
      <c r="I52" s="16">
        <f t="shared" si="6"/>
        <v>45</v>
      </c>
      <c r="J52" s="12"/>
    </row>
    <row r="53" s="4" customFormat="1" ht="16" customHeight="1" spans="1:10">
      <c r="A53" s="12">
        <v>48</v>
      </c>
      <c r="B53" s="12" t="s">
        <v>130</v>
      </c>
      <c r="C53" s="27" t="s">
        <v>131</v>
      </c>
      <c r="D53" s="12" t="s">
        <v>101</v>
      </c>
      <c r="E53" s="13">
        <v>20</v>
      </c>
      <c r="F53" s="14">
        <f t="shared" si="4"/>
        <v>1.17647058823529</v>
      </c>
      <c r="G53" s="15">
        <f t="shared" si="5"/>
        <v>0.85</v>
      </c>
      <c r="H53" s="16">
        <v>1</v>
      </c>
      <c r="I53" s="16">
        <f t="shared" si="6"/>
        <v>20</v>
      </c>
      <c r="J53" s="12"/>
    </row>
    <row r="54" s="4" customFormat="1" ht="16" customHeight="1" spans="1:10">
      <c r="A54" s="12">
        <v>49</v>
      </c>
      <c r="B54" s="12" t="s">
        <v>132</v>
      </c>
      <c r="C54" s="12" t="s">
        <v>133</v>
      </c>
      <c r="D54" s="12" t="s">
        <v>101</v>
      </c>
      <c r="E54" s="13">
        <v>10</v>
      </c>
      <c r="F54" s="14">
        <f t="shared" si="4"/>
        <v>11.5294117647059</v>
      </c>
      <c r="G54" s="15">
        <f t="shared" si="5"/>
        <v>0.85</v>
      </c>
      <c r="H54" s="16">
        <v>9.8</v>
      </c>
      <c r="I54" s="16">
        <f t="shared" si="6"/>
        <v>98</v>
      </c>
      <c r="J54" s="12"/>
    </row>
    <row r="55" s="4" customFormat="1" ht="16" customHeight="1" spans="1:10">
      <c r="A55" s="12">
        <v>50</v>
      </c>
      <c r="B55" s="12" t="s">
        <v>134</v>
      </c>
      <c r="C55" s="12" t="s">
        <v>135</v>
      </c>
      <c r="D55" s="12" t="s">
        <v>13</v>
      </c>
      <c r="E55" s="13">
        <v>10</v>
      </c>
      <c r="F55" s="14">
        <f t="shared" si="4"/>
        <v>10</v>
      </c>
      <c r="G55" s="15">
        <f t="shared" si="5"/>
        <v>0.85</v>
      </c>
      <c r="H55" s="16">
        <v>8.5</v>
      </c>
      <c r="I55" s="16">
        <f t="shared" si="6"/>
        <v>85</v>
      </c>
      <c r="J55" s="12"/>
    </row>
    <row r="56" s="4" customFormat="1" ht="16" customHeight="1" spans="1:10">
      <c r="A56" s="12">
        <v>51</v>
      </c>
      <c r="B56" s="12" t="s">
        <v>136</v>
      </c>
      <c r="C56" s="12"/>
      <c r="D56" s="12" t="s">
        <v>91</v>
      </c>
      <c r="E56" s="13">
        <v>1</v>
      </c>
      <c r="F56" s="14">
        <f t="shared" si="4"/>
        <v>76.4705882352941</v>
      </c>
      <c r="G56" s="15">
        <f t="shared" si="5"/>
        <v>0.85</v>
      </c>
      <c r="H56" s="16">
        <v>65</v>
      </c>
      <c r="I56" s="16">
        <f t="shared" si="6"/>
        <v>65</v>
      </c>
      <c r="J56" s="12"/>
    </row>
    <row r="57" s="4" customFormat="1" ht="16" customHeight="1" spans="1:10">
      <c r="A57" s="12">
        <v>52</v>
      </c>
      <c r="B57" s="12" t="s">
        <v>137</v>
      </c>
      <c r="C57" s="12" t="s">
        <v>138</v>
      </c>
      <c r="D57" s="12" t="s">
        <v>15</v>
      </c>
      <c r="E57" s="13">
        <v>5</v>
      </c>
      <c r="F57" s="14">
        <f t="shared" si="4"/>
        <v>14.1176470588235</v>
      </c>
      <c r="G57" s="15">
        <f t="shared" si="5"/>
        <v>0.85</v>
      </c>
      <c r="H57" s="16">
        <v>12</v>
      </c>
      <c r="I57" s="16">
        <f t="shared" si="6"/>
        <v>60</v>
      </c>
      <c r="J57" s="12"/>
    </row>
    <row r="58" s="4" customFormat="1" ht="16" customHeight="1" spans="1:10">
      <c r="A58" s="12">
        <v>53</v>
      </c>
      <c r="B58" s="12" t="s">
        <v>139</v>
      </c>
      <c r="C58" s="12" t="s">
        <v>140</v>
      </c>
      <c r="D58" s="12" t="s">
        <v>101</v>
      </c>
      <c r="E58" s="13">
        <v>1</v>
      </c>
      <c r="F58" s="14">
        <f t="shared" si="4"/>
        <v>38.8235294117647</v>
      </c>
      <c r="G58" s="15">
        <f t="shared" si="5"/>
        <v>0.85</v>
      </c>
      <c r="H58" s="16">
        <v>33</v>
      </c>
      <c r="I58" s="16">
        <f t="shared" si="6"/>
        <v>33</v>
      </c>
      <c r="J58" s="12"/>
    </row>
    <row r="59" s="4" customFormat="1" ht="16" customHeight="1" spans="1:10">
      <c r="A59" s="12">
        <v>54</v>
      </c>
      <c r="B59" s="12" t="s">
        <v>141</v>
      </c>
      <c r="C59" s="12" t="s">
        <v>142</v>
      </c>
      <c r="D59" s="12" t="s">
        <v>101</v>
      </c>
      <c r="E59" s="13">
        <v>5</v>
      </c>
      <c r="F59" s="14">
        <f t="shared" si="4"/>
        <v>35.5294117647059</v>
      </c>
      <c r="G59" s="15">
        <f t="shared" si="5"/>
        <v>0.85</v>
      </c>
      <c r="H59" s="16">
        <v>30.2</v>
      </c>
      <c r="I59" s="16">
        <f t="shared" si="6"/>
        <v>151</v>
      </c>
      <c r="J59" s="12"/>
    </row>
    <row r="60" s="4" customFormat="1" ht="16" customHeight="1" spans="1:10">
      <c r="A60" s="12">
        <v>55</v>
      </c>
      <c r="B60" s="12" t="s">
        <v>143</v>
      </c>
      <c r="C60" s="12" t="s">
        <v>144</v>
      </c>
      <c r="D60" s="12" t="s">
        <v>15</v>
      </c>
      <c r="E60" s="13">
        <v>2</v>
      </c>
      <c r="F60" s="14">
        <f t="shared" si="4"/>
        <v>10</v>
      </c>
      <c r="G60" s="15">
        <f t="shared" si="5"/>
        <v>0.85</v>
      </c>
      <c r="H60" s="16">
        <v>8.5</v>
      </c>
      <c r="I60" s="16">
        <f t="shared" si="6"/>
        <v>17</v>
      </c>
      <c r="J60" s="12"/>
    </row>
    <row r="61" s="4" customFormat="1" ht="16" customHeight="1" spans="1:10">
      <c r="A61" s="12">
        <v>56</v>
      </c>
      <c r="B61" s="12" t="s">
        <v>145</v>
      </c>
      <c r="C61" s="12" t="s">
        <v>146</v>
      </c>
      <c r="D61" s="12" t="s">
        <v>13</v>
      </c>
      <c r="E61" s="13">
        <v>10</v>
      </c>
      <c r="F61" s="14">
        <f t="shared" si="4"/>
        <v>8</v>
      </c>
      <c r="G61" s="15">
        <f t="shared" si="5"/>
        <v>0.85</v>
      </c>
      <c r="H61" s="16">
        <v>6.8</v>
      </c>
      <c r="I61" s="16">
        <f t="shared" si="6"/>
        <v>68</v>
      </c>
      <c r="J61" s="12"/>
    </row>
    <row r="62" s="4" customFormat="1" ht="16" customHeight="1" spans="1:10">
      <c r="A62" s="12">
        <v>57</v>
      </c>
      <c r="B62" s="27" t="s">
        <v>147</v>
      </c>
      <c r="C62" s="12" t="s">
        <v>148</v>
      </c>
      <c r="D62" s="12" t="s">
        <v>112</v>
      </c>
      <c r="E62" s="13">
        <v>1</v>
      </c>
      <c r="F62" s="14">
        <f t="shared" si="4"/>
        <v>14.1176470588235</v>
      </c>
      <c r="G62" s="15">
        <f t="shared" si="5"/>
        <v>0.85</v>
      </c>
      <c r="H62" s="16">
        <v>12</v>
      </c>
      <c r="I62" s="16">
        <f t="shared" si="6"/>
        <v>12</v>
      </c>
      <c r="J62" s="12"/>
    </row>
    <row r="63" s="4" customFormat="1" ht="16" customHeight="1" spans="1:10">
      <c r="A63" s="12">
        <v>58</v>
      </c>
      <c r="B63" s="12" t="s">
        <v>149</v>
      </c>
      <c r="C63" s="12" t="s">
        <v>150</v>
      </c>
      <c r="D63" s="12" t="s">
        <v>101</v>
      </c>
      <c r="E63" s="13">
        <v>10</v>
      </c>
      <c r="F63" s="14">
        <f t="shared" si="4"/>
        <v>2.11764705882353</v>
      </c>
      <c r="G63" s="15">
        <f t="shared" si="5"/>
        <v>0.85</v>
      </c>
      <c r="H63" s="16">
        <v>1.8</v>
      </c>
      <c r="I63" s="16">
        <f t="shared" si="6"/>
        <v>18</v>
      </c>
      <c r="J63" s="12"/>
    </row>
    <row r="64" s="4" customFormat="1" ht="16" customHeight="1" spans="1:10">
      <c r="A64" s="12">
        <v>59</v>
      </c>
      <c r="B64" s="12" t="s">
        <v>151</v>
      </c>
      <c r="C64" s="12" t="s">
        <v>72</v>
      </c>
      <c r="D64" s="12" t="s">
        <v>70</v>
      </c>
      <c r="E64" s="13">
        <v>5</v>
      </c>
      <c r="F64" s="14">
        <f t="shared" si="4"/>
        <v>5.29411764705882</v>
      </c>
      <c r="G64" s="15">
        <f t="shared" si="5"/>
        <v>0.85</v>
      </c>
      <c r="H64" s="16">
        <v>4.5</v>
      </c>
      <c r="I64" s="16">
        <f t="shared" si="6"/>
        <v>22.5</v>
      </c>
      <c r="J64" s="12"/>
    </row>
    <row r="65" s="4" customFormat="1" ht="16" customHeight="1" spans="1:10">
      <c r="A65" s="12">
        <v>60</v>
      </c>
      <c r="B65" s="12" t="s">
        <v>152</v>
      </c>
      <c r="C65" s="12" t="s">
        <v>153</v>
      </c>
      <c r="D65" s="12" t="s">
        <v>91</v>
      </c>
      <c r="E65" s="13">
        <v>1</v>
      </c>
      <c r="F65" s="14">
        <f t="shared" si="4"/>
        <v>421.176470588235</v>
      </c>
      <c r="G65" s="15">
        <f t="shared" si="5"/>
        <v>0.85</v>
      </c>
      <c r="H65" s="16">
        <v>358</v>
      </c>
      <c r="I65" s="16">
        <f t="shared" si="6"/>
        <v>358</v>
      </c>
      <c r="J65" s="12"/>
    </row>
    <row r="66" s="4" customFormat="1" ht="16" customHeight="1" spans="1:10">
      <c r="A66" s="12">
        <v>61</v>
      </c>
      <c r="B66" s="12" t="s">
        <v>154</v>
      </c>
      <c r="C66" s="12"/>
      <c r="D66" s="12" t="s">
        <v>70</v>
      </c>
      <c r="E66" s="13">
        <v>7.7</v>
      </c>
      <c r="F66" s="14">
        <f t="shared" si="4"/>
        <v>103.529411764706</v>
      </c>
      <c r="G66" s="15">
        <f t="shared" si="5"/>
        <v>0.85</v>
      </c>
      <c r="H66" s="16">
        <v>88</v>
      </c>
      <c r="I66" s="16">
        <f t="shared" si="6"/>
        <v>677.6</v>
      </c>
      <c r="J66" s="12"/>
    </row>
    <row r="67" s="4" customFormat="1" ht="16" customHeight="1" spans="1:10">
      <c r="A67" s="12">
        <v>62</v>
      </c>
      <c r="B67" s="12" t="s">
        <v>155</v>
      </c>
      <c r="C67" s="12" t="s">
        <v>156</v>
      </c>
      <c r="D67" s="12" t="s">
        <v>91</v>
      </c>
      <c r="E67" s="13">
        <v>1</v>
      </c>
      <c r="F67" s="14">
        <f t="shared" si="4"/>
        <v>500</v>
      </c>
      <c r="G67" s="15">
        <f t="shared" si="5"/>
        <v>0.85</v>
      </c>
      <c r="H67" s="16">
        <v>425</v>
      </c>
      <c r="I67" s="16">
        <f t="shared" si="6"/>
        <v>425</v>
      </c>
      <c r="J67" s="12"/>
    </row>
    <row r="68" s="4" customFormat="1" ht="16" customHeight="1" spans="1:10">
      <c r="A68" s="12">
        <v>63</v>
      </c>
      <c r="B68" s="12" t="s">
        <v>157</v>
      </c>
      <c r="C68" s="12" t="s">
        <v>158</v>
      </c>
      <c r="D68" s="12" t="s">
        <v>101</v>
      </c>
      <c r="E68" s="13">
        <v>1</v>
      </c>
      <c r="F68" s="14">
        <f t="shared" si="4"/>
        <v>174.117647058824</v>
      </c>
      <c r="G68" s="15">
        <f t="shared" si="5"/>
        <v>0.85</v>
      </c>
      <c r="H68" s="16">
        <v>148</v>
      </c>
      <c r="I68" s="16">
        <f t="shared" si="6"/>
        <v>148</v>
      </c>
      <c r="J68" s="12"/>
    </row>
    <row r="69" s="4" customFormat="1" ht="16" customHeight="1" spans="1:10">
      <c r="A69" s="12">
        <v>64</v>
      </c>
      <c r="B69" s="12" t="s">
        <v>159</v>
      </c>
      <c r="C69" s="12" t="s">
        <v>160</v>
      </c>
      <c r="D69" s="12" t="s">
        <v>101</v>
      </c>
      <c r="E69" s="13">
        <v>1</v>
      </c>
      <c r="F69" s="14">
        <f t="shared" si="4"/>
        <v>103.529411764706</v>
      </c>
      <c r="G69" s="15">
        <f t="shared" si="5"/>
        <v>0.85</v>
      </c>
      <c r="H69" s="16">
        <v>88</v>
      </c>
      <c r="I69" s="16">
        <f t="shared" si="6"/>
        <v>88</v>
      </c>
      <c r="J69" s="12"/>
    </row>
    <row r="70" s="4" customFormat="1" ht="16" customHeight="1" spans="1:10">
      <c r="A70" s="12">
        <v>65</v>
      </c>
      <c r="B70" s="12" t="s">
        <v>161</v>
      </c>
      <c r="C70" s="12" t="s">
        <v>162</v>
      </c>
      <c r="D70" s="12" t="s">
        <v>70</v>
      </c>
      <c r="E70" s="13">
        <v>10</v>
      </c>
      <c r="F70" s="14">
        <f t="shared" si="4"/>
        <v>5.76470588235294</v>
      </c>
      <c r="G70" s="15">
        <f t="shared" si="5"/>
        <v>0.85</v>
      </c>
      <c r="H70" s="16">
        <v>4.9</v>
      </c>
      <c r="I70" s="16">
        <f t="shared" si="6"/>
        <v>49</v>
      </c>
      <c r="J70" s="12"/>
    </row>
    <row r="71" s="4" customFormat="1" customHeight="1" spans="1:10">
      <c r="A71" s="12" t="s">
        <v>61</v>
      </c>
      <c r="B71" s="20">
        <f>SUM(I6:I70)</f>
        <v>5901.4</v>
      </c>
      <c r="C71" s="21"/>
      <c r="D71" s="21"/>
      <c r="E71" s="21"/>
      <c r="F71" s="21"/>
      <c r="G71" s="21"/>
      <c r="H71" s="21"/>
      <c r="I71" s="21"/>
      <c r="J71" s="25"/>
    </row>
    <row r="72" s="4" customFormat="1" customHeight="1" spans="1:10">
      <c r="A72" s="12" t="s">
        <v>62</v>
      </c>
      <c r="B72" s="23">
        <f>B71</f>
        <v>5901.4</v>
      </c>
      <c r="C72" s="24"/>
      <c r="D72" s="24"/>
      <c r="E72" s="24"/>
      <c r="F72" s="24"/>
      <c r="G72" s="24"/>
      <c r="H72" s="24"/>
      <c r="I72" s="24"/>
      <c r="J72" s="26"/>
    </row>
    <row r="73" s="4" customFormat="1" customHeight="1" spans="1:1">
      <c r="A73" s="4" t="s">
        <v>63</v>
      </c>
    </row>
  </sheetData>
  <mergeCells count="4">
    <mergeCell ref="A1:J1"/>
    <mergeCell ref="B71:J71"/>
    <mergeCell ref="B72:J72"/>
    <mergeCell ref="A73:J73"/>
  </mergeCells>
  <conditionalFormatting sqref="B6:B70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60625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3"/>
  <sheetViews>
    <sheetView topLeftCell="A20" workbookViewId="0">
      <selection activeCell="I20" sqref="I$1:I$1048576"/>
    </sheetView>
  </sheetViews>
  <sheetFormatPr defaultColWidth="9" defaultRowHeight="13.5"/>
  <cols>
    <col min="2" max="2" width="15.625" customWidth="1"/>
    <col min="4" max="4" width="5.125" customWidth="1"/>
    <col min="5" max="5" width="6.875" customWidth="1"/>
    <col min="7" max="7" width="7.5" customWidth="1"/>
    <col min="8" max="8" width="7.375" customWidth="1"/>
  </cols>
  <sheetData>
    <row r="1" ht="20.25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.25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4" t="s">
        <v>163</v>
      </c>
      <c r="B3" s="4" t="s">
        <v>164</v>
      </c>
      <c r="C3" s="4"/>
      <c r="D3" s="4"/>
      <c r="E3" s="4"/>
      <c r="F3" s="4"/>
      <c r="G3" s="4"/>
      <c r="H3" s="4"/>
      <c r="I3" s="4"/>
      <c r="J3" s="4"/>
    </row>
    <row r="4" spans="1:10">
      <c r="A4" s="4" t="s">
        <v>165</v>
      </c>
      <c r="B4" s="9">
        <v>45110</v>
      </c>
      <c r="C4" s="9"/>
      <c r="D4" s="10"/>
      <c r="E4" s="10"/>
      <c r="F4" s="10"/>
      <c r="G4" s="10"/>
      <c r="H4" s="9"/>
      <c r="I4" s="9"/>
      <c r="J4" s="9"/>
    </row>
    <row r="5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pans="1:10">
      <c r="A6" s="12">
        <v>1</v>
      </c>
      <c r="B6" s="12" t="s">
        <v>166</v>
      </c>
      <c r="C6" s="12"/>
      <c r="D6" s="13" t="s">
        <v>70</v>
      </c>
      <c r="E6" s="13">
        <v>11</v>
      </c>
      <c r="F6" s="14">
        <f t="shared" ref="F6:F41" si="0">H6/0.85</f>
        <v>3.52941176470588</v>
      </c>
      <c r="G6" s="15">
        <f t="shared" ref="G6:G41" si="1">H6/F6</f>
        <v>0.85</v>
      </c>
      <c r="H6" s="16">
        <v>3</v>
      </c>
      <c r="I6" s="16">
        <f t="shared" ref="I6:I41" si="2">E6*H6</f>
        <v>33</v>
      </c>
      <c r="J6" s="12"/>
    </row>
    <row r="7" spans="1:10">
      <c r="A7" s="12">
        <v>2</v>
      </c>
      <c r="B7" s="12" t="s">
        <v>75</v>
      </c>
      <c r="C7" s="12"/>
      <c r="D7" s="13" t="s">
        <v>70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pans="1:10">
      <c r="A8" s="12">
        <v>3</v>
      </c>
      <c r="B8" s="12" t="s">
        <v>77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pans="1:10">
      <c r="A9" s="12">
        <v>4</v>
      </c>
      <c r="B9" s="17" t="s">
        <v>167</v>
      </c>
      <c r="C9" s="17"/>
      <c r="D9" s="13" t="s">
        <v>70</v>
      </c>
      <c r="E9" s="13">
        <v>12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45.6</v>
      </c>
      <c r="J9" s="12"/>
    </row>
    <row r="10" spans="1:10">
      <c r="A10" s="12">
        <v>5</v>
      </c>
      <c r="B10" s="17" t="s">
        <v>168</v>
      </c>
      <c r="C10" s="17"/>
      <c r="D10" s="13" t="s">
        <v>70</v>
      </c>
      <c r="E10" s="13">
        <v>4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31.2</v>
      </c>
      <c r="J10" s="12"/>
    </row>
    <row r="11" spans="1:10">
      <c r="A11" s="12">
        <v>6</v>
      </c>
      <c r="B11" s="12" t="s">
        <v>169</v>
      </c>
      <c r="C11" s="12"/>
      <c r="D11" s="13" t="s">
        <v>70</v>
      </c>
      <c r="E11" s="13">
        <v>5</v>
      </c>
      <c r="F11" s="14">
        <f t="shared" si="0"/>
        <v>8</v>
      </c>
      <c r="G11" s="15">
        <f t="shared" si="1"/>
        <v>0.85</v>
      </c>
      <c r="H11" s="16">
        <v>6.8</v>
      </c>
      <c r="I11" s="16">
        <f t="shared" si="2"/>
        <v>34</v>
      </c>
      <c r="J11" s="12"/>
    </row>
    <row r="12" spans="1:10">
      <c r="A12" s="12">
        <v>7</v>
      </c>
      <c r="B12" s="12" t="s">
        <v>170</v>
      </c>
      <c r="C12" s="12"/>
      <c r="D12" s="13" t="s">
        <v>70</v>
      </c>
      <c r="E12" s="13">
        <v>10</v>
      </c>
      <c r="F12" s="14">
        <f t="shared" si="0"/>
        <v>4.11764705882353</v>
      </c>
      <c r="G12" s="15">
        <f t="shared" si="1"/>
        <v>0.85</v>
      </c>
      <c r="H12" s="16">
        <v>3.5</v>
      </c>
      <c r="I12" s="16">
        <f t="shared" si="2"/>
        <v>35</v>
      </c>
      <c r="J12" s="12"/>
    </row>
    <row r="13" spans="1:10">
      <c r="A13" s="12">
        <v>8</v>
      </c>
      <c r="B13" s="12" t="s">
        <v>28</v>
      </c>
      <c r="C13" s="12"/>
      <c r="D13" s="13" t="s">
        <v>70</v>
      </c>
      <c r="E13" s="13">
        <v>5</v>
      </c>
      <c r="F13" s="14">
        <f t="shared" si="0"/>
        <v>9.17647058823529</v>
      </c>
      <c r="G13" s="15">
        <f t="shared" si="1"/>
        <v>0.85</v>
      </c>
      <c r="H13" s="16">
        <v>7.8</v>
      </c>
      <c r="I13" s="16">
        <f t="shared" si="2"/>
        <v>39</v>
      </c>
      <c r="J13" s="12"/>
    </row>
    <row r="14" spans="1:10">
      <c r="A14" s="12">
        <v>9</v>
      </c>
      <c r="B14" s="17" t="s">
        <v>171</v>
      </c>
      <c r="C14" s="17"/>
      <c r="D14" s="18" t="s">
        <v>172</v>
      </c>
      <c r="E14" s="18">
        <v>20</v>
      </c>
      <c r="F14" s="14">
        <f t="shared" si="0"/>
        <v>2.94117647058824</v>
      </c>
      <c r="G14" s="15">
        <f t="shared" si="1"/>
        <v>0.85</v>
      </c>
      <c r="H14" s="19">
        <v>2.5</v>
      </c>
      <c r="I14" s="16">
        <f t="shared" si="2"/>
        <v>50</v>
      </c>
      <c r="J14" s="17"/>
    </row>
    <row r="15" spans="1:10">
      <c r="A15" s="12">
        <v>10</v>
      </c>
      <c r="B15" s="17" t="s">
        <v>29</v>
      </c>
      <c r="C15" s="17"/>
      <c r="D15" s="18" t="s">
        <v>70</v>
      </c>
      <c r="E15" s="18">
        <v>5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19</v>
      </c>
      <c r="J15" s="17"/>
    </row>
    <row r="16" spans="1:10">
      <c r="A16" s="12">
        <v>11</v>
      </c>
      <c r="B16" s="17" t="s">
        <v>173</v>
      </c>
      <c r="C16" s="17"/>
      <c r="D16" s="18" t="s">
        <v>70</v>
      </c>
      <c r="E16" s="18">
        <v>10</v>
      </c>
      <c r="F16" s="14">
        <f t="shared" si="0"/>
        <v>6.82352941176471</v>
      </c>
      <c r="G16" s="15">
        <f t="shared" si="1"/>
        <v>0.85</v>
      </c>
      <c r="H16" s="19">
        <v>5.8</v>
      </c>
      <c r="I16" s="16">
        <f t="shared" si="2"/>
        <v>58</v>
      </c>
      <c r="J16" s="17"/>
    </row>
    <row r="17" spans="1:10">
      <c r="A17" s="12">
        <v>12</v>
      </c>
      <c r="B17" s="17" t="s">
        <v>86</v>
      </c>
      <c r="C17" s="17"/>
      <c r="D17" s="18" t="s">
        <v>70</v>
      </c>
      <c r="E17" s="18">
        <v>18</v>
      </c>
      <c r="F17" s="14">
        <f t="shared" si="0"/>
        <v>4.11764705882353</v>
      </c>
      <c r="G17" s="15">
        <f t="shared" si="1"/>
        <v>0.85</v>
      </c>
      <c r="H17" s="19">
        <v>3.5</v>
      </c>
      <c r="I17" s="16">
        <f t="shared" si="2"/>
        <v>63</v>
      </c>
      <c r="J17" s="17"/>
    </row>
    <row r="18" spans="1:10">
      <c r="A18" s="12">
        <v>13</v>
      </c>
      <c r="B18" s="17" t="s">
        <v>174</v>
      </c>
      <c r="C18" s="17"/>
      <c r="D18" s="18" t="s">
        <v>70</v>
      </c>
      <c r="E18" s="18">
        <v>30</v>
      </c>
      <c r="F18" s="14">
        <f t="shared" si="0"/>
        <v>11.5294117647059</v>
      </c>
      <c r="G18" s="15">
        <f t="shared" si="1"/>
        <v>0.85</v>
      </c>
      <c r="H18" s="19">
        <v>9.8</v>
      </c>
      <c r="I18" s="16">
        <f t="shared" si="2"/>
        <v>294</v>
      </c>
      <c r="J18" s="17"/>
    </row>
    <row r="19" spans="1:10">
      <c r="A19" s="12">
        <v>14</v>
      </c>
      <c r="B19" s="12" t="s">
        <v>88</v>
      </c>
      <c r="C19" s="12"/>
      <c r="D19" s="13" t="s">
        <v>70</v>
      </c>
      <c r="E19" s="13">
        <v>14</v>
      </c>
      <c r="F19" s="14">
        <f t="shared" si="0"/>
        <v>4.11764705882353</v>
      </c>
      <c r="G19" s="15">
        <f t="shared" si="1"/>
        <v>0.85</v>
      </c>
      <c r="H19" s="16">
        <v>3.5</v>
      </c>
      <c r="I19" s="16">
        <f t="shared" si="2"/>
        <v>49</v>
      </c>
      <c r="J19" s="12"/>
    </row>
    <row r="20" spans="1:10">
      <c r="A20" s="12">
        <v>15</v>
      </c>
      <c r="B20" s="17" t="s">
        <v>175</v>
      </c>
      <c r="C20" s="17"/>
      <c r="D20" s="18" t="s">
        <v>70</v>
      </c>
      <c r="E20" s="18">
        <v>12</v>
      </c>
      <c r="F20" s="14">
        <f t="shared" si="0"/>
        <v>25.8823529411765</v>
      </c>
      <c r="G20" s="15">
        <f t="shared" si="1"/>
        <v>0.85</v>
      </c>
      <c r="H20" s="19">
        <v>22</v>
      </c>
      <c r="I20" s="16">
        <f t="shared" si="2"/>
        <v>264</v>
      </c>
      <c r="J20" s="17"/>
    </row>
    <row r="21" spans="1:10">
      <c r="A21" s="12">
        <v>16</v>
      </c>
      <c r="B21" s="17" t="s">
        <v>176</v>
      </c>
      <c r="C21" s="17"/>
      <c r="D21" s="18" t="s">
        <v>70</v>
      </c>
      <c r="E21" s="18">
        <v>10.1</v>
      </c>
      <c r="F21" s="14">
        <f t="shared" si="0"/>
        <v>17.6470588235294</v>
      </c>
      <c r="G21" s="15">
        <f t="shared" si="1"/>
        <v>0.85</v>
      </c>
      <c r="H21" s="19">
        <v>15</v>
      </c>
      <c r="I21" s="16">
        <f t="shared" si="2"/>
        <v>151.5</v>
      </c>
      <c r="J21" s="17"/>
    </row>
    <row r="22" spans="1:10">
      <c r="A22" s="12">
        <v>17</v>
      </c>
      <c r="B22" s="17" t="s">
        <v>94</v>
      </c>
      <c r="C22" s="17"/>
      <c r="D22" s="18" t="s">
        <v>70</v>
      </c>
      <c r="E22" s="18">
        <v>3</v>
      </c>
      <c r="F22" s="14">
        <f t="shared" si="0"/>
        <v>23.5294117647059</v>
      </c>
      <c r="G22" s="15">
        <f t="shared" si="1"/>
        <v>0.85</v>
      </c>
      <c r="H22" s="19">
        <v>20</v>
      </c>
      <c r="I22" s="16">
        <f t="shared" si="2"/>
        <v>60</v>
      </c>
      <c r="J22" s="17"/>
    </row>
    <row r="23" spans="1:10">
      <c r="A23" s="12">
        <v>18</v>
      </c>
      <c r="B23" s="17" t="s">
        <v>96</v>
      </c>
      <c r="C23" s="17"/>
      <c r="D23" s="17" t="s">
        <v>70</v>
      </c>
      <c r="E23" s="18">
        <v>5</v>
      </c>
      <c r="F23" s="14">
        <f t="shared" si="0"/>
        <v>28.2352941176471</v>
      </c>
      <c r="G23" s="15">
        <f t="shared" si="1"/>
        <v>0.85</v>
      </c>
      <c r="H23" s="19">
        <v>24</v>
      </c>
      <c r="I23" s="16">
        <f t="shared" si="2"/>
        <v>120</v>
      </c>
      <c r="J23" s="17"/>
    </row>
    <row r="24" spans="1:10">
      <c r="A24" s="12">
        <v>19</v>
      </c>
      <c r="B24" s="17" t="s">
        <v>97</v>
      </c>
      <c r="C24" s="17"/>
      <c r="D24" s="18" t="s">
        <v>70</v>
      </c>
      <c r="E24" s="18">
        <v>3</v>
      </c>
      <c r="F24" s="14">
        <f t="shared" si="0"/>
        <v>17.6470588235294</v>
      </c>
      <c r="G24" s="15">
        <f t="shared" si="1"/>
        <v>0.85</v>
      </c>
      <c r="H24" s="19">
        <v>15</v>
      </c>
      <c r="I24" s="16">
        <f t="shared" si="2"/>
        <v>45</v>
      </c>
      <c r="J24" s="17"/>
    </row>
    <row r="25" spans="1:10">
      <c r="A25" s="12">
        <v>20</v>
      </c>
      <c r="B25" s="17" t="s">
        <v>177</v>
      </c>
      <c r="C25" s="17" t="s">
        <v>72</v>
      </c>
      <c r="D25" s="18" t="s">
        <v>70</v>
      </c>
      <c r="E25" s="18">
        <v>2</v>
      </c>
      <c r="F25" s="14">
        <f t="shared" si="0"/>
        <v>23.5294117647059</v>
      </c>
      <c r="G25" s="15">
        <f t="shared" si="1"/>
        <v>0.85</v>
      </c>
      <c r="H25" s="19">
        <v>20</v>
      </c>
      <c r="I25" s="16">
        <f t="shared" si="2"/>
        <v>40</v>
      </c>
      <c r="J25" s="17"/>
    </row>
    <row r="26" spans="1:10">
      <c r="A26" s="12">
        <v>21</v>
      </c>
      <c r="B26" s="12" t="s">
        <v>178</v>
      </c>
      <c r="C26" s="29" t="s">
        <v>179</v>
      </c>
      <c r="D26" s="13" t="s">
        <v>15</v>
      </c>
      <c r="E26" s="13">
        <v>3</v>
      </c>
      <c r="F26" s="14">
        <f t="shared" si="0"/>
        <v>91.7647058823529</v>
      </c>
      <c r="G26" s="15">
        <f t="shared" si="1"/>
        <v>0.85</v>
      </c>
      <c r="H26" s="16">
        <v>78</v>
      </c>
      <c r="I26" s="16">
        <f t="shared" si="2"/>
        <v>234</v>
      </c>
      <c r="J26" s="12"/>
    </row>
    <row r="27" spans="1:10">
      <c r="A27" s="12">
        <v>22</v>
      </c>
      <c r="B27" s="17" t="s">
        <v>180</v>
      </c>
      <c r="C27" s="30" t="s">
        <v>181</v>
      </c>
      <c r="D27" s="13" t="s">
        <v>70</v>
      </c>
      <c r="E27" s="13">
        <v>10</v>
      </c>
      <c r="F27" s="14">
        <f t="shared" si="0"/>
        <v>8</v>
      </c>
      <c r="G27" s="15">
        <f t="shared" si="1"/>
        <v>0.85</v>
      </c>
      <c r="H27" s="16">
        <v>6.8</v>
      </c>
      <c r="I27" s="16">
        <f t="shared" si="2"/>
        <v>68</v>
      </c>
      <c r="J27" s="12"/>
    </row>
    <row r="28" spans="1:10">
      <c r="A28" s="12">
        <v>23</v>
      </c>
      <c r="B28" s="17" t="s">
        <v>182</v>
      </c>
      <c r="C28" s="30" t="s">
        <v>183</v>
      </c>
      <c r="D28" s="17" t="s">
        <v>112</v>
      </c>
      <c r="E28" s="18">
        <v>1</v>
      </c>
      <c r="F28" s="14">
        <f t="shared" si="0"/>
        <v>52.9411764705882</v>
      </c>
      <c r="G28" s="15">
        <f t="shared" si="1"/>
        <v>0.85</v>
      </c>
      <c r="H28" s="19">
        <v>45</v>
      </c>
      <c r="I28" s="16">
        <f t="shared" si="2"/>
        <v>45</v>
      </c>
      <c r="J28" s="17"/>
    </row>
    <row r="29" spans="1:10">
      <c r="A29" s="12">
        <v>24</v>
      </c>
      <c r="B29" s="12" t="s">
        <v>184</v>
      </c>
      <c r="C29" s="29" t="s">
        <v>185</v>
      </c>
      <c r="D29" s="17" t="s">
        <v>91</v>
      </c>
      <c r="E29" s="13">
        <v>1</v>
      </c>
      <c r="F29" s="14">
        <f t="shared" si="0"/>
        <v>68.2352941176471</v>
      </c>
      <c r="G29" s="15">
        <f t="shared" si="1"/>
        <v>0.85</v>
      </c>
      <c r="H29" s="16">
        <v>58</v>
      </c>
      <c r="I29" s="16">
        <f t="shared" si="2"/>
        <v>58</v>
      </c>
      <c r="J29" s="12"/>
    </row>
    <row r="30" spans="1:10">
      <c r="A30" s="12">
        <v>25</v>
      </c>
      <c r="B30" s="27" t="s">
        <v>186</v>
      </c>
      <c r="C30" s="29" t="s">
        <v>187</v>
      </c>
      <c r="D30" s="17" t="s">
        <v>112</v>
      </c>
      <c r="E30" s="13">
        <v>2</v>
      </c>
      <c r="F30" s="14">
        <f t="shared" si="0"/>
        <v>47.0588235294118</v>
      </c>
      <c r="G30" s="15">
        <f t="shared" si="1"/>
        <v>0.85</v>
      </c>
      <c r="H30" s="16">
        <v>40</v>
      </c>
      <c r="I30" s="16">
        <f t="shared" si="2"/>
        <v>80</v>
      </c>
      <c r="J30" s="12"/>
    </row>
    <row r="31" spans="1:10">
      <c r="A31" s="12">
        <v>26</v>
      </c>
      <c r="B31" s="12" t="s">
        <v>188</v>
      </c>
      <c r="C31" s="29" t="s">
        <v>189</v>
      </c>
      <c r="D31" s="12" t="s">
        <v>91</v>
      </c>
      <c r="E31" s="13">
        <v>1</v>
      </c>
      <c r="F31" s="14">
        <f t="shared" si="0"/>
        <v>211.764705882353</v>
      </c>
      <c r="G31" s="15">
        <f t="shared" si="1"/>
        <v>0.85</v>
      </c>
      <c r="H31" s="16">
        <v>180</v>
      </c>
      <c r="I31" s="16">
        <f t="shared" si="2"/>
        <v>180</v>
      </c>
      <c r="J31" s="12"/>
    </row>
    <row r="32" spans="1:10">
      <c r="A32" s="12">
        <v>27</v>
      </c>
      <c r="B32" s="12" t="s">
        <v>190</v>
      </c>
      <c r="C32" s="29" t="s">
        <v>72</v>
      </c>
      <c r="D32" s="12" t="s">
        <v>70</v>
      </c>
      <c r="E32" s="13">
        <v>2</v>
      </c>
      <c r="F32" s="14">
        <f t="shared" si="0"/>
        <v>52.9411764705882</v>
      </c>
      <c r="G32" s="15">
        <f t="shared" si="1"/>
        <v>0.85</v>
      </c>
      <c r="H32" s="16">
        <v>45</v>
      </c>
      <c r="I32" s="16">
        <f t="shared" si="2"/>
        <v>90</v>
      </c>
      <c r="J32" s="12"/>
    </row>
    <row r="33" spans="1:10">
      <c r="A33" s="12">
        <v>28</v>
      </c>
      <c r="B33" s="12" t="s">
        <v>191</v>
      </c>
      <c r="C33" s="12"/>
      <c r="D33" s="12" t="s">
        <v>91</v>
      </c>
      <c r="E33" s="13">
        <v>1</v>
      </c>
      <c r="F33" s="14">
        <f t="shared" si="0"/>
        <v>64.7058823529412</v>
      </c>
      <c r="G33" s="15">
        <f t="shared" si="1"/>
        <v>0.85</v>
      </c>
      <c r="H33" s="16">
        <v>55</v>
      </c>
      <c r="I33" s="16">
        <f t="shared" si="2"/>
        <v>55</v>
      </c>
      <c r="J33" s="12"/>
    </row>
    <row r="34" spans="1:10">
      <c r="A34" s="12">
        <v>29</v>
      </c>
      <c r="B34" s="12" t="s">
        <v>192</v>
      </c>
      <c r="C34" s="12" t="s">
        <v>193</v>
      </c>
      <c r="D34" s="12" t="s">
        <v>70</v>
      </c>
      <c r="E34" s="13">
        <v>2</v>
      </c>
      <c r="F34" s="14">
        <f t="shared" si="0"/>
        <v>5.29411764705882</v>
      </c>
      <c r="G34" s="15">
        <f t="shared" si="1"/>
        <v>0.85</v>
      </c>
      <c r="H34" s="16">
        <v>4.5</v>
      </c>
      <c r="I34" s="16">
        <f t="shared" si="2"/>
        <v>9</v>
      </c>
      <c r="J34" s="12"/>
    </row>
    <row r="35" spans="1:10">
      <c r="A35" s="12">
        <v>30</v>
      </c>
      <c r="B35" s="12" t="s">
        <v>194</v>
      </c>
      <c r="C35" s="12"/>
      <c r="D35" s="12" t="s">
        <v>91</v>
      </c>
      <c r="E35" s="13">
        <v>1</v>
      </c>
      <c r="F35" s="14">
        <f t="shared" si="0"/>
        <v>64.7058823529412</v>
      </c>
      <c r="G35" s="15">
        <f t="shared" si="1"/>
        <v>0.85</v>
      </c>
      <c r="H35" s="16">
        <v>55</v>
      </c>
      <c r="I35" s="16">
        <f t="shared" si="2"/>
        <v>55</v>
      </c>
      <c r="J35" s="12"/>
    </row>
    <row r="36" spans="1:10">
      <c r="A36" s="12">
        <v>31</v>
      </c>
      <c r="B36" s="12" t="s">
        <v>195</v>
      </c>
      <c r="C36" s="12" t="s">
        <v>72</v>
      </c>
      <c r="D36" s="12" t="s">
        <v>70</v>
      </c>
      <c r="E36" s="13">
        <v>5</v>
      </c>
      <c r="F36" s="14">
        <f t="shared" si="0"/>
        <v>8</v>
      </c>
      <c r="G36" s="15">
        <f t="shared" si="1"/>
        <v>0.85</v>
      </c>
      <c r="H36" s="16">
        <v>6.8</v>
      </c>
      <c r="I36" s="16">
        <f t="shared" si="2"/>
        <v>34</v>
      </c>
      <c r="J36" s="12"/>
    </row>
    <row r="37" spans="1:10">
      <c r="A37" s="12">
        <v>32</v>
      </c>
      <c r="B37" s="12" t="s">
        <v>196</v>
      </c>
      <c r="C37" s="12" t="s">
        <v>197</v>
      </c>
      <c r="D37" s="12" t="s">
        <v>91</v>
      </c>
      <c r="E37" s="13">
        <v>1</v>
      </c>
      <c r="F37" s="14">
        <f t="shared" si="0"/>
        <v>176.470588235294</v>
      </c>
      <c r="G37" s="15">
        <f t="shared" si="1"/>
        <v>0.85</v>
      </c>
      <c r="H37" s="16">
        <v>150</v>
      </c>
      <c r="I37" s="16">
        <f t="shared" si="2"/>
        <v>150</v>
      </c>
      <c r="J37" s="12"/>
    </row>
    <row r="38" spans="1:10">
      <c r="A38" s="12">
        <v>33</v>
      </c>
      <c r="B38" s="12" t="s">
        <v>198</v>
      </c>
      <c r="C38" s="12" t="s">
        <v>158</v>
      </c>
      <c r="D38" s="12" t="s">
        <v>101</v>
      </c>
      <c r="E38" s="13">
        <v>1</v>
      </c>
      <c r="F38" s="14">
        <f t="shared" si="0"/>
        <v>247.058823529412</v>
      </c>
      <c r="G38" s="15">
        <f t="shared" si="1"/>
        <v>0.85</v>
      </c>
      <c r="H38" s="16">
        <v>210</v>
      </c>
      <c r="I38" s="16">
        <f t="shared" si="2"/>
        <v>210</v>
      </c>
      <c r="J38" s="12"/>
    </row>
    <row r="39" spans="1:10">
      <c r="A39" s="12">
        <v>34</v>
      </c>
      <c r="B39" s="12" t="s">
        <v>199</v>
      </c>
      <c r="C39" s="12" t="s">
        <v>200</v>
      </c>
      <c r="D39" s="12" t="s">
        <v>60</v>
      </c>
      <c r="E39" s="13">
        <v>50</v>
      </c>
      <c r="F39" s="14">
        <f t="shared" si="0"/>
        <v>4.11764705882353</v>
      </c>
      <c r="G39" s="15">
        <f t="shared" si="1"/>
        <v>0.85</v>
      </c>
      <c r="H39" s="16">
        <v>3.5</v>
      </c>
      <c r="I39" s="16">
        <f t="shared" si="2"/>
        <v>175</v>
      </c>
      <c r="J39" s="12"/>
    </row>
    <row r="40" spans="1:10">
      <c r="A40" s="12" t="s">
        <v>201</v>
      </c>
      <c r="B40" s="20">
        <f>SUM(I6:I39)</f>
        <v>2898.8</v>
      </c>
      <c r="C40" s="21"/>
      <c r="D40" s="21"/>
      <c r="E40" s="21"/>
      <c r="F40" s="21"/>
      <c r="G40" s="21"/>
      <c r="H40" s="21"/>
      <c r="I40" s="21"/>
      <c r="J40" s="25"/>
    </row>
    <row r="41" spans="1:10">
      <c r="A41" s="12" t="s">
        <v>62</v>
      </c>
      <c r="B41" s="23">
        <f>B40</f>
        <v>2898.8</v>
      </c>
      <c r="C41" s="24"/>
      <c r="D41" s="24"/>
      <c r="E41" s="24"/>
      <c r="F41" s="24"/>
      <c r="G41" s="24"/>
      <c r="H41" s="24"/>
      <c r="I41" s="24"/>
      <c r="J41" s="26"/>
    </row>
    <row r="42" spans="1:10">
      <c r="A42" s="4" t="s">
        <v>63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4">
    <mergeCell ref="A1:J1"/>
    <mergeCell ref="B40:J40"/>
    <mergeCell ref="B41:J41"/>
    <mergeCell ref="A42:J42"/>
  </mergeCells>
  <conditionalFormatting sqref="B6:B39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60625" bottom="1" header="0.5" footer="0.5"/>
  <pageSetup paperSize="9" scale="9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163</v>
      </c>
      <c r="B3" s="4" t="s">
        <v>164</v>
      </c>
    </row>
    <row r="4" s="4" customFormat="1" customHeight="1" spans="1:10">
      <c r="A4" s="4" t="s">
        <v>165</v>
      </c>
      <c r="B4" s="9">
        <v>45111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74</v>
      </c>
      <c r="C6" s="12"/>
      <c r="D6" s="13" t="s">
        <v>70</v>
      </c>
      <c r="E6" s="13">
        <v>6</v>
      </c>
      <c r="F6" s="14">
        <f t="shared" ref="F6:F18" si="0">H6/0.85</f>
        <v>3.52941176470588</v>
      </c>
      <c r="G6" s="15">
        <f t="shared" ref="G6:G18" si="1">H6/F6</f>
        <v>0.85</v>
      </c>
      <c r="H6" s="16">
        <v>3</v>
      </c>
      <c r="I6" s="16">
        <f t="shared" ref="I6:I20" si="2">E6*H6</f>
        <v>18</v>
      </c>
      <c r="J6" s="12"/>
    </row>
    <row r="7" s="4" customFormat="1" ht="16" customHeight="1" spans="1:10">
      <c r="A7" s="12">
        <v>2</v>
      </c>
      <c r="B7" s="12" t="s">
        <v>76</v>
      </c>
      <c r="C7" s="12"/>
      <c r="D7" s="13" t="s">
        <v>70</v>
      </c>
      <c r="E7" s="13">
        <v>1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3.5</v>
      </c>
      <c r="J7" s="12"/>
    </row>
    <row r="8" s="4" customFormat="1" ht="16" customHeight="1" spans="1:10">
      <c r="A8" s="12">
        <v>3</v>
      </c>
      <c r="B8" s="12" t="s">
        <v>77</v>
      </c>
      <c r="C8" s="12"/>
      <c r="D8" s="13" t="s">
        <v>70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168</v>
      </c>
      <c r="C9" s="17"/>
      <c r="D9" s="13" t="s">
        <v>70</v>
      </c>
      <c r="E9" s="13">
        <v>4</v>
      </c>
      <c r="F9" s="14">
        <f t="shared" si="0"/>
        <v>9.17647058823529</v>
      </c>
      <c r="G9" s="15">
        <f t="shared" si="1"/>
        <v>0.85</v>
      </c>
      <c r="H9" s="16">
        <v>7.8</v>
      </c>
      <c r="I9" s="16">
        <f t="shared" si="2"/>
        <v>31.2</v>
      </c>
      <c r="J9" s="12"/>
    </row>
    <row r="10" s="4" customFormat="1" ht="16" customHeight="1" spans="1:10">
      <c r="A10" s="12">
        <v>5</v>
      </c>
      <c r="B10" s="17" t="s">
        <v>82</v>
      </c>
      <c r="C10" s="17"/>
      <c r="D10" s="13" t="s">
        <v>70</v>
      </c>
      <c r="E10" s="13">
        <v>8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30.4</v>
      </c>
      <c r="J10" s="12"/>
    </row>
    <row r="11" s="4" customFormat="1" ht="16" customHeight="1" spans="1:10">
      <c r="A11" s="12">
        <v>6</v>
      </c>
      <c r="B11" s="12" t="s">
        <v>83</v>
      </c>
      <c r="C11" s="12"/>
      <c r="D11" s="13" t="s">
        <v>70</v>
      </c>
      <c r="E11" s="13">
        <v>2</v>
      </c>
      <c r="F11" s="14">
        <f t="shared" si="0"/>
        <v>3.29411764705882</v>
      </c>
      <c r="G11" s="15">
        <f t="shared" si="1"/>
        <v>0.85</v>
      </c>
      <c r="H11" s="16">
        <v>2.8</v>
      </c>
      <c r="I11" s="16">
        <f t="shared" si="2"/>
        <v>5.6</v>
      </c>
      <c r="J11" s="12"/>
    </row>
    <row r="12" s="4" customFormat="1" ht="16" customHeight="1" spans="1:10">
      <c r="A12" s="12">
        <v>7</v>
      </c>
      <c r="B12" s="12" t="s">
        <v>202</v>
      </c>
      <c r="C12" s="12"/>
      <c r="D12" s="13" t="s">
        <v>70</v>
      </c>
      <c r="E12" s="13">
        <v>12</v>
      </c>
      <c r="F12" s="14">
        <f t="shared" si="0"/>
        <v>2.35294117647059</v>
      </c>
      <c r="G12" s="15">
        <f t="shared" si="1"/>
        <v>0.85</v>
      </c>
      <c r="H12" s="16">
        <v>2</v>
      </c>
      <c r="I12" s="16">
        <f t="shared" si="2"/>
        <v>24</v>
      </c>
      <c r="J12" s="12"/>
    </row>
    <row r="13" s="4" customFormat="1" ht="16" customHeight="1" spans="1:10">
      <c r="A13" s="12">
        <v>8</v>
      </c>
      <c r="B13" s="12" t="s">
        <v>203</v>
      </c>
      <c r="C13" s="12"/>
      <c r="D13" s="13" t="s">
        <v>70</v>
      </c>
      <c r="E13" s="13">
        <v>7.7</v>
      </c>
      <c r="F13" s="14">
        <f t="shared" si="0"/>
        <v>17.6470588235294</v>
      </c>
      <c r="G13" s="15">
        <f t="shared" si="1"/>
        <v>0.85</v>
      </c>
      <c r="H13" s="16">
        <v>15</v>
      </c>
      <c r="I13" s="16">
        <f t="shared" si="2"/>
        <v>115.5</v>
      </c>
      <c r="J13" s="12"/>
    </row>
    <row r="14" s="4" customFormat="1" ht="16" customHeight="1" spans="1:10">
      <c r="A14" s="12">
        <v>9</v>
      </c>
      <c r="B14" s="17" t="s">
        <v>204</v>
      </c>
      <c r="C14" s="17"/>
      <c r="D14" s="18" t="s">
        <v>70</v>
      </c>
      <c r="E14" s="18">
        <v>10</v>
      </c>
      <c r="F14" s="14">
        <f t="shared" si="0"/>
        <v>11.7647058823529</v>
      </c>
      <c r="G14" s="15">
        <f t="shared" si="1"/>
        <v>0.85</v>
      </c>
      <c r="H14" s="19">
        <v>10</v>
      </c>
      <c r="I14" s="16">
        <f t="shared" si="2"/>
        <v>100</v>
      </c>
      <c r="J14" s="17"/>
    </row>
    <row r="15" s="4" customFormat="1" ht="16" customHeight="1" spans="1:10">
      <c r="A15" s="12">
        <v>10</v>
      </c>
      <c r="B15" s="17" t="s">
        <v>48</v>
      </c>
      <c r="C15" s="17"/>
      <c r="D15" s="18" t="s">
        <v>70</v>
      </c>
      <c r="E15" s="18">
        <v>10</v>
      </c>
      <c r="F15" s="14">
        <f t="shared" si="0"/>
        <v>5.76470588235294</v>
      </c>
      <c r="G15" s="15">
        <f t="shared" si="1"/>
        <v>0.85</v>
      </c>
      <c r="H15" s="19">
        <v>4.9</v>
      </c>
      <c r="I15" s="16">
        <f t="shared" si="2"/>
        <v>49</v>
      </c>
      <c r="J15" s="17"/>
    </row>
    <row r="16" s="4" customFormat="1" ht="16" customHeight="1" spans="1:10">
      <c r="A16" s="12">
        <v>11</v>
      </c>
      <c r="B16" s="17" t="s">
        <v>155</v>
      </c>
      <c r="C16" s="17" t="s">
        <v>156</v>
      </c>
      <c r="D16" s="18" t="s">
        <v>91</v>
      </c>
      <c r="E16" s="18">
        <v>2</v>
      </c>
      <c r="F16" s="14">
        <f t="shared" si="0"/>
        <v>500</v>
      </c>
      <c r="G16" s="15">
        <f t="shared" si="1"/>
        <v>0.85</v>
      </c>
      <c r="H16" s="19">
        <v>425</v>
      </c>
      <c r="I16" s="16">
        <f t="shared" si="2"/>
        <v>850</v>
      </c>
      <c r="J16" s="17"/>
    </row>
    <row r="17" s="4" customFormat="1" ht="16" customHeight="1" spans="1:10">
      <c r="A17" s="12">
        <v>12</v>
      </c>
      <c r="B17" s="17" t="s">
        <v>205</v>
      </c>
      <c r="C17" s="17" t="s">
        <v>72</v>
      </c>
      <c r="D17" s="18" t="s">
        <v>70</v>
      </c>
      <c r="E17" s="18">
        <v>5</v>
      </c>
      <c r="F17" s="14">
        <f t="shared" si="0"/>
        <v>5.29411764705882</v>
      </c>
      <c r="G17" s="15">
        <f t="shared" si="1"/>
        <v>0.85</v>
      </c>
      <c r="H17" s="19">
        <v>4.5</v>
      </c>
      <c r="I17" s="16">
        <f t="shared" si="2"/>
        <v>22.5</v>
      </c>
      <c r="J17" s="17"/>
    </row>
    <row r="18" s="4" customFormat="1" ht="16" customHeight="1" spans="1:10">
      <c r="A18" s="12">
        <v>13</v>
      </c>
      <c r="B18" s="17" t="s">
        <v>199</v>
      </c>
      <c r="C18" s="17" t="s">
        <v>200</v>
      </c>
      <c r="D18" s="18" t="s">
        <v>60</v>
      </c>
      <c r="E18" s="18">
        <v>50</v>
      </c>
      <c r="F18" s="14">
        <f t="shared" si="0"/>
        <v>4.11764705882353</v>
      </c>
      <c r="G18" s="15">
        <f t="shared" si="1"/>
        <v>0.85</v>
      </c>
      <c r="H18" s="19">
        <v>3.5</v>
      </c>
      <c r="I18" s="16">
        <f t="shared" si="2"/>
        <v>175</v>
      </c>
      <c r="J18" s="17"/>
    </row>
    <row r="19" s="4" customFormat="1" ht="16" customHeight="1" spans="1:10">
      <c r="A19" s="12">
        <v>14</v>
      </c>
      <c r="B19" s="27"/>
      <c r="C19" s="12"/>
      <c r="D19" s="13"/>
      <c r="E19" s="13"/>
      <c r="F19" s="14"/>
      <c r="G19" s="15"/>
      <c r="H19" s="16"/>
      <c r="I19" s="16"/>
      <c r="J19" s="12"/>
    </row>
    <row r="20" s="4" customFormat="1" ht="16" customHeight="1" spans="1:10">
      <c r="A20" s="12">
        <v>15</v>
      </c>
      <c r="B20" s="17"/>
      <c r="C20" s="17"/>
      <c r="D20" s="18"/>
      <c r="E20" s="18"/>
      <c r="F20" s="14"/>
      <c r="G20" s="15"/>
      <c r="H20" s="19"/>
      <c r="I20" s="16"/>
      <c r="J20" s="17"/>
    </row>
    <row r="21" s="4" customFormat="1" ht="16" customHeight="1" spans="1:10">
      <c r="A21" s="12">
        <v>16</v>
      </c>
      <c r="B21" s="17"/>
      <c r="C21" s="17"/>
      <c r="D21" s="18"/>
      <c r="E21" s="18"/>
      <c r="F21" s="14"/>
      <c r="G21" s="15"/>
      <c r="H21" s="19"/>
      <c r="I21" s="16"/>
      <c r="J21" s="17"/>
    </row>
    <row r="22" s="4" customFormat="1" ht="16" customHeight="1" spans="1:10">
      <c r="A22" s="12">
        <v>17</v>
      </c>
      <c r="B22" s="17"/>
      <c r="C22" s="17"/>
      <c r="D22" s="18"/>
      <c r="E22" s="18"/>
      <c r="F22" s="14"/>
      <c r="G22" s="15"/>
      <c r="H22" s="19"/>
      <c r="I22" s="16"/>
      <c r="J22" s="17"/>
    </row>
    <row r="23" s="4" customFormat="1" ht="16" customHeight="1" spans="1:10">
      <c r="A23" s="12">
        <v>18</v>
      </c>
      <c r="B23" s="17"/>
      <c r="C23" s="17"/>
      <c r="D23" s="17"/>
      <c r="E23" s="18"/>
      <c r="F23" s="14"/>
      <c r="G23" s="15"/>
      <c r="H23" s="19"/>
      <c r="I23" s="16"/>
      <c r="J23" s="17"/>
    </row>
    <row r="24" s="4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20</v>
      </c>
      <c r="B25" s="17"/>
      <c r="C25" s="17"/>
      <c r="D25" s="18"/>
      <c r="E25" s="18"/>
      <c r="F25" s="14"/>
      <c r="G25" s="15"/>
      <c r="H25" s="19"/>
      <c r="I25" s="16"/>
      <c r="J25" s="17"/>
    </row>
    <row r="26" s="4" customFormat="1" ht="16" customHeight="1" spans="1:10">
      <c r="A26" s="12">
        <v>21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23</v>
      </c>
      <c r="B28" s="17"/>
      <c r="C28" s="17"/>
      <c r="D28" s="17"/>
      <c r="E28" s="18"/>
      <c r="F28" s="14"/>
      <c r="G28" s="15"/>
      <c r="H28" s="19"/>
      <c r="I28" s="16"/>
      <c r="J28" s="17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27"/>
      <c r="C30" s="12"/>
      <c r="D30" s="17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4" customFormat="1" ht="16" customHeight="1" spans="1:10">
      <c r="A34" s="12">
        <v>29</v>
      </c>
      <c r="B34" s="12"/>
      <c r="C34" s="12"/>
      <c r="D34" s="12"/>
      <c r="E34" s="13"/>
      <c r="F34" s="14"/>
      <c r="G34" s="15"/>
      <c r="H34" s="16"/>
      <c r="I34" s="16"/>
      <c r="J34" s="12"/>
    </row>
    <row r="35" s="4" customFormat="1" customHeight="1" spans="1:10">
      <c r="A35" s="12" t="s">
        <v>201</v>
      </c>
      <c r="B35" s="20">
        <f>SUM(I6:I34)</f>
        <v>1435.2</v>
      </c>
      <c r="C35" s="21"/>
      <c r="D35" s="21"/>
      <c r="E35" s="21"/>
      <c r="F35" s="21"/>
      <c r="G35" s="21"/>
      <c r="H35" s="21"/>
      <c r="I35" s="21"/>
      <c r="J35" s="25"/>
    </row>
    <row r="36" s="4" customFormat="1" customHeight="1" spans="1:10">
      <c r="A36" s="12" t="s">
        <v>62</v>
      </c>
      <c r="B36" s="23">
        <f>B35</f>
        <v>1435.2</v>
      </c>
      <c r="C36" s="24"/>
      <c r="D36" s="24"/>
      <c r="E36" s="24"/>
      <c r="F36" s="24"/>
      <c r="G36" s="24"/>
      <c r="H36" s="24"/>
      <c r="I36" s="24"/>
      <c r="J36" s="26"/>
    </row>
    <row r="37" s="4" customFormat="1" customHeight="1" spans="1:1">
      <c r="A37" s="4" t="s">
        <v>63</v>
      </c>
    </row>
  </sheetData>
  <mergeCells count="4">
    <mergeCell ref="A1:J1"/>
    <mergeCell ref="B35:J35"/>
    <mergeCell ref="B36:J36"/>
    <mergeCell ref="A37:J37"/>
  </mergeCells>
  <conditionalFormatting sqref="B6:B34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163</v>
      </c>
      <c r="B3" s="4" t="s">
        <v>164</v>
      </c>
    </row>
    <row r="4" s="4" customFormat="1" customHeight="1" spans="1:10">
      <c r="A4" s="4" t="s">
        <v>165</v>
      </c>
      <c r="B4" s="9">
        <v>45112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206</v>
      </c>
      <c r="C6" s="12"/>
      <c r="D6" s="13" t="s">
        <v>70</v>
      </c>
      <c r="E6" s="13">
        <v>2</v>
      </c>
      <c r="F6" s="14">
        <f t="shared" ref="F6:F20" si="0">H6/0.85</f>
        <v>20</v>
      </c>
      <c r="G6" s="15">
        <f t="shared" ref="G6:G20" si="1">H6/F6</f>
        <v>0.85</v>
      </c>
      <c r="H6" s="16">
        <v>17</v>
      </c>
      <c r="I6" s="16">
        <f t="shared" ref="I6:I20" si="2">E6*H6</f>
        <v>34</v>
      </c>
      <c r="J6" s="12"/>
    </row>
    <row r="7" s="4" customFormat="1" ht="16" customHeight="1" spans="1:10">
      <c r="A7" s="12">
        <v>2</v>
      </c>
      <c r="B7" s="12" t="s">
        <v>76</v>
      </c>
      <c r="C7" s="12"/>
      <c r="D7" s="13" t="s">
        <v>70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28</v>
      </c>
      <c r="C8" s="12"/>
      <c r="D8" s="13" t="s">
        <v>70</v>
      </c>
      <c r="E8" s="13">
        <v>3</v>
      </c>
      <c r="F8" s="14">
        <f t="shared" si="0"/>
        <v>9.17647058823529</v>
      </c>
      <c r="G8" s="15">
        <f t="shared" si="1"/>
        <v>0.85</v>
      </c>
      <c r="H8" s="16">
        <v>7.8</v>
      </c>
      <c r="I8" s="16">
        <f t="shared" si="2"/>
        <v>23.4</v>
      </c>
      <c r="J8" s="12"/>
    </row>
    <row r="9" s="4" customFormat="1" ht="16" customHeight="1" spans="1:10">
      <c r="A9" s="12">
        <v>4</v>
      </c>
      <c r="B9" s="17" t="s">
        <v>207</v>
      </c>
      <c r="C9" s="17"/>
      <c r="D9" s="13" t="s">
        <v>70</v>
      </c>
      <c r="E9" s="13">
        <v>5</v>
      </c>
      <c r="F9" s="14">
        <f t="shared" si="0"/>
        <v>2.94117647058824</v>
      </c>
      <c r="G9" s="15">
        <f t="shared" si="1"/>
        <v>0.85</v>
      </c>
      <c r="H9" s="16">
        <v>2.5</v>
      </c>
      <c r="I9" s="16">
        <f t="shared" si="2"/>
        <v>12.5</v>
      </c>
      <c r="J9" s="12"/>
    </row>
    <row r="10" s="4" customFormat="1" ht="16" customHeight="1" spans="1:10">
      <c r="A10" s="12">
        <v>5</v>
      </c>
      <c r="B10" s="17" t="s">
        <v>171</v>
      </c>
      <c r="C10" s="17"/>
      <c r="D10" s="13" t="s">
        <v>172</v>
      </c>
      <c r="E10" s="13">
        <v>3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7.5</v>
      </c>
      <c r="J10" s="12"/>
    </row>
    <row r="11" s="4" customFormat="1" ht="16" customHeight="1" spans="1:10">
      <c r="A11" s="12">
        <v>6</v>
      </c>
      <c r="B11" s="12" t="s">
        <v>29</v>
      </c>
      <c r="C11" s="12"/>
      <c r="D11" s="13" t="s">
        <v>70</v>
      </c>
      <c r="E11" s="13">
        <v>6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22.8</v>
      </c>
      <c r="J11" s="12"/>
    </row>
    <row r="12" s="4" customFormat="1" ht="16" customHeight="1" spans="1:10">
      <c r="A12" s="12">
        <v>7</v>
      </c>
      <c r="B12" s="12" t="s">
        <v>208</v>
      </c>
      <c r="C12" s="12"/>
      <c r="D12" s="13" t="s">
        <v>70</v>
      </c>
      <c r="E12" s="13">
        <v>10</v>
      </c>
      <c r="F12" s="14">
        <f t="shared" si="0"/>
        <v>2.94117647058824</v>
      </c>
      <c r="G12" s="15">
        <f t="shared" si="1"/>
        <v>0.85</v>
      </c>
      <c r="H12" s="16">
        <v>2.5</v>
      </c>
      <c r="I12" s="16">
        <f t="shared" si="2"/>
        <v>25</v>
      </c>
      <c r="J12" s="12"/>
    </row>
    <row r="13" s="4" customFormat="1" ht="16" customHeight="1" spans="1:10">
      <c r="A13" s="12">
        <v>8</v>
      </c>
      <c r="B13" s="12" t="s">
        <v>83</v>
      </c>
      <c r="C13" s="12"/>
      <c r="D13" s="13" t="s">
        <v>70</v>
      </c>
      <c r="E13" s="13">
        <v>4</v>
      </c>
      <c r="F13" s="14">
        <f t="shared" si="0"/>
        <v>3.29411764705882</v>
      </c>
      <c r="G13" s="15">
        <f t="shared" si="1"/>
        <v>0.85</v>
      </c>
      <c r="H13" s="16">
        <v>2.8</v>
      </c>
      <c r="I13" s="16">
        <f t="shared" si="2"/>
        <v>11.2</v>
      </c>
      <c r="J13" s="12"/>
    </row>
    <row r="14" s="4" customFormat="1" ht="16" customHeight="1" spans="1:10">
      <c r="A14" s="12">
        <v>9</v>
      </c>
      <c r="B14" s="17" t="s">
        <v>56</v>
      </c>
      <c r="C14" s="17"/>
      <c r="D14" s="18" t="s">
        <v>70</v>
      </c>
      <c r="E14" s="18">
        <v>5</v>
      </c>
      <c r="F14" s="14">
        <f t="shared" si="0"/>
        <v>4.11764705882353</v>
      </c>
      <c r="G14" s="15">
        <f t="shared" si="1"/>
        <v>0.85</v>
      </c>
      <c r="H14" s="19">
        <v>3.5</v>
      </c>
      <c r="I14" s="16">
        <f t="shared" si="2"/>
        <v>17.5</v>
      </c>
      <c r="J14" s="17"/>
    </row>
    <row r="15" s="4" customFormat="1" ht="16" customHeight="1" spans="1:10">
      <c r="A15" s="12">
        <v>10</v>
      </c>
      <c r="B15" s="17" t="s">
        <v>209</v>
      </c>
      <c r="C15" s="17"/>
      <c r="D15" s="18" t="s">
        <v>70</v>
      </c>
      <c r="E15" s="18">
        <v>4</v>
      </c>
      <c r="F15" s="14">
        <f t="shared" si="0"/>
        <v>6.47058823529412</v>
      </c>
      <c r="G15" s="15">
        <f t="shared" si="1"/>
        <v>0.85</v>
      </c>
      <c r="H15" s="19">
        <v>5.5</v>
      </c>
      <c r="I15" s="16">
        <f t="shared" si="2"/>
        <v>22</v>
      </c>
      <c r="J15" s="17"/>
    </row>
    <row r="16" s="4" customFormat="1" ht="16" customHeight="1" spans="1:10">
      <c r="A16" s="12">
        <v>11</v>
      </c>
      <c r="B16" s="17" t="s">
        <v>210</v>
      </c>
      <c r="C16" s="17"/>
      <c r="D16" s="18" t="s">
        <v>70</v>
      </c>
      <c r="E16" s="18">
        <v>20</v>
      </c>
      <c r="F16" s="14">
        <f t="shared" si="0"/>
        <v>3.29411764705882</v>
      </c>
      <c r="G16" s="15">
        <f t="shared" si="1"/>
        <v>0.85</v>
      </c>
      <c r="H16" s="19">
        <v>2.8</v>
      </c>
      <c r="I16" s="16">
        <f t="shared" si="2"/>
        <v>56</v>
      </c>
      <c r="J16" s="17"/>
    </row>
    <row r="17" s="4" customFormat="1" ht="16" customHeight="1" spans="1:10">
      <c r="A17" s="12">
        <v>12</v>
      </c>
      <c r="B17" s="17" t="s">
        <v>211</v>
      </c>
      <c r="C17" s="17"/>
      <c r="D17" s="18" t="s">
        <v>70</v>
      </c>
      <c r="E17" s="18">
        <v>20</v>
      </c>
      <c r="F17" s="14">
        <f t="shared" si="0"/>
        <v>15.0588235294118</v>
      </c>
      <c r="G17" s="15">
        <f t="shared" si="1"/>
        <v>0.85</v>
      </c>
      <c r="H17" s="19">
        <v>12.8</v>
      </c>
      <c r="I17" s="16">
        <f t="shared" si="2"/>
        <v>256</v>
      </c>
      <c r="J17" s="17"/>
    </row>
    <row r="18" s="4" customFormat="1" ht="16" customHeight="1" spans="1:10">
      <c r="A18" s="12">
        <v>13</v>
      </c>
      <c r="B18" s="17" t="s">
        <v>212</v>
      </c>
      <c r="C18" s="17" t="s">
        <v>213</v>
      </c>
      <c r="D18" s="18" t="s">
        <v>172</v>
      </c>
      <c r="E18" s="18">
        <v>15</v>
      </c>
      <c r="F18" s="14">
        <f t="shared" si="0"/>
        <v>2.11764705882353</v>
      </c>
      <c r="G18" s="15">
        <f t="shared" si="1"/>
        <v>0.85</v>
      </c>
      <c r="H18" s="19">
        <v>1.8</v>
      </c>
      <c r="I18" s="16">
        <f t="shared" si="2"/>
        <v>27</v>
      </c>
      <c r="J18" s="17"/>
    </row>
    <row r="19" s="4" customFormat="1" ht="16" customHeight="1" spans="1:10">
      <c r="A19" s="12">
        <v>14</v>
      </c>
      <c r="B19" s="12" t="s">
        <v>214</v>
      </c>
      <c r="C19" s="12"/>
      <c r="D19" s="13" t="s">
        <v>70</v>
      </c>
      <c r="E19" s="13">
        <v>10</v>
      </c>
      <c r="F19" s="14">
        <f t="shared" si="0"/>
        <v>15.2941176470588</v>
      </c>
      <c r="G19" s="15">
        <f t="shared" si="1"/>
        <v>0.85</v>
      </c>
      <c r="H19" s="16">
        <v>13</v>
      </c>
      <c r="I19" s="16">
        <f t="shared" si="2"/>
        <v>130</v>
      </c>
      <c r="J19" s="12"/>
    </row>
    <row r="20" s="4" customFormat="1" ht="16" customHeight="1" spans="1:10">
      <c r="A20" s="12">
        <v>15</v>
      </c>
      <c r="B20" s="17" t="s">
        <v>96</v>
      </c>
      <c r="C20" s="17"/>
      <c r="D20" s="18" t="s">
        <v>70</v>
      </c>
      <c r="E20" s="18">
        <v>2</v>
      </c>
      <c r="F20" s="14">
        <f t="shared" si="0"/>
        <v>28.2352941176471</v>
      </c>
      <c r="G20" s="15">
        <f t="shared" si="1"/>
        <v>0.85</v>
      </c>
      <c r="H20" s="19">
        <v>24</v>
      </c>
      <c r="I20" s="16">
        <f t="shared" si="2"/>
        <v>48</v>
      </c>
      <c r="J20" s="17"/>
    </row>
    <row r="21" s="4" customFormat="1" ht="16" customHeight="1" spans="1:10">
      <c r="A21" s="12">
        <v>16</v>
      </c>
      <c r="B21" s="17" t="s">
        <v>215</v>
      </c>
      <c r="C21" s="17"/>
      <c r="D21" s="18" t="s">
        <v>70</v>
      </c>
      <c r="E21" s="18">
        <v>8</v>
      </c>
      <c r="F21" s="14">
        <f t="shared" ref="F21:F30" si="3">H21/0.85</f>
        <v>5.88235294117647</v>
      </c>
      <c r="G21" s="15">
        <f t="shared" ref="G21:G30" si="4">H21/F21</f>
        <v>0.85</v>
      </c>
      <c r="H21" s="19">
        <v>5</v>
      </c>
      <c r="I21" s="16">
        <f t="shared" ref="I21:I30" si="5">E21*H21</f>
        <v>40</v>
      </c>
      <c r="J21" s="17"/>
    </row>
    <row r="22" s="4" customFormat="1" ht="16" customHeight="1" spans="1:10">
      <c r="A22" s="12">
        <v>17</v>
      </c>
      <c r="B22" s="17" t="s">
        <v>216</v>
      </c>
      <c r="C22" s="17"/>
      <c r="D22" s="18" t="s">
        <v>70</v>
      </c>
      <c r="E22" s="18">
        <v>3</v>
      </c>
      <c r="F22" s="14">
        <f t="shared" si="3"/>
        <v>49.4117647058824</v>
      </c>
      <c r="G22" s="15">
        <f t="shared" si="4"/>
        <v>0.85</v>
      </c>
      <c r="H22" s="19">
        <v>42</v>
      </c>
      <c r="I22" s="16">
        <f t="shared" si="5"/>
        <v>126</v>
      </c>
      <c r="J22" s="17"/>
    </row>
    <row r="23" s="4" customFormat="1" ht="16" customHeight="1" spans="1:10">
      <c r="A23" s="12">
        <v>18</v>
      </c>
      <c r="B23" s="17" t="s">
        <v>217</v>
      </c>
      <c r="C23" s="17"/>
      <c r="D23" s="17" t="s">
        <v>70</v>
      </c>
      <c r="E23" s="18">
        <v>7.3</v>
      </c>
      <c r="F23" s="14">
        <f t="shared" si="3"/>
        <v>84.7058823529412</v>
      </c>
      <c r="G23" s="15">
        <f t="shared" si="4"/>
        <v>0.85</v>
      </c>
      <c r="H23" s="19">
        <v>72</v>
      </c>
      <c r="I23" s="16">
        <f t="shared" si="5"/>
        <v>525.6</v>
      </c>
      <c r="J23" s="17"/>
    </row>
    <row r="24" s="4" customFormat="1" ht="16" customHeight="1" spans="1:10">
      <c r="A24" s="12">
        <v>19</v>
      </c>
      <c r="B24" s="17" t="s">
        <v>218</v>
      </c>
      <c r="C24" s="17" t="s">
        <v>219</v>
      </c>
      <c r="D24" s="18" t="s">
        <v>101</v>
      </c>
      <c r="E24" s="18">
        <v>1</v>
      </c>
      <c r="F24" s="14">
        <f t="shared" si="3"/>
        <v>41.1764705882353</v>
      </c>
      <c r="G24" s="15">
        <f t="shared" si="4"/>
        <v>0.85</v>
      </c>
      <c r="H24" s="19">
        <v>35</v>
      </c>
      <c r="I24" s="16">
        <f t="shared" si="5"/>
        <v>35</v>
      </c>
      <c r="J24" s="17"/>
    </row>
    <row r="25" s="4" customFormat="1" ht="16" customHeight="1" spans="1:10">
      <c r="A25" s="12">
        <v>20</v>
      </c>
      <c r="B25" s="17" t="s">
        <v>143</v>
      </c>
      <c r="C25" s="17" t="s">
        <v>144</v>
      </c>
      <c r="D25" s="18" t="s">
        <v>15</v>
      </c>
      <c r="E25" s="18">
        <v>5</v>
      </c>
      <c r="F25" s="14">
        <f t="shared" si="3"/>
        <v>10</v>
      </c>
      <c r="G25" s="15">
        <f t="shared" si="4"/>
        <v>0.85</v>
      </c>
      <c r="H25" s="19">
        <v>8.5</v>
      </c>
      <c r="I25" s="16">
        <f t="shared" si="5"/>
        <v>42.5</v>
      </c>
      <c r="J25" s="17"/>
    </row>
    <row r="26" s="4" customFormat="1" ht="16" customHeight="1" spans="1:10">
      <c r="A26" s="12">
        <v>21</v>
      </c>
      <c r="B26" s="12" t="s">
        <v>154</v>
      </c>
      <c r="C26" s="12"/>
      <c r="D26" s="13" t="s">
        <v>70</v>
      </c>
      <c r="E26" s="13">
        <v>10</v>
      </c>
      <c r="F26" s="14">
        <f t="shared" si="3"/>
        <v>103.529411764706</v>
      </c>
      <c r="G26" s="15">
        <f t="shared" si="4"/>
        <v>0.85</v>
      </c>
      <c r="H26" s="16">
        <v>88</v>
      </c>
      <c r="I26" s="16">
        <f t="shared" si="5"/>
        <v>880</v>
      </c>
      <c r="J26" s="12"/>
    </row>
    <row r="27" s="4" customFormat="1" ht="16" customHeight="1" spans="1:10">
      <c r="A27" s="12">
        <v>22</v>
      </c>
      <c r="B27" s="17" t="s">
        <v>199</v>
      </c>
      <c r="C27" s="17" t="s">
        <v>200</v>
      </c>
      <c r="D27" s="13" t="s">
        <v>60</v>
      </c>
      <c r="E27" s="13">
        <v>69</v>
      </c>
      <c r="F27" s="14">
        <f t="shared" si="3"/>
        <v>4.11764705882353</v>
      </c>
      <c r="G27" s="15">
        <f t="shared" si="4"/>
        <v>0.85</v>
      </c>
      <c r="H27" s="16">
        <v>3.5</v>
      </c>
      <c r="I27" s="16">
        <f t="shared" si="5"/>
        <v>241.5</v>
      </c>
      <c r="J27" s="12"/>
    </row>
    <row r="28" s="4" customFormat="1" ht="16" customHeight="1" spans="1:10">
      <c r="A28" s="12">
        <v>23</v>
      </c>
      <c r="B28" s="12"/>
      <c r="C28" s="12"/>
      <c r="D28" s="12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customHeight="1" spans="1:10">
      <c r="A32" s="12" t="s">
        <v>201</v>
      </c>
      <c r="B32" s="20">
        <f>SUM(I6:I31)</f>
        <v>2590.5</v>
      </c>
      <c r="C32" s="21"/>
      <c r="D32" s="21"/>
      <c r="E32" s="21"/>
      <c r="F32" s="21"/>
      <c r="G32" s="21"/>
      <c r="H32" s="21"/>
      <c r="I32" s="21"/>
      <c r="J32" s="25"/>
    </row>
    <row r="33" s="4" customFormat="1" customHeight="1" spans="1:10">
      <c r="A33" s="12" t="s">
        <v>62</v>
      </c>
      <c r="B33" s="23">
        <f>B32</f>
        <v>2590.5</v>
      </c>
      <c r="C33" s="24"/>
      <c r="D33" s="24"/>
      <c r="E33" s="24"/>
      <c r="F33" s="24"/>
      <c r="G33" s="24"/>
      <c r="H33" s="24"/>
      <c r="I33" s="24"/>
      <c r="J33" s="26"/>
    </row>
    <row r="34" s="4" customFormat="1" customHeight="1" spans="1:1">
      <c r="A34" s="4" t="s">
        <v>63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163</v>
      </c>
      <c r="B3" s="4" t="s">
        <v>164</v>
      </c>
    </row>
    <row r="4" s="4" customFormat="1" customHeight="1" spans="1:10">
      <c r="A4" s="4" t="s">
        <v>165</v>
      </c>
      <c r="B4" s="9">
        <v>45113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73</v>
      </c>
      <c r="C6" s="12"/>
      <c r="D6" s="13" t="s">
        <v>70</v>
      </c>
      <c r="E6" s="13">
        <v>2</v>
      </c>
      <c r="F6" s="14">
        <f t="shared" ref="F6:F30" si="0">H6/0.85</f>
        <v>4.11764705882353</v>
      </c>
      <c r="G6" s="15">
        <f t="shared" ref="G6:G30" si="1">H6/F6</f>
        <v>0.85</v>
      </c>
      <c r="H6" s="16">
        <v>3.5</v>
      </c>
      <c r="I6" s="16">
        <f t="shared" ref="I6:I30" si="2">E6*H6</f>
        <v>7</v>
      </c>
      <c r="J6" s="12"/>
    </row>
    <row r="7" s="4" customFormat="1" ht="16" customHeight="1" spans="1:10">
      <c r="A7" s="12">
        <v>2</v>
      </c>
      <c r="B7" s="12" t="s">
        <v>75</v>
      </c>
      <c r="C7" s="12"/>
      <c r="D7" s="13" t="s">
        <v>70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4" customFormat="1" ht="16" customHeight="1" spans="1:10">
      <c r="A8" s="12">
        <v>3</v>
      </c>
      <c r="B8" s="12" t="s">
        <v>76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220</v>
      </c>
      <c r="C9" s="17"/>
      <c r="D9" s="13" t="s">
        <v>70</v>
      </c>
      <c r="E9" s="13">
        <v>5</v>
      </c>
      <c r="F9" s="14">
        <f t="shared" si="0"/>
        <v>2.94117647058824</v>
      </c>
      <c r="G9" s="15">
        <f t="shared" si="1"/>
        <v>0.85</v>
      </c>
      <c r="H9" s="16">
        <v>2.5</v>
      </c>
      <c r="I9" s="16">
        <f t="shared" si="2"/>
        <v>12.5</v>
      </c>
      <c r="J9" s="12"/>
    </row>
    <row r="10" s="4" customFormat="1" ht="16" customHeight="1" spans="1:10">
      <c r="A10" s="12">
        <v>5</v>
      </c>
      <c r="B10" s="17" t="s">
        <v>221</v>
      </c>
      <c r="C10" s="17"/>
      <c r="D10" s="13" t="s">
        <v>70</v>
      </c>
      <c r="E10" s="13">
        <v>14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53.2</v>
      </c>
      <c r="J10" s="12"/>
    </row>
    <row r="11" s="4" customFormat="1" ht="16" customHeight="1" spans="1:10">
      <c r="A11" s="12">
        <v>6</v>
      </c>
      <c r="B11" s="12" t="s">
        <v>222</v>
      </c>
      <c r="C11" s="12"/>
      <c r="D11" s="13" t="s">
        <v>70</v>
      </c>
      <c r="E11" s="13">
        <v>2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15.6</v>
      </c>
      <c r="J11" s="12"/>
    </row>
    <row r="12" s="4" customFormat="1" ht="16" customHeight="1" spans="1:10">
      <c r="A12" s="12">
        <v>7</v>
      </c>
      <c r="B12" s="12" t="s">
        <v>209</v>
      </c>
      <c r="C12" s="12"/>
      <c r="D12" s="13" t="s">
        <v>70</v>
      </c>
      <c r="E12" s="13">
        <v>15</v>
      </c>
      <c r="F12" s="14">
        <f t="shared" si="0"/>
        <v>6.47058823529412</v>
      </c>
      <c r="G12" s="15">
        <f t="shared" si="1"/>
        <v>0.85</v>
      </c>
      <c r="H12" s="16">
        <v>5.5</v>
      </c>
      <c r="I12" s="16">
        <f t="shared" si="2"/>
        <v>82.5</v>
      </c>
      <c r="J12" s="12"/>
    </row>
    <row r="13" s="4" customFormat="1" ht="16" customHeight="1" spans="1:10">
      <c r="A13" s="12">
        <v>8</v>
      </c>
      <c r="B13" s="12" t="s">
        <v>223</v>
      </c>
      <c r="C13" s="12"/>
      <c r="D13" s="13" t="s">
        <v>70</v>
      </c>
      <c r="E13" s="13">
        <v>26.61</v>
      </c>
      <c r="F13" s="14">
        <f t="shared" si="0"/>
        <v>5.64705882352941</v>
      </c>
      <c r="G13" s="15">
        <f t="shared" si="1"/>
        <v>0.85</v>
      </c>
      <c r="H13" s="16">
        <v>4.8</v>
      </c>
      <c r="I13" s="16">
        <f t="shared" si="2"/>
        <v>127.728</v>
      </c>
      <c r="J13" s="12"/>
    </row>
    <row r="14" s="4" customFormat="1" ht="16" customHeight="1" spans="1:10">
      <c r="A14" s="12">
        <v>9</v>
      </c>
      <c r="B14" s="17" t="s">
        <v>30</v>
      </c>
      <c r="C14" s="17"/>
      <c r="D14" s="18" t="s">
        <v>70</v>
      </c>
      <c r="E14" s="18">
        <v>5</v>
      </c>
      <c r="F14" s="14">
        <f t="shared" si="0"/>
        <v>8</v>
      </c>
      <c r="G14" s="15">
        <f t="shared" si="1"/>
        <v>0.85</v>
      </c>
      <c r="H14" s="19">
        <v>6.8</v>
      </c>
      <c r="I14" s="16">
        <f t="shared" si="2"/>
        <v>34</v>
      </c>
      <c r="J14" s="17"/>
    </row>
    <row r="15" s="4" customFormat="1" ht="16" customHeight="1" spans="1:10">
      <c r="A15" s="12">
        <v>10</v>
      </c>
      <c r="B15" s="17" t="s">
        <v>88</v>
      </c>
      <c r="C15" s="17"/>
      <c r="D15" s="18" t="s">
        <v>70</v>
      </c>
      <c r="E15" s="18">
        <v>5</v>
      </c>
      <c r="F15" s="14">
        <f t="shared" si="0"/>
        <v>4.11764705882353</v>
      </c>
      <c r="G15" s="15">
        <f t="shared" si="1"/>
        <v>0.85</v>
      </c>
      <c r="H15" s="19">
        <v>3.5</v>
      </c>
      <c r="I15" s="16">
        <f t="shared" si="2"/>
        <v>17.5</v>
      </c>
      <c r="J15" s="17"/>
    </row>
    <row r="16" s="4" customFormat="1" ht="16" customHeight="1" spans="1:10">
      <c r="A16" s="12">
        <v>11</v>
      </c>
      <c r="B16" s="17" t="s">
        <v>224</v>
      </c>
      <c r="C16" s="17"/>
      <c r="D16" s="18" t="s">
        <v>70</v>
      </c>
      <c r="E16" s="18">
        <v>4</v>
      </c>
      <c r="F16" s="14">
        <f t="shared" si="0"/>
        <v>16.2352941176471</v>
      </c>
      <c r="G16" s="15">
        <f t="shared" si="1"/>
        <v>0.85</v>
      </c>
      <c r="H16" s="19">
        <v>13.8</v>
      </c>
      <c r="I16" s="16">
        <f t="shared" si="2"/>
        <v>55.2</v>
      </c>
      <c r="J16" s="17"/>
    </row>
    <row r="17" s="4" customFormat="1" ht="16" customHeight="1" spans="1:10">
      <c r="A17" s="12">
        <v>12</v>
      </c>
      <c r="B17" s="17" t="s">
        <v>225</v>
      </c>
      <c r="C17" s="17"/>
      <c r="D17" s="18" t="s">
        <v>70</v>
      </c>
      <c r="E17" s="18">
        <v>8</v>
      </c>
      <c r="F17" s="14">
        <f t="shared" si="0"/>
        <v>20</v>
      </c>
      <c r="G17" s="15">
        <f t="shared" si="1"/>
        <v>0.85</v>
      </c>
      <c r="H17" s="19">
        <v>17</v>
      </c>
      <c r="I17" s="16">
        <f t="shared" si="2"/>
        <v>136</v>
      </c>
      <c r="J17" s="17"/>
    </row>
    <row r="18" s="4" customFormat="1" ht="16" customHeight="1" spans="1:10">
      <c r="A18" s="12">
        <v>13</v>
      </c>
      <c r="B18" s="17" t="s">
        <v>93</v>
      </c>
      <c r="C18" s="17"/>
      <c r="D18" s="18" t="s">
        <v>70</v>
      </c>
      <c r="E18" s="18">
        <v>6</v>
      </c>
      <c r="F18" s="14">
        <f t="shared" si="0"/>
        <v>15.2941176470588</v>
      </c>
      <c r="G18" s="15">
        <f t="shared" si="1"/>
        <v>0.85</v>
      </c>
      <c r="H18" s="19">
        <v>13</v>
      </c>
      <c r="I18" s="16">
        <f t="shared" si="2"/>
        <v>78</v>
      </c>
      <c r="J18" s="17"/>
    </row>
    <row r="19" s="4" customFormat="1" ht="16" customHeight="1" spans="1:10">
      <c r="A19" s="12">
        <v>14</v>
      </c>
      <c r="B19" s="12" t="s">
        <v>94</v>
      </c>
      <c r="C19" s="12"/>
      <c r="D19" s="13" t="s">
        <v>70</v>
      </c>
      <c r="E19" s="13">
        <v>5</v>
      </c>
      <c r="F19" s="14">
        <f t="shared" si="0"/>
        <v>23.5294117647059</v>
      </c>
      <c r="G19" s="15">
        <f t="shared" si="1"/>
        <v>0.85</v>
      </c>
      <c r="H19" s="16">
        <v>20</v>
      </c>
      <c r="I19" s="16">
        <f t="shared" si="2"/>
        <v>100</v>
      </c>
      <c r="J19" s="12"/>
    </row>
    <row r="20" s="4" customFormat="1" ht="16" customHeight="1" spans="1:10">
      <c r="A20" s="12">
        <v>15</v>
      </c>
      <c r="B20" s="17" t="s">
        <v>98</v>
      </c>
      <c r="C20" s="17"/>
      <c r="D20" s="18" t="s">
        <v>70</v>
      </c>
      <c r="E20" s="18">
        <v>9.1</v>
      </c>
      <c r="F20" s="14">
        <f t="shared" si="0"/>
        <v>23.5294117647059</v>
      </c>
      <c r="G20" s="15">
        <f t="shared" si="1"/>
        <v>0.85</v>
      </c>
      <c r="H20" s="19">
        <v>20</v>
      </c>
      <c r="I20" s="16">
        <f t="shared" si="2"/>
        <v>182</v>
      </c>
      <c r="J20" s="17"/>
    </row>
    <row r="21" s="4" customFormat="1" ht="16" customHeight="1" spans="1:10">
      <c r="A21" s="12">
        <v>16</v>
      </c>
      <c r="B21" s="17" t="s">
        <v>102</v>
      </c>
      <c r="C21" s="17" t="s">
        <v>226</v>
      </c>
      <c r="D21" s="18" t="s">
        <v>101</v>
      </c>
      <c r="E21" s="18">
        <v>3</v>
      </c>
      <c r="F21" s="14">
        <f t="shared" si="0"/>
        <v>42.8235294117647</v>
      </c>
      <c r="G21" s="15">
        <f t="shared" si="1"/>
        <v>0.85</v>
      </c>
      <c r="H21" s="19">
        <v>36.4</v>
      </c>
      <c r="I21" s="16">
        <f t="shared" si="2"/>
        <v>109.2</v>
      </c>
      <c r="J21" s="17"/>
    </row>
    <row r="22" s="4" customFormat="1" ht="16" customHeight="1" spans="1:10">
      <c r="A22" s="12">
        <v>17</v>
      </c>
      <c r="B22" s="17" t="s">
        <v>227</v>
      </c>
      <c r="C22" s="17" t="s">
        <v>228</v>
      </c>
      <c r="D22" s="18" t="s">
        <v>101</v>
      </c>
      <c r="E22" s="18">
        <v>5</v>
      </c>
      <c r="F22" s="14">
        <f t="shared" si="0"/>
        <v>15.2941176470588</v>
      </c>
      <c r="G22" s="15">
        <f t="shared" si="1"/>
        <v>0.85</v>
      </c>
      <c r="H22" s="19">
        <v>13</v>
      </c>
      <c r="I22" s="16">
        <f t="shared" si="2"/>
        <v>65</v>
      </c>
      <c r="J22" s="17"/>
    </row>
    <row r="23" s="4" customFormat="1" ht="16" customHeight="1" spans="1:10">
      <c r="A23" s="12">
        <v>18</v>
      </c>
      <c r="B23" s="17" t="s">
        <v>198</v>
      </c>
      <c r="C23" s="17" t="s">
        <v>158</v>
      </c>
      <c r="D23" s="17" t="s">
        <v>101</v>
      </c>
      <c r="E23" s="18">
        <v>1</v>
      </c>
      <c r="F23" s="14">
        <f t="shared" si="0"/>
        <v>247.058823529412</v>
      </c>
      <c r="G23" s="15">
        <f t="shared" si="1"/>
        <v>0.85</v>
      </c>
      <c r="H23" s="19">
        <v>210</v>
      </c>
      <c r="I23" s="16">
        <f t="shared" si="2"/>
        <v>210</v>
      </c>
      <c r="J23" s="17"/>
    </row>
    <row r="24" s="4" customFormat="1" ht="16" customHeight="1" spans="1:10">
      <c r="A24" s="12">
        <v>19</v>
      </c>
      <c r="B24" s="17" t="s">
        <v>199</v>
      </c>
      <c r="C24" s="17" t="s">
        <v>200</v>
      </c>
      <c r="D24" s="18" t="s">
        <v>60</v>
      </c>
      <c r="E24" s="18">
        <v>20</v>
      </c>
      <c r="F24" s="14">
        <f t="shared" si="0"/>
        <v>4.11764705882353</v>
      </c>
      <c r="G24" s="15">
        <f t="shared" si="1"/>
        <v>0.85</v>
      </c>
      <c r="H24" s="19">
        <v>3.5</v>
      </c>
      <c r="I24" s="16">
        <f t="shared" si="2"/>
        <v>70</v>
      </c>
      <c r="J24" s="17"/>
    </row>
    <row r="25" s="4" customFormat="1" ht="16" customHeight="1" spans="1:10">
      <c r="A25" s="12">
        <v>20</v>
      </c>
      <c r="B25" s="17"/>
      <c r="C25" s="17"/>
      <c r="D25" s="18"/>
      <c r="E25" s="18"/>
      <c r="F25" s="14"/>
      <c r="G25" s="15"/>
      <c r="H25" s="19"/>
      <c r="I25" s="16"/>
      <c r="J25" s="17"/>
    </row>
    <row r="26" s="4" customFormat="1" ht="16" customHeight="1" spans="1:10">
      <c r="A26" s="12">
        <v>21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23</v>
      </c>
      <c r="B28" s="17"/>
      <c r="C28" s="17"/>
      <c r="D28" s="17"/>
      <c r="E28" s="18"/>
      <c r="F28" s="14"/>
      <c r="G28" s="15"/>
      <c r="H28" s="19"/>
      <c r="I28" s="16"/>
      <c r="J28" s="17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7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4" customFormat="1" ht="16" customHeight="1" spans="1:10">
      <c r="A34" s="12">
        <v>29</v>
      </c>
      <c r="B34" s="12"/>
      <c r="C34" s="12"/>
      <c r="D34" s="12"/>
      <c r="E34" s="13"/>
      <c r="F34" s="14"/>
      <c r="G34" s="15"/>
      <c r="H34" s="16"/>
      <c r="I34" s="16"/>
      <c r="J34" s="12"/>
    </row>
    <row r="35" s="4" customFormat="1" customHeight="1" spans="1:10">
      <c r="A35" s="12" t="s">
        <v>201</v>
      </c>
      <c r="B35" s="20">
        <f>SUM(I6:I34)</f>
        <v>1376.428</v>
      </c>
      <c r="C35" s="21"/>
      <c r="D35" s="21"/>
      <c r="E35" s="21"/>
      <c r="F35" s="21"/>
      <c r="G35" s="21"/>
      <c r="H35" s="21"/>
      <c r="I35" s="21"/>
      <c r="J35" s="25"/>
    </row>
    <row r="36" s="4" customFormat="1" customHeight="1" spans="1:10">
      <c r="A36" s="12" t="s">
        <v>62</v>
      </c>
      <c r="B36" s="23">
        <f>B35</f>
        <v>1376.428</v>
      </c>
      <c r="C36" s="24"/>
      <c r="D36" s="24"/>
      <c r="E36" s="24"/>
      <c r="F36" s="24"/>
      <c r="G36" s="24"/>
      <c r="H36" s="24"/>
      <c r="I36" s="24"/>
      <c r="J36" s="26"/>
    </row>
    <row r="37" s="4" customFormat="1" customHeight="1" spans="1:1">
      <c r="A37" s="4" t="s">
        <v>63</v>
      </c>
    </row>
  </sheetData>
  <mergeCells count="4">
    <mergeCell ref="A1:J1"/>
    <mergeCell ref="B35:J35"/>
    <mergeCell ref="B36:J36"/>
    <mergeCell ref="A37:J37"/>
  </mergeCells>
  <conditionalFormatting sqref="B6:B34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4" workbookViewId="0">
      <selection activeCell="I14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163</v>
      </c>
      <c r="B3" s="4" t="s">
        <v>164</v>
      </c>
    </row>
    <row r="4" s="4" customFormat="1" customHeight="1" spans="1:10">
      <c r="A4" s="4" t="s">
        <v>165</v>
      </c>
      <c r="B4" s="9">
        <v>45114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3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9</v>
      </c>
      <c r="J6" s="12"/>
    </row>
    <row r="7" s="4" customFormat="1" ht="16" customHeight="1" spans="1:10">
      <c r="A7" s="12">
        <v>2</v>
      </c>
      <c r="B7" s="12" t="s">
        <v>73</v>
      </c>
      <c r="C7" s="12"/>
      <c r="D7" s="13" t="s">
        <v>70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4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14</v>
      </c>
      <c r="J8" s="12"/>
    </row>
    <row r="9" s="4" customFormat="1" ht="16" customHeight="1" spans="1:10">
      <c r="A9" s="12">
        <v>4</v>
      </c>
      <c r="B9" s="17" t="s">
        <v>80</v>
      </c>
      <c r="C9" s="17"/>
      <c r="D9" s="13" t="s">
        <v>70</v>
      </c>
      <c r="E9" s="13">
        <v>12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45.6</v>
      </c>
      <c r="J9" s="12"/>
    </row>
    <row r="10" s="4" customFormat="1" ht="16" customHeight="1" spans="1:10">
      <c r="A10" s="12">
        <v>5</v>
      </c>
      <c r="B10" s="17" t="s">
        <v>28</v>
      </c>
      <c r="C10" s="17"/>
      <c r="D10" s="13" t="s">
        <v>70</v>
      </c>
      <c r="E10" s="13">
        <v>2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15.6</v>
      </c>
      <c r="J10" s="12"/>
    </row>
    <row r="11" s="4" customFormat="1" ht="16" customHeight="1" spans="1:10">
      <c r="A11" s="12">
        <v>6</v>
      </c>
      <c r="B11" s="12" t="s">
        <v>83</v>
      </c>
      <c r="C11" s="12"/>
      <c r="D11" s="13" t="s">
        <v>70</v>
      </c>
      <c r="E11" s="13">
        <v>2</v>
      </c>
      <c r="F11" s="14">
        <f t="shared" si="0"/>
        <v>3.29411764705882</v>
      </c>
      <c r="G11" s="15">
        <f t="shared" si="1"/>
        <v>0.85</v>
      </c>
      <c r="H11" s="16">
        <v>2.8</v>
      </c>
      <c r="I11" s="16">
        <f t="shared" si="2"/>
        <v>5.6</v>
      </c>
      <c r="J11" s="12"/>
    </row>
    <row r="12" s="4" customFormat="1" ht="16" customHeight="1" spans="1:10">
      <c r="A12" s="12">
        <v>7</v>
      </c>
      <c r="B12" s="12" t="s">
        <v>229</v>
      </c>
      <c r="C12" s="12"/>
      <c r="D12" s="13" t="s">
        <v>70</v>
      </c>
      <c r="E12" s="13">
        <v>12</v>
      </c>
      <c r="F12" s="14">
        <f t="shared" si="0"/>
        <v>2.35294117647059</v>
      </c>
      <c r="G12" s="15">
        <f t="shared" si="1"/>
        <v>0.85</v>
      </c>
      <c r="H12" s="16">
        <v>2</v>
      </c>
      <c r="I12" s="16">
        <f t="shared" si="2"/>
        <v>24</v>
      </c>
      <c r="J12" s="12"/>
    </row>
    <row r="13" s="4" customFormat="1" ht="16" customHeight="1" spans="1:10">
      <c r="A13" s="12">
        <v>8</v>
      </c>
      <c r="B13" s="12" t="s">
        <v>56</v>
      </c>
      <c r="C13" s="12"/>
      <c r="D13" s="13" t="s">
        <v>70</v>
      </c>
      <c r="E13" s="13">
        <v>2</v>
      </c>
      <c r="F13" s="14">
        <f t="shared" si="0"/>
        <v>4.11764705882353</v>
      </c>
      <c r="G13" s="15">
        <f t="shared" si="1"/>
        <v>0.85</v>
      </c>
      <c r="H13" s="16">
        <v>3.5</v>
      </c>
      <c r="I13" s="16">
        <f t="shared" si="2"/>
        <v>7</v>
      </c>
      <c r="J13" s="12"/>
    </row>
    <row r="14" s="4" customFormat="1" ht="16" customHeight="1" spans="1:10">
      <c r="A14" s="12">
        <v>9</v>
      </c>
      <c r="B14" s="17" t="s">
        <v>202</v>
      </c>
      <c r="C14" s="17"/>
      <c r="D14" s="18" t="s">
        <v>70</v>
      </c>
      <c r="E14" s="18">
        <v>1</v>
      </c>
      <c r="F14" s="14">
        <f t="shared" si="0"/>
        <v>2.35294117647059</v>
      </c>
      <c r="G14" s="15">
        <f t="shared" si="1"/>
        <v>0.85</v>
      </c>
      <c r="H14" s="19">
        <v>2</v>
      </c>
      <c r="I14" s="16">
        <f t="shared" si="2"/>
        <v>2</v>
      </c>
      <c r="J14" s="17"/>
    </row>
    <row r="15" s="4" customFormat="1" ht="16" customHeight="1" spans="1:10">
      <c r="A15" s="12">
        <v>10</v>
      </c>
      <c r="B15" s="17" t="s">
        <v>85</v>
      </c>
      <c r="C15" s="17"/>
      <c r="D15" s="18" t="s">
        <v>70</v>
      </c>
      <c r="E15" s="18">
        <v>3</v>
      </c>
      <c r="F15" s="14">
        <f t="shared" si="0"/>
        <v>6.47058823529412</v>
      </c>
      <c r="G15" s="15">
        <f t="shared" si="1"/>
        <v>0.85</v>
      </c>
      <c r="H15" s="19">
        <v>5.5</v>
      </c>
      <c r="I15" s="16">
        <f t="shared" si="2"/>
        <v>16.5</v>
      </c>
      <c r="J15" s="17"/>
    </row>
    <row r="16" s="4" customFormat="1" ht="16" customHeight="1" spans="1:10">
      <c r="A16" s="12">
        <v>11</v>
      </c>
      <c r="B16" s="17" t="s">
        <v>210</v>
      </c>
      <c r="C16" s="17"/>
      <c r="D16" s="18" t="s">
        <v>70</v>
      </c>
      <c r="E16" s="18">
        <v>2</v>
      </c>
      <c r="F16" s="14">
        <f t="shared" si="0"/>
        <v>3.29411764705882</v>
      </c>
      <c r="G16" s="15">
        <f t="shared" si="1"/>
        <v>0.85</v>
      </c>
      <c r="H16" s="19">
        <v>2.8</v>
      </c>
      <c r="I16" s="16">
        <f t="shared" si="2"/>
        <v>5.6</v>
      </c>
      <c r="J16" s="17"/>
    </row>
    <row r="17" s="4" customFormat="1" ht="16" customHeight="1" spans="1:10">
      <c r="A17" s="12">
        <v>12</v>
      </c>
      <c r="B17" s="17" t="s">
        <v>87</v>
      </c>
      <c r="C17" s="17"/>
      <c r="D17" s="18" t="s">
        <v>70</v>
      </c>
      <c r="E17" s="18">
        <v>4</v>
      </c>
      <c r="F17" s="14">
        <f t="shared" si="0"/>
        <v>8</v>
      </c>
      <c r="G17" s="15">
        <f t="shared" si="1"/>
        <v>0.85</v>
      </c>
      <c r="H17" s="19">
        <v>6.8</v>
      </c>
      <c r="I17" s="16">
        <f t="shared" si="2"/>
        <v>27.2</v>
      </c>
      <c r="J17" s="17"/>
    </row>
    <row r="18" s="4" customFormat="1" ht="16" customHeight="1" spans="1:10">
      <c r="A18" s="12">
        <v>13</v>
      </c>
      <c r="B18" s="17" t="s">
        <v>89</v>
      </c>
      <c r="C18" s="17" t="s">
        <v>90</v>
      </c>
      <c r="D18" s="18" t="s">
        <v>91</v>
      </c>
      <c r="E18" s="18">
        <v>1</v>
      </c>
      <c r="F18" s="14">
        <f t="shared" si="0"/>
        <v>352.941176470588</v>
      </c>
      <c r="G18" s="15">
        <f t="shared" si="1"/>
        <v>0.85</v>
      </c>
      <c r="H18" s="19">
        <v>300</v>
      </c>
      <c r="I18" s="16">
        <f t="shared" si="2"/>
        <v>300</v>
      </c>
      <c r="J18" s="17"/>
    </row>
    <row r="19" s="4" customFormat="1" ht="16" customHeight="1" spans="1:10">
      <c r="A19" s="12">
        <v>14</v>
      </c>
      <c r="B19" s="12" t="s">
        <v>230</v>
      </c>
      <c r="C19" s="12"/>
      <c r="D19" s="13" t="s">
        <v>70</v>
      </c>
      <c r="E19" s="13">
        <v>5</v>
      </c>
      <c r="F19" s="14">
        <f t="shared" si="0"/>
        <v>15.2941176470588</v>
      </c>
      <c r="G19" s="15">
        <f t="shared" si="1"/>
        <v>0.85</v>
      </c>
      <c r="H19" s="16">
        <v>13</v>
      </c>
      <c r="I19" s="16">
        <f t="shared" si="2"/>
        <v>65</v>
      </c>
      <c r="J19" s="12"/>
    </row>
    <row r="20" s="4" customFormat="1" ht="16" customHeight="1" spans="1:10">
      <c r="A20" s="12">
        <v>15</v>
      </c>
      <c r="B20" s="17" t="s">
        <v>93</v>
      </c>
      <c r="C20" s="17"/>
      <c r="D20" s="18" t="s">
        <v>70</v>
      </c>
      <c r="E20" s="18">
        <v>2</v>
      </c>
      <c r="F20" s="14">
        <f t="shared" si="0"/>
        <v>15.2941176470588</v>
      </c>
      <c r="G20" s="15">
        <f t="shared" si="1"/>
        <v>0.85</v>
      </c>
      <c r="H20" s="19">
        <v>13</v>
      </c>
      <c r="I20" s="16">
        <f t="shared" si="2"/>
        <v>26</v>
      </c>
      <c r="J20" s="17"/>
    </row>
    <row r="21" s="4" customFormat="1" ht="16" customHeight="1" spans="1:10">
      <c r="A21" s="12">
        <v>16</v>
      </c>
      <c r="B21" s="17" t="s">
        <v>231</v>
      </c>
      <c r="C21" s="17"/>
      <c r="D21" s="18" t="s">
        <v>70</v>
      </c>
      <c r="E21" s="18">
        <v>14.4</v>
      </c>
      <c r="F21" s="14">
        <f t="shared" si="0"/>
        <v>16.2352941176471</v>
      </c>
      <c r="G21" s="15">
        <f t="shared" si="1"/>
        <v>0.85</v>
      </c>
      <c r="H21" s="19">
        <v>13.8</v>
      </c>
      <c r="I21" s="16">
        <f t="shared" si="2"/>
        <v>198.72</v>
      </c>
      <c r="J21" s="17"/>
    </row>
    <row r="22" s="4" customFormat="1" ht="16" customHeight="1" spans="1:10">
      <c r="A22" s="12">
        <v>17</v>
      </c>
      <c r="B22" s="17" t="s">
        <v>232</v>
      </c>
      <c r="C22" s="17" t="s">
        <v>233</v>
      </c>
      <c r="D22" s="18" t="s">
        <v>101</v>
      </c>
      <c r="E22" s="18">
        <v>5</v>
      </c>
      <c r="F22" s="14">
        <f t="shared" si="0"/>
        <v>8.23529411764706</v>
      </c>
      <c r="G22" s="15">
        <f t="shared" si="1"/>
        <v>0.85</v>
      </c>
      <c r="H22" s="19">
        <v>7</v>
      </c>
      <c r="I22" s="16">
        <f t="shared" si="2"/>
        <v>35</v>
      </c>
      <c r="J22" s="17"/>
    </row>
    <row r="23" s="4" customFormat="1" ht="16" customHeight="1" spans="1:10">
      <c r="A23" s="12">
        <v>18</v>
      </c>
      <c r="B23" s="17" t="s">
        <v>234</v>
      </c>
      <c r="C23" s="17" t="s">
        <v>235</v>
      </c>
      <c r="D23" s="17" t="s">
        <v>101</v>
      </c>
      <c r="E23" s="18">
        <v>5</v>
      </c>
      <c r="F23" s="14">
        <f t="shared" si="0"/>
        <v>8</v>
      </c>
      <c r="G23" s="15">
        <f t="shared" si="1"/>
        <v>0.85</v>
      </c>
      <c r="H23" s="19">
        <v>6.8</v>
      </c>
      <c r="I23" s="16">
        <f t="shared" si="2"/>
        <v>34</v>
      </c>
      <c r="J23" s="17"/>
    </row>
    <row r="24" s="4" customFormat="1" ht="16" customHeight="1" spans="1:10">
      <c r="A24" s="12">
        <v>19</v>
      </c>
      <c r="B24" s="17" t="s">
        <v>236</v>
      </c>
      <c r="C24" s="17" t="s">
        <v>237</v>
      </c>
      <c r="D24" s="18" t="s">
        <v>101</v>
      </c>
      <c r="E24" s="18">
        <v>2</v>
      </c>
      <c r="F24" s="14">
        <f t="shared" si="0"/>
        <v>25.8823529411765</v>
      </c>
      <c r="G24" s="15">
        <f t="shared" si="1"/>
        <v>0.85</v>
      </c>
      <c r="H24" s="19">
        <v>22</v>
      </c>
      <c r="I24" s="16">
        <f t="shared" si="2"/>
        <v>44</v>
      </c>
      <c r="J24" s="17"/>
    </row>
    <row r="25" s="4" customFormat="1" ht="16" customHeight="1" spans="1:10">
      <c r="A25" s="12">
        <v>20</v>
      </c>
      <c r="B25" s="17" t="s">
        <v>238</v>
      </c>
      <c r="C25" s="17"/>
      <c r="D25" s="18" t="s">
        <v>70</v>
      </c>
      <c r="E25" s="18">
        <v>3</v>
      </c>
      <c r="F25" s="14">
        <f t="shared" ref="F25:F33" si="3">H25/0.85</f>
        <v>52.9411764705882</v>
      </c>
      <c r="G25" s="15">
        <f t="shared" ref="G25:G33" si="4">H25/F25</f>
        <v>0.85</v>
      </c>
      <c r="H25" s="19">
        <v>45</v>
      </c>
      <c r="I25" s="16">
        <f t="shared" ref="I25:I33" si="5">E25*H25</f>
        <v>135</v>
      </c>
      <c r="J25" s="17"/>
    </row>
    <row r="26" s="4" customFormat="1" ht="16" customHeight="1" spans="1:10">
      <c r="A26" s="12">
        <v>21</v>
      </c>
      <c r="B26" s="12" t="s">
        <v>239</v>
      </c>
      <c r="C26" s="12"/>
      <c r="D26" s="13" t="s">
        <v>70</v>
      </c>
      <c r="E26" s="13">
        <v>2</v>
      </c>
      <c r="F26" s="14">
        <f t="shared" si="3"/>
        <v>29.4117647058824</v>
      </c>
      <c r="G26" s="15">
        <f t="shared" si="4"/>
        <v>0.85</v>
      </c>
      <c r="H26" s="16">
        <v>25</v>
      </c>
      <c r="I26" s="16">
        <f t="shared" si="5"/>
        <v>50</v>
      </c>
      <c r="J26" s="12"/>
    </row>
    <row r="27" s="4" customFormat="1" ht="16" customHeight="1" spans="1:10">
      <c r="A27" s="12">
        <v>22</v>
      </c>
      <c r="B27" s="17" t="s">
        <v>240</v>
      </c>
      <c r="C27" s="17" t="s">
        <v>241</v>
      </c>
      <c r="D27" s="13" t="s">
        <v>70</v>
      </c>
      <c r="E27" s="13">
        <v>5</v>
      </c>
      <c r="F27" s="14">
        <f t="shared" si="3"/>
        <v>14.1176470588235</v>
      </c>
      <c r="G27" s="15">
        <f t="shared" si="4"/>
        <v>0.85</v>
      </c>
      <c r="H27" s="16">
        <v>12</v>
      </c>
      <c r="I27" s="16">
        <f t="shared" si="5"/>
        <v>60</v>
      </c>
      <c r="J27" s="12"/>
    </row>
    <row r="28" s="4" customFormat="1" ht="16" customHeight="1" spans="1:10">
      <c r="A28" s="12">
        <v>23</v>
      </c>
      <c r="B28" s="17" t="s">
        <v>180</v>
      </c>
      <c r="C28" s="17" t="s">
        <v>181</v>
      </c>
      <c r="D28" s="17" t="s">
        <v>70</v>
      </c>
      <c r="E28" s="18">
        <v>10</v>
      </c>
      <c r="F28" s="14">
        <f t="shared" si="3"/>
        <v>8</v>
      </c>
      <c r="G28" s="15">
        <f t="shared" si="4"/>
        <v>0.85</v>
      </c>
      <c r="H28" s="19">
        <v>6.8</v>
      </c>
      <c r="I28" s="16">
        <f t="shared" si="5"/>
        <v>68</v>
      </c>
      <c r="J28" s="17"/>
    </row>
    <row r="29" s="4" customFormat="1" ht="16" customHeight="1" spans="1:10">
      <c r="A29" s="12">
        <v>24</v>
      </c>
      <c r="B29" s="12" t="s">
        <v>242</v>
      </c>
      <c r="C29" s="12" t="s">
        <v>243</v>
      </c>
      <c r="D29" s="17" t="s">
        <v>70</v>
      </c>
      <c r="E29" s="13">
        <v>8</v>
      </c>
      <c r="F29" s="14">
        <f t="shared" si="3"/>
        <v>9.41176470588235</v>
      </c>
      <c r="G29" s="15">
        <f t="shared" si="4"/>
        <v>0.85</v>
      </c>
      <c r="H29" s="16">
        <v>8</v>
      </c>
      <c r="I29" s="16">
        <f t="shared" si="5"/>
        <v>64</v>
      </c>
      <c r="J29" s="12"/>
    </row>
    <row r="30" s="4" customFormat="1" ht="16" customHeight="1" spans="1:10">
      <c r="A30" s="12">
        <v>25</v>
      </c>
      <c r="B30" s="12" t="s">
        <v>244</v>
      </c>
      <c r="C30" s="12" t="s">
        <v>245</v>
      </c>
      <c r="D30" s="17" t="s">
        <v>15</v>
      </c>
      <c r="E30" s="13">
        <v>4</v>
      </c>
      <c r="F30" s="14">
        <f t="shared" si="3"/>
        <v>19.4117647058824</v>
      </c>
      <c r="G30" s="15">
        <f t="shared" si="4"/>
        <v>0.85</v>
      </c>
      <c r="H30" s="16">
        <v>16.5</v>
      </c>
      <c r="I30" s="16">
        <f t="shared" si="5"/>
        <v>66</v>
      </c>
      <c r="J30" s="12"/>
    </row>
    <row r="31" s="4" customFormat="1" ht="16" customHeight="1" spans="1:10">
      <c r="A31" s="12">
        <v>26</v>
      </c>
      <c r="B31" s="12" t="s">
        <v>246</v>
      </c>
      <c r="C31" s="12"/>
      <c r="D31" s="12" t="s">
        <v>70</v>
      </c>
      <c r="E31" s="13">
        <v>7.4</v>
      </c>
      <c r="F31" s="14">
        <f t="shared" si="3"/>
        <v>103.529411764706</v>
      </c>
      <c r="G31" s="15">
        <f t="shared" si="4"/>
        <v>0.85</v>
      </c>
      <c r="H31" s="16">
        <v>88</v>
      </c>
      <c r="I31" s="16">
        <f t="shared" si="5"/>
        <v>651.2</v>
      </c>
      <c r="J31" s="12"/>
    </row>
    <row r="32" s="4" customFormat="1" ht="16" customHeight="1" spans="1:10">
      <c r="A32" s="12">
        <v>27</v>
      </c>
      <c r="B32" s="12" t="s">
        <v>199</v>
      </c>
      <c r="C32" s="12" t="s">
        <v>200</v>
      </c>
      <c r="D32" s="12" t="s">
        <v>60</v>
      </c>
      <c r="E32" s="13">
        <v>55</v>
      </c>
      <c r="F32" s="14">
        <f t="shared" si="3"/>
        <v>4.11764705882353</v>
      </c>
      <c r="G32" s="15">
        <f t="shared" si="4"/>
        <v>0.85</v>
      </c>
      <c r="H32" s="16">
        <v>3.5</v>
      </c>
      <c r="I32" s="16">
        <f t="shared" si="5"/>
        <v>192.5</v>
      </c>
      <c r="J32" s="12"/>
    </row>
    <row r="33" s="4" customFormat="1" customHeight="1" spans="1:10">
      <c r="A33" s="12" t="s">
        <v>201</v>
      </c>
      <c r="B33" s="20">
        <f>SUM(I6:I32)</f>
        <v>2168.52</v>
      </c>
      <c r="C33" s="21"/>
      <c r="D33" s="21"/>
      <c r="E33" s="21"/>
      <c r="F33" s="21"/>
      <c r="G33" s="21"/>
      <c r="H33" s="21"/>
      <c r="I33" s="21"/>
      <c r="J33" s="25"/>
    </row>
    <row r="34" s="4" customFormat="1" customHeight="1" spans="1:10">
      <c r="A34" s="12" t="s">
        <v>62</v>
      </c>
      <c r="B34" s="23">
        <f>B33</f>
        <v>2168.52</v>
      </c>
      <c r="C34" s="24"/>
      <c r="D34" s="24"/>
      <c r="E34" s="24"/>
      <c r="F34" s="24"/>
      <c r="G34" s="24"/>
      <c r="H34" s="24"/>
      <c r="I34" s="24"/>
      <c r="J34" s="26"/>
    </row>
    <row r="35" s="4" customFormat="1" customHeight="1" spans="1:1">
      <c r="A35" s="4" t="s">
        <v>63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5"/>
  <sheetViews>
    <sheetView topLeftCell="A2" workbookViewId="0">
      <selection activeCell="B34" sqref="B34:J34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163</v>
      </c>
      <c r="B3" s="4" t="s">
        <v>164</v>
      </c>
    </row>
    <row r="4" s="4" customFormat="1" customHeight="1" spans="1:10">
      <c r="A4" s="4" t="s">
        <v>165</v>
      </c>
      <c r="B4" s="9">
        <v>45115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6384">
      <c r="A6" s="12">
        <v>1</v>
      </c>
      <c r="B6" s="12" t="s">
        <v>223</v>
      </c>
      <c r="C6" s="12"/>
      <c r="D6" s="13" t="s">
        <v>70</v>
      </c>
      <c r="E6" s="13">
        <v>18</v>
      </c>
      <c r="F6" s="14">
        <f>H6/0.85</f>
        <v>5.64705882352941</v>
      </c>
      <c r="G6" s="15">
        <f>H6/F6</f>
        <v>0.85</v>
      </c>
      <c r="H6" s="16">
        <v>4.8</v>
      </c>
      <c r="I6" s="16">
        <f>E6*H6</f>
        <v>86.4</v>
      </c>
      <c r="J6" s="12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  <c r="XFC6" s="6"/>
      <c r="XFD6" s="6"/>
    </row>
    <row r="7" s="4" customFormat="1" ht="16" customHeight="1" spans="1:10">
      <c r="A7" s="12">
        <v>2</v>
      </c>
      <c r="B7" s="12"/>
      <c r="C7" s="12"/>
      <c r="D7" s="13"/>
      <c r="E7" s="13"/>
      <c r="F7" s="14"/>
      <c r="G7" s="15"/>
      <c r="H7" s="16"/>
      <c r="I7" s="16"/>
      <c r="J7" s="12"/>
    </row>
    <row r="8" s="4" customFormat="1" ht="16" customHeight="1" spans="1:10">
      <c r="A8" s="12">
        <v>3</v>
      </c>
      <c r="B8" s="17"/>
      <c r="C8" s="17"/>
      <c r="D8" s="13"/>
      <c r="E8" s="13"/>
      <c r="F8" s="14"/>
      <c r="G8" s="15"/>
      <c r="H8" s="16"/>
      <c r="I8" s="16"/>
      <c r="J8" s="12"/>
    </row>
    <row r="9" s="4" customFormat="1" ht="16" customHeight="1" spans="1:10">
      <c r="A9" s="12">
        <v>4</v>
      </c>
      <c r="B9" s="17"/>
      <c r="C9" s="17"/>
      <c r="D9" s="13"/>
      <c r="E9" s="13"/>
      <c r="F9" s="14"/>
      <c r="G9" s="15"/>
      <c r="H9" s="16"/>
      <c r="I9" s="16"/>
      <c r="J9" s="12"/>
    </row>
    <row r="10" s="4" customFormat="1" ht="16" customHeight="1" spans="1:10">
      <c r="A10" s="12">
        <v>5</v>
      </c>
      <c r="B10" s="12"/>
      <c r="C10" s="12"/>
      <c r="D10" s="13"/>
      <c r="E10" s="13"/>
      <c r="F10" s="14"/>
      <c r="G10" s="15"/>
      <c r="H10" s="16"/>
      <c r="I10" s="16"/>
      <c r="J10" s="12"/>
    </row>
    <row r="11" s="4" customFormat="1" ht="16" customHeight="1" spans="1:10">
      <c r="A11" s="12">
        <v>6</v>
      </c>
      <c r="B11" s="12"/>
      <c r="C11" s="12"/>
      <c r="D11" s="13"/>
      <c r="E11" s="13"/>
      <c r="F11" s="14"/>
      <c r="G11" s="15"/>
      <c r="H11" s="16"/>
      <c r="I11" s="16"/>
      <c r="J11" s="12"/>
    </row>
    <row r="12" s="4" customFormat="1" ht="16" customHeight="1" spans="1:10">
      <c r="A12" s="12">
        <v>7</v>
      </c>
      <c r="B12" s="12"/>
      <c r="C12" s="12"/>
      <c r="D12" s="13"/>
      <c r="E12" s="13"/>
      <c r="F12" s="14"/>
      <c r="G12" s="15"/>
      <c r="H12" s="16"/>
      <c r="I12" s="16"/>
      <c r="J12" s="12"/>
    </row>
    <row r="13" s="4" customFormat="1" ht="16" customHeight="1" spans="1:10">
      <c r="A13" s="12">
        <v>8</v>
      </c>
      <c r="B13" s="17"/>
      <c r="C13" s="17"/>
      <c r="D13" s="18"/>
      <c r="E13" s="18"/>
      <c r="F13" s="14"/>
      <c r="G13" s="15"/>
      <c r="H13" s="19"/>
      <c r="I13" s="16"/>
      <c r="J13" s="17"/>
    </row>
    <row r="14" s="4" customFormat="1" ht="16" customHeight="1" spans="1:10">
      <c r="A14" s="12">
        <v>9</v>
      </c>
      <c r="B14" s="17"/>
      <c r="C14" s="17"/>
      <c r="D14" s="18"/>
      <c r="E14" s="18"/>
      <c r="F14" s="14"/>
      <c r="G14" s="15"/>
      <c r="H14" s="19"/>
      <c r="I14" s="16"/>
      <c r="J14" s="17"/>
    </row>
    <row r="15" s="4" customFormat="1" ht="16" customHeight="1" spans="1:10">
      <c r="A15" s="12">
        <v>10</v>
      </c>
      <c r="B15" s="17"/>
      <c r="C15" s="17"/>
      <c r="D15" s="18"/>
      <c r="E15" s="18"/>
      <c r="F15" s="14"/>
      <c r="G15" s="15"/>
      <c r="H15" s="19"/>
      <c r="I15" s="16"/>
      <c r="J15" s="17"/>
    </row>
    <row r="16" s="4" customFormat="1" ht="16" customHeight="1" spans="1:10">
      <c r="A16" s="12">
        <v>11</v>
      </c>
      <c r="B16" s="17"/>
      <c r="C16" s="17"/>
      <c r="D16" s="18"/>
      <c r="E16" s="18"/>
      <c r="F16" s="14"/>
      <c r="G16" s="15"/>
      <c r="H16" s="19"/>
      <c r="I16" s="16"/>
      <c r="J16" s="17"/>
    </row>
    <row r="17" s="4" customFormat="1" ht="16" customHeight="1" spans="1:10">
      <c r="A17" s="12">
        <v>12</v>
      </c>
      <c r="B17" s="17"/>
      <c r="C17" s="17"/>
      <c r="D17" s="18"/>
      <c r="E17" s="18"/>
      <c r="F17" s="14"/>
      <c r="G17" s="15"/>
      <c r="H17" s="19"/>
      <c r="I17" s="16"/>
      <c r="J17" s="17"/>
    </row>
    <row r="18" s="4" customFormat="1" ht="16" customHeight="1" spans="1:10">
      <c r="A18" s="12">
        <v>13</v>
      </c>
      <c r="B18" s="12"/>
      <c r="C18" s="12"/>
      <c r="D18" s="13"/>
      <c r="E18" s="13"/>
      <c r="F18" s="14"/>
      <c r="G18" s="15"/>
      <c r="H18" s="16"/>
      <c r="I18" s="16"/>
      <c r="J18" s="12"/>
    </row>
    <row r="19" s="4" customFormat="1" ht="16" customHeight="1" spans="1:10">
      <c r="A19" s="12">
        <v>14</v>
      </c>
      <c r="B19" s="17"/>
      <c r="C19" s="17"/>
      <c r="D19" s="18"/>
      <c r="E19" s="18"/>
      <c r="F19" s="14"/>
      <c r="G19" s="15"/>
      <c r="H19" s="19"/>
      <c r="I19" s="16"/>
      <c r="J19" s="17"/>
    </row>
    <row r="20" s="4" customFormat="1" ht="16" customHeight="1" spans="1:10">
      <c r="A20" s="12">
        <v>15</v>
      </c>
      <c r="B20" s="17"/>
      <c r="C20" s="17"/>
      <c r="D20" s="18"/>
      <c r="E20" s="18"/>
      <c r="F20" s="14"/>
      <c r="G20" s="15"/>
      <c r="H20" s="19"/>
      <c r="I20" s="16"/>
      <c r="J20" s="17"/>
    </row>
    <row r="21" s="4" customFormat="1" ht="16" customHeight="1" spans="1:10">
      <c r="A21" s="12">
        <v>16</v>
      </c>
      <c r="B21" s="17"/>
      <c r="C21" s="17"/>
      <c r="D21" s="18"/>
      <c r="E21" s="18"/>
      <c r="F21" s="14"/>
      <c r="G21" s="15"/>
      <c r="H21" s="19"/>
      <c r="I21" s="16"/>
      <c r="J21" s="17"/>
    </row>
    <row r="22" s="4" customFormat="1" ht="16" customHeight="1" spans="1:10">
      <c r="A22" s="12">
        <v>17</v>
      </c>
      <c r="B22" s="17"/>
      <c r="C22" s="17"/>
      <c r="D22" s="17"/>
      <c r="E22" s="18"/>
      <c r="F22" s="14"/>
      <c r="G22" s="15"/>
      <c r="H22" s="19"/>
      <c r="I22" s="16"/>
      <c r="J22" s="17"/>
    </row>
    <row r="23" s="4" customFormat="1" ht="16" customHeight="1" spans="1:10">
      <c r="A23" s="12">
        <v>18</v>
      </c>
      <c r="B23" s="17"/>
      <c r="C23" s="17"/>
      <c r="D23" s="18"/>
      <c r="E23" s="18"/>
      <c r="F23" s="14"/>
      <c r="G23" s="15"/>
      <c r="H23" s="19"/>
      <c r="I23" s="16"/>
      <c r="J23" s="17"/>
    </row>
    <row r="24" s="4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20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21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7"/>
      <c r="E27" s="18"/>
      <c r="F27" s="14"/>
      <c r="G27" s="15"/>
      <c r="H27" s="19"/>
      <c r="I27" s="16"/>
      <c r="J27" s="17"/>
    </row>
    <row r="28" s="4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customHeight="1" spans="1:10">
      <c r="A33" s="12" t="s">
        <v>201</v>
      </c>
      <c r="B33" s="20">
        <f>SUM(I6:I32)</f>
        <v>86.4</v>
      </c>
      <c r="C33" s="21"/>
      <c r="D33" s="21"/>
      <c r="E33" s="21"/>
      <c r="F33" s="21"/>
      <c r="G33" s="21"/>
      <c r="H33" s="21"/>
      <c r="I33" s="21"/>
      <c r="J33" s="25"/>
    </row>
    <row r="34" s="4" customFormat="1" customHeight="1" spans="1:10">
      <c r="A34" s="12" t="s">
        <v>62</v>
      </c>
      <c r="B34" s="23">
        <f>B33</f>
        <v>86.4</v>
      </c>
      <c r="C34" s="24"/>
      <c r="D34" s="24"/>
      <c r="E34" s="24"/>
      <c r="F34" s="24"/>
      <c r="G34" s="24"/>
      <c r="H34" s="24"/>
      <c r="I34" s="24"/>
      <c r="J34" s="26"/>
    </row>
    <row r="35" s="4" customFormat="1" customHeight="1" spans="1:1">
      <c r="A35" s="4" t="s">
        <v>63</v>
      </c>
    </row>
  </sheetData>
  <mergeCells count="4">
    <mergeCell ref="A1:J1"/>
    <mergeCell ref="B33:J33"/>
    <mergeCell ref="B34:J34"/>
    <mergeCell ref="A35:J35"/>
  </mergeCells>
  <conditionalFormatting sqref="B6">
    <cfRule type="duplicateValues" dxfId="0" priority="2"/>
    <cfRule type="duplicateValues" dxfId="0" priority="1"/>
  </conditionalFormatting>
  <conditionalFormatting sqref="B7:B32">
    <cfRule type="duplicateValues" dxfId="0" priority="3"/>
  </conditionalFormatting>
  <conditionalFormatting sqref="C6 B7:C25">
    <cfRule type="duplicateValues" dxfId="0" priority="4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163</v>
      </c>
      <c r="B3" s="4" t="s">
        <v>164</v>
      </c>
    </row>
    <row r="4" s="4" customFormat="1" customHeight="1" spans="1:10">
      <c r="A4" s="4" t="s">
        <v>165</v>
      </c>
      <c r="B4" s="9">
        <v>45117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69</v>
      </c>
      <c r="C6" s="12"/>
      <c r="D6" s="13" t="s">
        <v>70</v>
      </c>
      <c r="E6" s="13">
        <v>2</v>
      </c>
      <c r="F6" s="14">
        <f t="shared" ref="F6:F33" si="0">H6/0.85</f>
        <v>4.70588235294118</v>
      </c>
      <c r="G6" s="15">
        <f t="shared" ref="G6:G33" si="1">H6/F6</f>
        <v>0.85</v>
      </c>
      <c r="H6" s="16">
        <v>4</v>
      </c>
      <c r="I6" s="16">
        <f t="shared" ref="I6:I33" si="2">E6*H6</f>
        <v>8</v>
      </c>
      <c r="J6" s="12"/>
    </row>
    <row r="7" s="4" customFormat="1" ht="16" customHeight="1" spans="1:10">
      <c r="A7" s="12">
        <v>2</v>
      </c>
      <c r="B7" s="12" t="s">
        <v>71</v>
      </c>
      <c r="C7" s="12" t="s">
        <v>72</v>
      </c>
      <c r="D7" s="13" t="s">
        <v>70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74</v>
      </c>
      <c r="C8" s="12"/>
      <c r="D8" s="13" t="s">
        <v>70</v>
      </c>
      <c r="E8" s="13">
        <v>5</v>
      </c>
      <c r="F8" s="14">
        <f t="shared" si="0"/>
        <v>3.52941176470588</v>
      </c>
      <c r="G8" s="15">
        <f t="shared" si="1"/>
        <v>0.85</v>
      </c>
      <c r="H8" s="16">
        <v>3</v>
      </c>
      <c r="I8" s="16">
        <f t="shared" si="2"/>
        <v>15</v>
      </c>
      <c r="J8" s="12"/>
    </row>
    <row r="9" s="4" customFormat="1" ht="16" customHeight="1" spans="1:10">
      <c r="A9" s="12">
        <v>4</v>
      </c>
      <c r="B9" s="17" t="s">
        <v>75</v>
      </c>
      <c r="C9" s="17"/>
      <c r="D9" s="13" t="s">
        <v>70</v>
      </c>
      <c r="E9" s="13">
        <v>3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10.5</v>
      </c>
      <c r="J9" s="12"/>
    </row>
    <row r="10" s="4" customFormat="1" ht="16" customHeight="1" spans="1:10">
      <c r="A10" s="12">
        <v>5</v>
      </c>
      <c r="B10" s="17" t="s">
        <v>77</v>
      </c>
      <c r="C10" s="17"/>
      <c r="D10" s="13" t="s">
        <v>70</v>
      </c>
      <c r="E10" s="13">
        <v>2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7</v>
      </c>
      <c r="J10" s="12"/>
    </row>
    <row r="11" s="4" customFormat="1" ht="16" customHeight="1" spans="1:10">
      <c r="A11" s="12">
        <v>6</v>
      </c>
      <c r="B11" s="12" t="s">
        <v>247</v>
      </c>
      <c r="C11" s="12"/>
      <c r="D11" s="13" t="s">
        <v>70</v>
      </c>
      <c r="E11" s="13">
        <v>3</v>
      </c>
      <c r="F11" s="14">
        <f t="shared" si="0"/>
        <v>2.94117647058824</v>
      </c>
      <c r="G11" s="15">
        <f t="shared" si="1"/>
        <v>0.85</v>
      </c>
      <c r="H11" s="16">
        <v>2.5</v>
      </c>
      <c r="I11" s="16">
        <f t="shared" si="2"/>
        <v>7.5</v>
      </c>
      <c r="J11" s="12"/>
    </row>
    <row r="12" s="4" customFormat="1" ht="16" customHeight="1" spans="1:10">
      <c r="A12" s="12">
        <v>7</v>
      </c>
      <c r="B12" s="12" t="s">
        <v>167</v>
      </c>
      <c r="C12" s="12"/>
      <c r="D12" s="13" t="s">
        <v>70</v>
      </c>
      <c r="E12" s="13">
        <v>12</v>
      </c>
      <c r="F12" s="14">
        <f t="shared" si="0"/>
        <v>6.82352941176471</v>
      </c>
      <c r="G12" s="15">
        <f t="shared" si="1"/>
        <v>0.85</v>
      </c>
      <c r="H12" s="16">
        <v>5.8</v>
      </c>
      <c r="I12" s="16">
        <f t="shared" si="2"/>
        <v>69.6</v>
      </c>
      <c r="J12" s="12"/>
    </row>
    <row r="13" s="4" customFormat="1" ht="16" customHeight="1" spans="1:10">
      <c r="A13" s="12">
        <v>8</v>
      </c>
      <c r="B13" s="12" t="s">
        <v>168</v>
      </c>
      <c r="C13" s="12"/>
      <c r="D13" s="13" t="s">
        <v>70</v>
      </c>
      <c r="E13" s="13">
        <v>4</v>
      </c>
      <c r="F13" s="14">
        <f t="shared" si="0"/>
        <v>9.17647058823529</v>
      </c>
      <c r="G13" s="15">
        <f t="shared" si="1"/>
        <v>0.85</v>
      </c>
      <c r="H13" s="16">
        <v>7.8</v>
      </c>
      <c r="I13" s="16">
        <f t="shared" si="2"/>
        <v>31.2</v>
      </c>
      <c r="J13" s="12"/>
    </row>
    <row r="14" s="4" customFormat="1" ht="16" customHeight="1" spans="1:10">
      <c r="A14" s="12">
        <v>9</v>
      </c>
      <c r="B14" s="17" t="s">
        <v>81</v>
      </c>
      <c r="C14" s="17"/>
      <c r="D14" s="18" t="s">
        <v>70</v>
      </c>
      <c r="E14" s="18">
        <v>8</v>
      </c>
      <c r="F14" s="14">
        <f t="shared" si="0"/>
        <v>4.11764705882353</v>
      </c>
      <c r="G14" s="15">
        <f t="shared" si="1"/>
        <v>0.85</v>
      </c>
      <c r="H14" s="19">
        <v>3.5</v>
      </c>
      <c r="I14" s="16">
        <f t="shared" si="2"/>
        <v>28</v>
      </c>
      <c r="J14" s="17"/>
    </row>
    <row r="15" s="4" customFormat="1" ht="16" customHeight="1" spans="1:10">
      <c r="A15" s="12">
        <v>10</v>
      </c>
      <c r="B15" s="17" t="s">
        <v>28</v>
      </c>
      <c r="C15" s="17"/>
      <c r="D15" s="18" t="s">
        <v>70</v>
      </c>
      <c r="E15" s="18">
        <v>2</v>
      </c>
      <c r="F15" s="14">
        <f t="shared" si="0"/>
        <v>9.17647058823529</v>
      </c>
      <c r="G15" s="15">
        <f t="shared" si="1"/>
        <v>0.85</v>
      </c>
      <c r="H15" s="19">
        <v>7.8</v>
      </c>
      <c r="I15" s="16">
        <f t="shared" si="2"/>
        <v>15.6</v>
      </c>
      <c r="J15" s="17"/>
    </row>
    <row r="16" s="4" customFormat="1" ht="16" customHeight="1" spans="1:10">
      <c r="A16" s="12">
        <v>11</v>
      </c>
      <c r="B16" s="17" t="s">
        <v>29</v>
      </c>
      <c r="C16" s="17"/>
      <c r="D16" s="18" t="s">
        <v>70</v>
      </c>
      <c r="E16" s="18">
        <v>3</v>
      </c>
      <c r="F16" s="14">
        <f t="shared" si="0"/>
        <v>4.47058823529412</v>
      </c>
      <c r="G16" s="15">
        <f t="shared" si="1"/>
        <v>0.85</v>
      </c>
      <c r="H16" s="19">
        <v>3.8</v>
      </c>
      <c r="I16" s="16">
        <f t="shared" si="2"/>
        <v>11.4</v>
      </c>
      <c r="J16" s="17"/>
    </row>
    <row r="17" s="4" customFormat="1" ht="16" customHeight="1" spans="1:10">
      <c r="A17" s="12">
        <v>12</v>
      </c>
      <c r="B17" s="17" t="s">
        <v>82</v>
      </c>
      <c r="C17" s="17"/>
      <c r="D17" s="18" t="s">
        <v>70</v>
      </c>
      <c r="E17" s="18">
        <v>16</v>
      </c>
      <c r="F17" s="14">
        <f t="shared" si="0"/>
        <v>4.47058823529412</v>
      </c>
      <c r="G17" s="15">
        <f t="shared" si="1"/>
        <v>0.85</v>
      </c>
      <c r="H17" s="19">
        <v>3.8</v>
      </c>
      <c r="I17" s="16">
        <f t="shared" si="2"/>
        <v>60.8</v>
      </c>
      <c r="J17" s="17"/>
    </row>
    <row r="18" s="4" customFormat="1" ht="16" customHeight="1" spans="1:10">
      <c r="A18" s="12">
        <v>13</v>
      </c>
      <c r="B18" s="17" t="s">
        <v>43</v>
      </c>
      <c r="C18" s="17"/>
      <c r="D18" s="18" t="s">
        <v>70</v>
      </c>
      <c r="E18" s="18">
        <v>14</v>
      </c>
      <c r="F18" s="14">
        <f t="shared" si="0"/>
        <v>4.47058823529412</v>
      </c>
      <c r="G18" s="15">
        <f t="shared" si="1"/>
        <v>0.85</v>
      </c>
      <c r="H18" s="19">
        <v>3.8</v>
      </c>
      <c r="I18" s="16">
        <f t="shared" si="2"/>
        <v>53.2</v>
      </c>
      <c r="J18" s="17"/>
    </row>
    <row r="19" s="4" customFormat="1" ht="16" customHeight="1" spans="1:10">
      <c r="A19" s="12">
        <v>14</v>
      </c>
      <c r="B19" s="12" t="s">
        <v>223</v>
      </c>
      <c r="C19" s="12"/>
      <c r="D19" s="13" t="s">
        <v>70</v>
      </c>
      <c r="E19" s="13">
        <v>62</v>
      </c>
      <c r="F19" s="14">
        <f t="shared" si="0"/>
        <v>5.64705882352941</v>
      </c>
      <c r="G19" s="15">
        <f t="shared" si="1"/>
        <v>0.85</v>
      </c>
      <c r="H19" s="16">
        <v>4.8</v>
      </c>
      <c r="I19" s="16">
        <f t="shared" si="2"/>
        <v>297.6</v>
      </c>
      <c r="J19" s="12"/>
    </row>
    <row r="20" s="4" customFormat="1" ht="16" customHeight="1" spans="1:10">
      <c r="A20" s="12">
        <v>15</v>
      </c>
      <c r="B20" s="17" t="s">
        <v>248</v>
      </c>
      <c r="C20" s="17"/>
      <c r="D20" s="18" t="s">
        <v>70</v>
      </c>
      <c r="E20" s="18">
        <v>14.3</v>
      </c>
      <c r="F20" s="14">
        <f t="shared" si="0"/>
        <v>6.47058823529412</v>
      </c>
      <c r="G20" s="15">
        <f t="shared" si="1"/>
        <v>0.85</v>
      </c>
      <c r="H20" s="19">
        <v>5.5</v>
      </c>
      <c r="I20" s="16">
        <f t="shared" si="2"/>
        <v>78.65</v>
      </c>
      <c r="J20" s="17"/>
    </row>
    <row r="21" s="4" customFormat="1" ht="16" customHeight="1" spans="1:10">
      <c r="A21" s="12">
        <v>16</v>
      </c>
      <c r="B21" s="17" t="s">
        <v>249</v>
      </c>
      <c r="C21" s="17"/>
      <c r="D21" s="18" t="s">
        <v>70</v>
      </c>
      <c r="E21" s="18">
        <v>6</v>
      </c>
      <c r="F21" s="14">
        <f t="shared" si="0"/>
        <v>56.4705882352941</v>
      </c>
      <c r="G21" s="15">
        <f t="shared" si="1"/>
        <v>0.85</v>
      </c>
      <c r="H21" s="19">
        <v>48</v>
      </c>
      <c r="I21" s="16">
        <f t="shared" si="2"/>
        <v>288</v>
      </c>
      <c r="J21" s="17"/>
    </row>
    <row r="22" s="4" customFormat="1" ht="16" customHeight="1" spans="1:10">
      <c r="A22" s="12">
        <v>17</v>
      </c>
      <c r="B22" s="17" t="s">
        <v>93</v>
      </c>
      <c r="C22" s="17"/>
      <c r="D22" s="18" t="s">
        <v>70</v>
      </c>
      <c r="E22" s="18">
        <v>2</v>
      </c>
      <c r="F22" s="14">
        <f t="shared" si="0"/>
        <v>15.2941176470588</v>
      </c>
      <c r="G22" s="15">
        <f t="shared" si="1"/>
        <v>0.85</v>
      </c>
      <c r="H22" s="19">
        <v>13</v>
      </c>
      <c r="I22" s="16">
        <f t="shared" si="2"/>
        <v>26</v>
      </c>
      <c r="J22" s="17"/>
    </row>
    <row r="23" s="4" customFormat="1" ht="16" customHeight="1" spans="1:10">
      <c r="A23" s="12">
        <v>18</v>
      </c>
      <c r="B23" s="17" t="s">
        <v>94</v>
      </c>
      <c r="C23" s="17"/>
      <c r="D23" s="17" t="s">
        <v>70</v>
      </c>
      <c r="E23" s="18">
        <v>3</v>
      </c>
      <c r="F23" s="14">
        <f t="shared" si="0"/>
        <v>23.5294117647059</v>
      </c>
      <c r="G23" s="15">
        <f t="shared" si="1"/>
        <v>0.85</v>
      </c>
      <c r="H23" s="19">
        <v>20</v>
      </c>
      <c r="I23" s="16">
        <f t="shared" si="2"/>
        <v>60</v>
      </c>
      <c r="J23" s="17"/>
    </row>
    <row r="24" s="4" customFormat="1" ht="16" customHeight="1" spans="1:10">
      <c r="A24" s="12">
        <v>19</v>
      </c>
      <c r="B24" s="17" t="s">
        <v>95</v>
      </c>
      <c r="C24" s="17"/>
      <c r="D24" s="18" t="s">
        <v>70</v>
      </c>
      <c r="E24" s="18">
        <v>3</v>
      </c>
      <c r="F24" s="14">
        <f t="shared" si="0"/>
        <v>23.5294117647059</v>
      </c>
      <c r="G24" s="15">
        <f t="shared" si="1"/>
        <v>0.85</v>
      </c>
      <c r="H24" s="19">
        <v>20</v>
      </c>
      <c r="I24" s="16">
        <f t="shared" si="2"/>
        <v>60</v>
      </c>
      <c r="J24" s="17"/>
    </row>
    <row r="25" s="4" customFormat="1" ht="16" customHeight="1" spans="1:10">
      <c r="A25" s="12">
        <v>20</v>
      </c>
      <c r="B25" s="17" t="s">
        <v>227</v>
      </c>
      <c r="C25" s="17" t="s">
        <v>228</v>
      </c>
      <c r="D25" s="18" t="s">
        <v>101</v>
      </c>
      <c r="E25" s="18">
        <v>5</v>
      </c>
      <c r="F25" s="14">
        <f t="shared" si="0"/>
        <v>15.2941176470588</v>
      </c>
      <c r="G25" s="15">
        <f t="shared" si="1"/>
        <v>0.85</v>
      </c>
      <c r="H25" s="19">
        <v>13</v>
      </c>
      <c r="I25" s="16">
        <f t="shared" si="2"/>
        <v>65</v>
      </c>
      <c r="J25" s="17"/>
    </row>
    <row r="26" s="4" customFormat="1" ht="16" customHeight="1" spans="1:10">
      <c r="A26" s="12">
        <v>21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23</v>
      </c>
      <c r="B28" s="17"/>
      <c r="C28" s="17"/>
      <c r="D28" s="17"/>
      <c r="E28" s="18"/>
      <c r="F28" s="14"/>
      <c r="G28" s="15"/>
      <c r="H28" s="19"/>
      <c r="I28" s="16"/>
      <c r="J28" s="17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7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4" customFormat="1" customHeight="1" spans="1:10">
      <c r="A34" s="12" t="s">
        <v>201</v>
      </c>
      <c r="B34" s="20">
        <f>SUM(I6:I33)</f>
        <v>1210.55</v>
      </c>
      <c r="C34" s="21"/>
      <c r="D34" s="21"/>
      <c r="E34" s="21"/>
      <c r="F34" s="21"/>
      <c r="G34" s="21"/>
      <c r="H34" s="21"/>
      <c r="I34" s="21"/>
      <c r="J34" s="25"/>
    </row>
    <row r="35" s="4" customFormat="1" customHeight="1" spans="1:10">
      <c r="A35" s="12" t="s">
        <v>62</v>
      </c>
      <c r="B35" s="23">
        <f>B34</f>
        <v>1210.55</v>
      </c>
      <c r="C35" s="24"/>
      <c r="D35" s="24"/>
      <c r="E35" s="24"/>
      <c r="F35" s="24"/>
      <c r="G35" s="24"/>
      <c r="H35" s="24"/>
      <c r="I35" s="24"/>
      <c r="J35" s="26"/>
    </row>
    <row r="36" s="4" customFormat="1" customHeight="1" spans="1:1">
      <c r="A36" s="4" t="s">
        <v>63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42"/>
  <sheetViews>
    <sheetView topLeftCell="A20" workbookViewId="0">
      <selection activeCell="I20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45118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73</v>
      </c>
      <c r="C6" s="12"/>
      <c r="D6" s="13" t="s">
        <v>70</v>
      </c>
      <c r="E6" s="13">
        <v>5</v>
      </c>
      <c r="F6" s="14">
        <f>H6/0.85</f>
        <v>4.11764705882353</v>
      </c>
      <c r="G6" s="15">
        <f t="shared" ref="G6:G25" si="0">H6/F6</f>
        <v>0.85</v>
      </c>
      <c r="H6" s="16">
        <v>3.5</v>
      </c>
      <c r="I6" s="16">
        <f t="shared" ref="I6:I25" si="1">E6*H6</f>
        <v>17.5</v>
      </c>
      <c r="J6" s="12"/>
    </row>
    <row r="7" s="4" customFormat="1" ht="16" customHeight="1" spans="1:10">
      <c r="A7" s="12">
        <v>2</v>
      </c>
      <c r="B7" s="12" t="s">
        <v>74</v>
      </c>
      <c r="C7" s="12"/>
      <c r="D7" s="13" t="s">
        <v>70</v>
      </c>
      <c r="E7" s="13">
        <v>3</v>
      </c>
      <c r="F7" s="14">
        <f t="shared" ref="F7:F25" si="2">H7/0.85</f>
        <v>2.94117647058824</v>
      </c>
      <c r="G7" s="15">
        <f t="shared" si="0"/>
        <v>0.85</v>
      </c>
      <c r="H7" s="16">
        <v>2.5</v>
      </c>
      <c r="I7" s="16">
        <f t="shared" si="1"/>
        <v>7.5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3</v>
      </c>
      <c r="F8" s="14">
        <f t="shared" si="2"/>
        <v>4.11764705882353</v>
      </c>
      <c r="G8" s="15">
        <f t="shared" si="0"/>
        <v>0.85</v>
      </c>
      <c r="H8" s="16">
        <v>3.5</v>
      </c>
      <c r="I8" s="16">
        <f t="shared" si="1"/>
        <v>10.5</v>
      </c>
      <c r="J8" s="12"/>
    </row>
    <row r="9" s="4" customFormat="1" ht="16" customHeight="1" spans="1:10">
      <c r="A9" s="12">
        <v>4</v>
      </c>
      <c r="B9" s="17" t="s">
        <v>76</v>
      </c>
      <c r="C9" s="17"/>
      <c r="D9" s="13" t="s">
        <v>70</v>
      </c>
      <c r="E9" s="13">
        <v>2</v>
      </c>
      <c r="F9" s="14">
        <f t="shared" si="2"/>
        <v>4.11764705882353</v>
      </c>
      <c r="G9" s="15">
        <f t="shared" si="0"/>
        <v>0.85</v>
      </c>
      <c r="H9" s="16">
        <v>3.5</v>
      </c>
      <c r="I9" s="16">
        <f t="shared" si="1"/>
        <v>7</v>
      </c>
      <c r="J9" s="12"/>
    </row>
    <row r="10" s="4" customFormat="1" ht="16" customHeight="1" spans="1:10">
      <c r="A10" s="12">
        <v>5</v>
      </c>
      <c r="B10" s="17" t="s">
        <v>78</v>
      </c>
      <c r="C10" s="17"/>
      <c r="D10" s="13" t="s">
        <v>70</v>
      </c>
      <c r="E10" s="13">
        <v>2.1</v>
      </c>
      <c r="F10" s="14">
        <f t="shared" si="2"/>
        <v>4.11764705882353</v>
      </c>
      <c r="G10" s="15">
        <f t="shared" si="0"/>
        <v>0.85</v>
      </c>
      <c r="H10" s="16">
        <v>3.5</v>
      </c>
      <c r="I10" s="16">
        <f t="shared" si="1"/>
        <v>7.35</v>
      </c>
      <c r="J10" s="12"/>
    </row>
    <row r="11" s="4" customFormat="1" ht="16" customHeight="1" spans="1:10">
      <c r="A11" s="12">
        <v>6</v>
      </c>
      <c r="B11" s="12" t="s">
        <v>169</v>
      </c>
      <c r="C11" s="12"/>
      <c r="D11" s="13" t="s">
        <v>70</v>
      </c>
      <c r="E11" s="13">
        <v>2</v>
      </c>
      <c r="F11" s="14">
        <f t="shared" si="2"/>
        <v>8</v>
      </c>
      <c r="G11" s="15">
        <f t="shared" si="0"/>
        <v>0.85</v>
      </c>
      <c r="H11" s="16">
        <v>6.8</v>
      </c>
      <c r="I11" s="16">
        <f t="shared" si="1"/>
        <v>13.6</v>
      </c>
      <c r="J11" s="12"/>
    </row>
    <row r="12" s="4" customFormat="1" ht="16" customHeight="1" spans="1:10">
      <c r="A12" s="12">
        <v>7</v>
      </c>
      <c r="B12" s="12" t="s">
        <v>28</v>
      </c>
      <c r="C12" s="12"/>
      <c r="D12" s="13" t="s">
        <v>70</v>
      </c>
      <c r="E12" s="13">
        <v>2</v>
      </c>
      <c r="F12" s="14">
        <f t="shared" si="2"/>
        <v>9.17647058823529</v>
      </c>
      <c r="G12" s="15">
        <f t="shared" si="0"/>
        <v>0.85</v>
      </c>
      <c r="H12" s="16">
        <v>7.8</v>
      </c>
      <c r="I12" s="16">
        <f t="shared" si="1"/>
        <v>15.6</v>
      </c>
      <c r="J12" s="12"/>
    </row>
    <row r="13" s="4" customFormat="1" ht="16" customHeight="1" spans="1:10">
      <c r="A13" s="12">
        <v>8</v>
      </c>
      <c r="B13" s="12" t="s">
        <v>250</v>
      </c>
      <c r="C13" s="12"/>
      <c r="D13" s="13" t="s">
        <v>70</v>
      </c>
      <c r="E13" s="13">
        <v>5.5</v>
      </c>
      <c r="F13" s="14">
        <f t="shared" si="2"/>
        <v>6.82352941176471</v>
      </c>
      <c r="G13" s="15">
        <f t="shared" si="0"/>
        <v>0.85</v>
      </c>
      <c r="H13" s="16">
        <v>5.8</v>
      </c>
      <c r="I13" s="16">
        <f t="shared" si="1"/>
        <v>31.9</v>
      </c>
      <c r="J13" s="12"/>
    </row>
    <row r="14" s="4" customFormat="1" ht="16" customHeight="1" spans="1:10">
      <c r="A14" s="12">
        <v>9</v>
      </c>
      <c r="B14" s="17" t="s">
        <v>29</v>
      </c>
      <c r="C14" s="17"/>
      <c r="D14" s="18" t="s">
        <v>70</v>
      </c>
      <c r="E14" s="18">
        <v>2</v>
      </c>
      <c r="F14" s="14">
        <f t="shared" si="2"/>
        <v>4.47058823529412</v>
      </c>
      <c r="G14" s="15">
        <f t="shared" si="0"/>
        <v>0.85</v>
      </c>
      <c r="H14" s="19">
        <v>3.8</v>
      </c>
      <c r="I14" s="16">
        <f t="shared" si="1"/>
        <v>7.6</v>
      </c>
      <c r="J14" s="17"/>
    </row>
    <row r="15" s="4" customFormat="1" ht="16" customHeight="1" spans="1:10">
      <c r="A15" s="12">
        <v>10</v>
      </c>
      <c r="B15" s="17" t="s">
        <v>221</v>
      </c>
      <c r="C15" s="17"/>
      <c r="D15" s="18" t="s">
        <v>70</v>
      </c>
      <c r="E15" s="18">
        <v>4</v>
      </c>
      <c r="F15" s="14">
        <f t="shared" si="2"/>
        <v>4.47058823529412</v>
      </c>
      <c r="G15" s="15">
        <f t="shared" si="0"/>
        <v>0.85</v>
      </c>
      <c r="H15" s="19">
        <v>3.8</v>
      </c>
      <c r="I15" s="16">
        <f t="shared" si="1"/>
        <v>15.2</v>
      </c>
      <c r="J15" s="17"/>
    </row>
    <row r="16" s="4" customFormat="1" ht="16" customHeight="1" spans="1:10">
      <c r="A16" s="12">
        <v>11</v>
      </c>
      <c r="B16" s="17" t="s">
        <v>251</v>
      </c>
      <c r="C16" s="17"/>
      <c r="D16" s="18" t="s">
        <v>70</v>
      </c>
      <c r="E16" s="18">
        <v>13</v>
      </c>
      <c r="F16" s="14">
        <f t="shared" si="2"/>
        <v>6.47058823529412</v>
      </c>
      <c r="G16" s="15">
        <f t="shared" si="0"/>
        <v>0.85</v>
      </c>
      <c r="H16" s="19">
        <v>5.5</v>
      </c>
      <c r="I16" s="16">
        <f t="shared" si="1"/>
        <v>71.5</v>
      </c>
      <c r="J16" s="17"/>
    </row>
    <row r="17" s="4" customFormat="1" ht="16" customHeight="1" spans="1:10">
      <c r="A17" s="12">
        <v>12</v>
      </c>
      <c r="B17" s="17" t="s">
        <v>83</v>
      </c>
      <c r="C17" s="17"/>
      <c r="D17" s="18" t="s">
        <v>70</v>
      </c>
      <c r="E17" s="18">
        <v>3.2</v>
      </c>
      <c r="F17" s="14">
        <f t="shared" si="2"/>
        <v>3.29411764705882</v>
      </c>
      <c r="G17" s="15">
        <f t="shared" si="0"/>
        <v>0.85</v>
      </c>
      <c r="H17" s="19">
        <v>2.8</v>
      </c>
      <c r="I17" s="16">
        <f t="shared" si="1"/>
        <v>8.96</v>
      </c>
      <c r="J17" s="17"/>
    </row>
    <row r="18" s="4" customFormat="1" ht="16" customHeight="1" spans="1:10">
      <c r="A18" s="12">
        <v>13</v>
      </c>
      <c r="B18" s="17" t="s">
        <v>222</v>
      </c>
      <c r="C18" s="17"/>
      <c r="D18" s="18" t="s">
        <v>70</v>
      </c>
      <c r="E18" s="18">
        <v>3</v>
      </c>
      <c r="F18" s="14">
        <f t="shared" si="2"/>
        <v>9.17647058823529</v>
      </c>
      <c r="G18" s="15">
        <f t="shared" si="0"/>
        <v>0.85</v>
      </c>
      <c r="H18" s="19">
        <v>7.8</v>
      </c>
      <c r="I18" s="16">
        <f t="shared" si="1"/>
        <v>23.4</v>
      </c>
      <c r="J18" s="17"/>
    </row>
    <row r="19" s="4" customFormat="1" ht="16" customHeight="1" spans="1:10">
      <c r="A19" s="12">
        <v>14</v>
      </c>
      <c r="B19" s="12" t="s">
        <v>252</v>
      </c>
      <c r="C19" s="12"/>
      <c r="D19" s="13" t="s">
        <v>70</v>
      </c>
      <c r="E19" s="13">
        <v>10</v>
      </c>
      <c r="F19" s="14">
        <f t="shared" si="2"/>
        <v>10.3529411764706</v>
      </c>
      <c r="G19" s="15">
        <f t="shared" si="0"/>
        <v>0.85</v>
      </c>
      <c r="H19" s="16">
        <v>8.8</v>
      </c>
      <c r="I19" s="16">
        <f t="shared" si="1"/>
        <v>88</v>
      </c>
      <c r="J19" s="12"/>
    </row>
    <row r="20" s="4" customFormat="1" ht="16" customHeight="1" spans="1:10">
      <c r="A20" s="12">
        <v>15</v>
      </c>
      <c r="B20" s="17" t="s">
        <v>56</v>
      </c>
      <c r="C20" s="17"/>
      <c r="D20" s="18" t="s">
        <v>70</v>
      </c>
      <c r="E20" s="18">
        <v>2</v>
      </c>
      <c r="F20" s="14">
        <f t="shared" si="2"/>
        <v>4.11764705882353</v>
      </c>
      <c r="G20" s="15">
        <f t="shared" si="0"/>
        <v>0.85</v>
      </c>
      <c r="H20" s="19">
        <v>3.5</v>
      </c>
      <c r="I20" s="16">
        <f t="shared" si="1"/>
        <v>7</v>
      </c>
      <c r="J20" s="17"/>
    </row>
    <row r="21" s="4" customFormat="1" ht="16" customHeight="1" spans="1:10">
      <c r="A21" s="12">
        <v>16</v>
      </c>
      <c r="B21" s="17" t="s">
        <v>253</v>
      </c>
      <c r="C21" s="17"/>
      <c r="D21" s="18" t="s">
        <v>70</v>
      </c>
      <c r="E21" s="18">
        <v>14</v>
      </c>
      <c r="F21" s="14">
        <f t="shared" si="2"/>
        <v>4.11764705882353</v>
      </c>
      <c r="G21" s="15">
        <f t="shared" si="0"/>
        <v>0.85</v>
      </c>
      <c r="H21" s="19">
        <v>3.5</v>
      </c>
      <c r="I21" s="16">
        <f t="shared" si="1"/>
        <v>49</v>
      </c>
      <c r="J21" s="17"/>
    </row>
    <row r="22" s="4" customFormat="1" ht="16" customHeight="1" spans="1:10">
      <c r="A22" s="12">
        <v>17</v>
      </c>
      <c r="B22" s="17" t="s">
        <v>210</v>
      </c>
      <c r="C22" s="17"/>
      <c r="D22" s="18" t="s">
        <v>70</v>
      </c>
      <c r="E22" s="18">
        <v>2</v>
      </c>
      <c r="F22" s="14">
        <f t="shared" si="2"/>
        <v>3.29411764705882</v>
      </c>
      <c r="G22" s="15">
        <f t="shared" si="0"/>
        <v>0.85</v>
      </c>
      <c r="H22" s="19">
        <v>2.8</v>
      </c>
      <c r="I22" s="16">
        <f t="shared" si="1"/>
        <v>5.6</v>
      </c>
      <c r="J22" s="17"/>
    </row>
    <row r="23" s="4" customFormat="1" ht="16" customHeight="1" spans="1:10">
      <c r="A23" s="12">
        <v>18</v>
      </c>
      <c r="B23" s="17" t="s">
        <v>254</v>
      </c>
      <c r="C23" s="17"/>
      <c r="D23" s="17" t="s">
        <v>70</v>
      </c>
      <c r="E23" s="18">
        <v>4.36</v>
      </c>
      <c r="F23" s="14">
        <f t="shared" si="2"/>
        <v>17.6470588235294</v>
      </c>
      <c r="G23" s="15">
        <f t="shared" si="0"/>
        <v>0.85</v>
      </c>
      <c r="H23" s="19">
        <v>15</v>
      </c>
      <c r="I23" s="16">
        <f t="shared" si="1"/>
        <v>65.4</v>
      </c>
      <c r="J23" s="17"/>
    </row>
    <row r="24" s="4" customFormat="1" ht="16" customHeight="1" spans="1:10">
      <c r="A24" s="12">
        <v>19</v>
      </c>
      <c r="B24" s="17" t="s">
        <v>255</v>
      </c>
      <c r="C24" s="17"/>
      <c r="D24" s="18" t="s">
        <v>70</v>
      </c>
      <c r="E24" s="18">
        <v>3</v>
      </c>
      <c r="F24" s="14">
        <f t="shared" si="2"/>
        <v>11.7647058823529</v>
      </c>
      <c r="G24" s="15">
        <f t="shared" si="0"/>
        <v>0.85</v>
      </c>
      <c r="H24" s="19">
        <v>10</v>
      </c>
      <c r="I24" s="16">
        <f t="shared" si="1"/>
        <v>30</v>
      </c>
      <c r="J24" s="17"/>
    </row>
    <row r="25" s="4" customFormat="1" ht="16" customHeight="1" spans="1:10">
      <c r="A25" s="12">
        <v>20</v>
      </c>
      <c r="B25" s="17" t="s">
        <v>93</v>
      </c>
      <c r="C25" s="17"/>
      <c r="D25" s="18" t="s">
        <v>70</v>
      </c>
      <c r="E25" s="18">
        <v>7</v>
      </c>
      <c r="F25" s="14">
        <f t="shared" si="2"/>
        <v>15.2941176470588</v>
      </c>
      <c r="G25" s="15">
        <f t="shared" si="0"/>
        <v>0.85</v>
      </c>
      <c r="H25" s="19">
        <v>13</v>
      </c>
      <c r="I25" s="16">
        <f t="shared" si="1"/>
        <v>91</v>
      </c>
      <c r="J25" s="17"/>
    </row>
    <row r="26" s="4" customFormat="1" ht="16" customHeight="1" spans="1:10">
      <c r="A26" s="12">
        <v>21</v>
      </c>
      <c r="B26" s="12" t="s">
        <v>95</v>
      </c>
      <c r="C26" s="12"/>
      <c r="D26" s="13" t="s">
        <v>70</v>
      </c>
      <c r="E26" s="13">
        <v>5</v>
      </c>
      <c r="F26" s="14">
        <f t="shared" ref="F26:F40" si="3">H26/0.85</f>
        <v>23.5294117647059</v>
      </c>
      <c r="G26" s="15">
        <f t="shared" ref="G26:G40" si="4">H26/F26</f>
        <v>0.85</v>
      </c>
      <c r="H26" s="19">
        <v>20</v>
      </c>
      <c r="I26" s="16">
        <f t="shared" ref="I26:I40" si="5">E26*H26</f>
        <v>100</v>
      </c>
      <c r="J26" s="12"/>
    </row>
    <row r="27" s="4" customFormat="1" ht="16" customHeight="1" spans="1:10">
      <c r="A27" s="12">
        <v>22</v>
      </c>
      <c r="B27" s="17" t="s">
        <v>97</v>
      </c>
      <c r="C27" s="17"/>
      <c r="D27" s="13" t="s">
        <v>70</v>
      </c>
      <c r="E27" s="13">
        <v>5</v>
      </c>
      <c r="F27" s="14">
        <f t="shared" si="3"/>
        <v>17.6470588235294</v>
      </c>
      <c r="G27" s="15">
        <f t="shared" si="4"/>
        <v>0.85</v>
      </c>
      <c r="H27" s="19">
        <v>15</v>
      </c>
      <c r="I27" s="16">
        <f t="shared" si="5"/>
        <v>75</v>
      </c>
      <c r="J27" s="12"/>
    </row>
    <row r="28" s="4" customFormat="1" ht="16" customHeight="1" spans="1:10">
      <c r="A28" s="12">
        <v>23</v>
      </c>
      <c r="B28" s="17" t="s">
        <v>256</v>
      </c>
      <c r="C28" s="17" t="s">
        <v>257</v>
      </c>
      <c r="D28" s="17" t="s">
        <v>70</v>
      </c>
      <c r="E28" s="18">
        <v>26</v>
      </c>
      <c r="F28" s="14">
        <f t="shared" si="3"/>
        <v>20.9411764705882</v>
      </c>
      <c r="G28" s="15">
        <f t="shared" si="4"/>
        <v>0.85</v>
      </c>
      <c r="H28" s="19">
        <v>17.8</v>
      </c>
      <c r="I28" s="16">
        <f t="shared" si="5"/>
        <v>462.8</v>
      </c>
      <c r="J28" s="17"/>
    </row>
    <row r="29" s="4" customFormat="1" ht="16" customHeight="1" spans="1:10">
      <c r="A29" s="12">
        <v>24</v>
      </c>
      <c r="B29" s="12" t="s">
        <v>258</v>
      </c>
      <c r="C29" s="12" t="s">
        <v>259</v>
      </c>
      <c r="D29" s="17" t="s">
        <v>101</v>
      </c>
      <c r="E29" s="13">
        <v>1</v>
      </c>
      <c r="F29" s="14">
        <f t="shared" si="3"/>
        <v>223.529411764706</v>
      </c>
      <c r="G29" s="15">
        <f t="shared" si="4"/>
        <v>0.85</v>
      </c>
      <c r="H29" s="19">
        <v>190</v>
      </c>
      <c r="I29" s="16">
        <f t="shared" si="5"/>
        <v>190</v>
      </c>
      <c r="J29" s="12"/>
    </row>
    <row r="30" s="4" customFormat="1" ht="16" customHeight="1" spans="1:10">
      <c r="A30" s="12">
        <v>25</v>
      </c>
      <c r="B30" s="12" t="s">
        <v>260</v>
      </c>
      <c r="C30" s="12" t="s">
        <v>261</v>
      </c>
      <c r="D30" s="17" t="s">
        <v>35</v>
      </c>
      <c r="E30" s="13">
        <v>2</v>
      </c>
      <c r="F30" s="14">
        <f t="shared" si="3"/>
        <v>35.2941176470588</v>
      </c>
      <c r="G30" s="15">
        <f t="shared" si="4"/>
        <v>0.85</v>
      </c>
      <c r="H30" s="19">
        <v>30</v>
      </c>
      <c r="I30" s="16">
        <f t="shared" si="5"/>
        <v>60</v>
      </c>
      <c r="J30" s="12"/>
    </row>
    <row r="31" s="4" customFormat="1" ht="16" customHeight="1" spans="1:10">
      <c r="A31" s="12">
        <v>26</v>
      </c>
      <c r="B31" s="12" t="s">
        <v>132</v>
      </c>
      <c r="C31" s="12" t="s">
        <v>133</v>
      </c>
      <c r="D31" s="12" t="s">
        <v>101</v>
      </c>
      <c r="E31" s="13">
        <v>10</v>
      </c>
      <c r="F31" s="14">
        <f t="shared" si="3"/>
        <v>11.5294117647059</v>
      </c>
      <c r="G31" s="15">
        <f t="shared" si="4"/>
        <v>0.85</v>
      </c>
      <c r="H31" s="19">
        <v>9.8</v>
      </c>
      <c r="I31" s="16">
        <f t="shared" si="5"/>
        <v>98</v>
      </c>
      <c r="J31" s="12"/>
    </row>
    <row r="32" s="4" customFormat="1" ht="16" customHeight="1" spans="1:10">
      <c r="A32" s="12">
        <v>27</v>
      </c>
      <c r="B32" s="12" t="s">
        <v>134</v>
      </c>
      <c r="C32" s="12" t="s">
        <v>135</v>
      </c>
      <c r="D32" s="12" t="s">
        <v>13</v>
      </c>
      <c r="E32" s="13">
        <v>10</v>
      </c>
      <c r="F32" s="14">
        <f t="shared" si="3"/>
        <v>10</v>
      </c>
      <c r="G32" s="15">
        <f t="shared" si="4"/>
        <v>0.85</v>
      </c>
      <c r="H32" s="19">
        <v>8.5</v>
      </c>
      <c r="I32" s="16">
        <f t="shared" si="5"/>
        <v>85</v>
      </c>
      <c r="J32" s="12"/>
    </row>
    <row r="33" s="4" customFormat="1" ht="16" customHeight="1" spans="1:10">
      <c r="A33" s="12">
        <v>28</v>
      </c>
      <c r="B33" s="12" t="s">
        <v>262</v>
      </c>
      <c r="C33" s="12" t="s">
        <v>263</v>
      </c>
      <c r="D33" s="12" t="s">
        <v>101</v>
      </c>
      <c r="E33" s="13">
        <v>1</v>
      </c>
      <c r="F33" s="14">
        <f t="shared" si="3"/>
        <v>3.29411764705882</v>
      </c>
      <c r="G33" s="15">
        <f t="shared" si="4"/>
        <v>0.85</v>
      </c>
      <c r="H33" s="19">
        <v>2.8</v>
      </c>
      <c r="I33" s="16">
        <f t="shared" si="5"/>
        <v>2.8</v>
      </c>
      <c r="J33" s="12"/>
    </row>
    <row r="34" s="4" customFormat="1" customHeight="1" spans="1:10">
      <c r="A34" s="12">
        <v>29</v>
      </c>
      <c r="B34" s="14" t="s">
        <v>195</v>
      </c>
      <c r="C34" s="14" t="s">
        <v>72</v>
      </c>
      <c r="D34" s="14" t="s">
        <v>70</v>
      </c>
      <c r="E34" s="13">
        <v>5</v>
      </c>
      <c r="F34" s="14">
        <f t="shared" si="3"/>
        <v>10</v>
      </c>
      <c r="G34" s="15">
        <f t="shared" si="4"/>
        <v>0.85</v>
      </c>
      <c r="H34" s="19">
        <v>8.5</v>
      </c>
      <c r="I34" s="16">
        <f t="shared" si="5"/>
        <v>42.5</v>
      </c>
      <c r="J34" s="14"/>
    </row>
    <row r="35" s="4" customFormat="1" customHeight="1" spans="1:10">
      <c r="A35" s="12">
        <v>30</v>
      </c>
      <c r="B35" s="14" t="s">
        <v>198</v>
      </c>
      <c r="C35" s="14" t="s">
        <v>158</v>
      </c>
      <c r="D35" s="14" t="s">
        <v>101</v>
      </c>
      <c r="E35" s="13">
        <v>1</v>
      </c>
      <c r="F35" s="14">
        <f t="shared" si="3"/>
        <v>247.058823529412</v>
      </c>
      <c r="G35" s="15">
        <f t="shared" si="4"/>
        <v>0.85</v>
      </c>
      <c r="H35" s="19">
        <v>210</v>
      </c>
      <c r="I35" s="16">
        <f t="shared" si="5"/>
        <v>210</v>
      </c>
      <c r="J35" s="14"/>
    </row>
    <row r="36" s="4" customFormat="1" customHeight="1" spans="1:10">
      <c r="A36" s="12">
        <v>31</v>
      </c>
      <c r="B36" s="14" t="s">
        <v>264</v>
      </c>
      <c r="C36" s="14" t="s">
        <v>265</v>
      </c>
      <c r="D36" s="14" t="s">
        <v>101</v>
      </c>
      <c r="E36" s="13">
        <v>2</v>
      </c>
      <c r="F36" s="14">
        <f t="shared" si="3"/>
        <v>9.41176470588235</v>
      </c>
      <c r="G36" s="15">
        <f t="shared" si="4"/>
        <v>0.85</v>
      </c>
      <c r="H36" s="19">
        <v>8</v>
      </c>
      <c r="I36" s="16">
        <f t="shared" si="5"/>
        <v>16</v>
      </c>
      <c r="J36" s="14"/>
    </row>
    <row r="37" s="4" customFormat="1" customHeight="1" spans="1:10">
      <c r="A37" s="12">
        <v>32</v>
      </c>
      <c r="B37" s="14" t="s">
        <v>266</v>
      </c>
      <c r="C37" s="14" t="s">
        <v>267</v>
      </c>
      <c r="D37" s="14" t="s">
        <v>60</v>
      </c>
      <c r="E37" s="13">
        <v>60</v>
      </c>
      <c r="F37" s="14">
        <f t="shared" si="3"/>
        <v>4.70588235294118</v>
      </c>
      <c r="G37" s="15">
        <f t="shared" si="4"/>
        <v>0.85</v>
      </c>
      <c r="H37" s="19">
        <v>4</v>
      </c>
      <c r="I37" s="16">
        <f t="shared" si="5"/>
        <v>240</v>
      </c>
      <c r="J37" s="14"/>
    </row>
    <row r="38" s="4" customFormat="1" customHeight="1" spans="1:10">
      <c r="A38" s="12">
        <v>33</v>
      </c>
      <c r="B38" s="14" t="s">
        <v>268</v>
      </c>
      <c r="C38" s="14"/>
      <c r="D38" s="14" t="s">
        <v>269</v>
      </c>
      <c r="E38" s="13">
        <v>3</v>
      </c>
      <c r="F38" s="14">
        <f t="shared" si="3"/>
        <v>25.8823529411765</v>
      </c>
      <c r="G38" s="15">
        <f t="shared" si="4"/>
        <v>0.85</v>
      </c>
      <c r="H38" s="19">
        <v>22</v>
      </c>
      <c r="I38" s="16">
        <f t="shared" si="5"/>
        <v>66</v>
      </c>
      <c r="J38" s="14"/>
    </row>
    <row r="39" s="4" customFormat="1" customHeight="1" spans="1:16384">
      <c r="A39" s="12">
        <v>34</v>
      </c>
      <c r="B39" s="14"/>
      <c r="C39" s="14"/>
      <c r="D39" s="14"/>
      <c r="E39" s="13"/>
      <c r="F39" s="14"/>
      <c r="G39" s="15"/>
      <c r="H39" s="19"/>
      <c r="I39" s="16"/>
      <c r="J39" s="14"/>
      <c r="XDZ39" s="6"/>
      <c r="XEA39" s="6"/>
      <c r="XEB39" s="6"/>
      <c r="XEC39" s="6"/>
      <c r="XED39" s="6"/>
      <c r="XEE39" s="6"/>
      <c r="XEF39" s="6"/>
      <c r="XEG39" s="6"/>
      <c r="XEH39" s="6"/>
      <c r="XEI39" s="6"/>
      <c r="XEJ39" s="6"/>
      <c r="XEK39" s="6"/>
      <c r="XEL39" s="6"/>
      <c r="XEM39" s="6"/>
      <c r="XEN39" s="6"/>
      <c r="XEO39" s="6"/>
      <c r="XEP39" s="6"/>
      <c r="XEQ39" s="6"/>
      <c r="XER39" s="6"/>
      <c r="XES39" s="6"/>
      <c r="XET39" s="6"/>
      <c r="XEU39" s="6"/>
      <c r="XEV39" s="6"/>
      <c r="XEW39" s="6"/>
      <c r="XEX39" s="6"/>
      <c r="XEY39" s="6"/>
      <c r="XEZ39" s="6"/>
      <c r="XFA39" s="6"/>
      <c r="XFB39" s="6"/>
      <c r="XFC39" s="6"/>
      <c r="XFD39" s="6"/>
    </row>
    <row r="40" s="4" customFormat="1" customHeight="1" spans="1:10">
      <c r="A40" s="12" t="s">
        <v>201</v>
      </c>
      <c r="B40" s="20">
        <f>SUM(I6:I39)</f>
        <v>2221.71</v>
      </c>
      <c r="C40" s="21"/>
      <c r="D40" s="21"/>
      <c r="E40" s="22"/>
      <c r="F40" s="21"/>
      <c r="G40" s="21"/>
      <c r="H40" s="21"/>
      <c r="I40" s="21"/>
      <c r="J40" s="25"/>
    </row>
    <row r="41" s="4" customFormat="1" customHeight="1" spans="1:10">
      <c r="A41" s="12" t="s">
        <v>62</v>
      </c>
      <c r="B41" s="23">
        <f>B40</f>
        <v>2221.71</v>
      </c>
      <c r="C41" s="24"/>
      <c r="D41" s="24"/>
      <c r="E41" s="22"/>
      <c r="F41" s="24"/>
      <c r="G41" s="24"/>
      <c r="H41" s="24"/>
      <c r="I41" s="24"/>
      <c r="J41" s="26"/>
    </row>
    <row r="42" s="4" customFormat="1" customHeight="1" spans="1:5">
      <c r="A42" s="4" t="s">
        <v>63</v>
      </c>
      <c r="E42" s="5"/>
    </row>
  </sheetData>
  <mergeCells count="4">
    <mergeCell ref="A1:J1"/>
    <mergeCell ref="B40:J40"/>
    <mergeCell ref="B41:J41"/>
    <mergeCell ref="A42:J42"/>
  </mergeCells>
  <conditionalFormatting sqref="B6:B39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8"/>
  <sheetViews>
    <sheetView topLeftCell="A19" workbookViewId="0">
      <selection activeCell="I19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45119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5</v>
      </c>
      <c r="F6" s="14">
        <f t="shared" ref="F6:F26" si="0">H6/0.85</f>
        <v>3.52941176470588</v>
      </c>
      <c r="G6" s="15">
        <f t="shared" ref="G6:G26" si="1">H6/F6</f>
        <v>0.85</v>
      </c>
      <c r="H6" s="16">
        <v>3</v>
      </c>
      <c r="I6" s="16">
        <f t="shared" ref="I6:I26" si="2">E6*H6</f>
        <v>15</v>
      </c>
      <c r="J6" s="12"/>
    </row>
    <row r="7" s="4" customFormat="1" ht="16" customHeight="1" spans="1:10">
      <c r="A7" s="12">
        <v>2</v>
      </c>
      <c r="B7" s="12" t="s">
        <v>75</v>
      </c>
      <c r="C7" s="12"/>
      <c r="D7" s="13" t="s">
        <v>70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4" customFormat="1" ht="16" customHeight="1" spans="1:10">
      <c r="A8" s="12">
        <v>3</v>
      </c>
      <c r="B8" s="12" t="s">
        <v>76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50</v>
      </c>
      <c r="C9" s="17"/>
      <c r="D9" s="13" t="s">
        <v>70</v>
      </c>
      <c r="E9" s="13">
        <v>4</v>
      </c>
      <c r="F9" s="14">
        <f t="shared" si="0"/>
        <v>15.0588235294118</v>
      </c>
      <c r="G9" s="15">
        <f t="shared" si="1"/>
        <v>0.85</v>
      </c>
      <c r="H9" s="16">
        <v>12.8</v>
      </c>
      <c r="I9" s="16">
        <f t="shared" si="2"/>
        <v>51.2</v>
      </c>
      <c r="J9" s="12"/>
    </row>
    <row r="10" s="4" customFormat="1" ht="16" customHeight="1" spans="1:10">
      <c r="A10" s="12">
        <v>5</v>
      </c>
      <c r="B10" s="17" t="s">
        <v>28</v>
      </c>
      <c r="C10" s="17"/>
      <c r="D10" s="13" t="s">
        <v>70</v>
      </c>
      <c r="E10" s="13">
        <v>3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23.4</v>
      </c>
      <c r="J10" s="12"/>
    </row>
    <row r="11" s="4" customFormat="1" ht="16" customHeight="1" spans="1:10">
      <c r="A11" s="12">
        <v>6</v>
      </c>
      <c r="B11" s="12" t="s">
        <v>270</v>
      </c>
      <c r="C11" s="12"/>
      <c r="D11" s="13" t="s">
        <v>70</v>
      </c>
      <c r="E11" s="13">
        <v>5</v>
      </c>
      <c r="F11" s="14">
        <f t="shared" si="0"/>
        <v>11.5294117647059</v>
      </c>
      <c r="G11" s="15">
        <f t="shared" si="1"/>
        <v>0.85</v>
      </c>
      <c r="H11" s="16">
        <v>9.8</v>
      </c>
      <c r="I11" s="16">
        <f t="shared" si="2"/>
        <v>49</v>
      </c>
      <c r="J11" s="12"/>
    </row>
    <row r="12" s="4" customFormat="1" ht="16" customHeight="1" spans="1:10">
      <c r="A12" s="12">
        <v>7</v>
      </c>
      <c r="B12" s="12" t="s">
        <v>29</v>
      </c>
      <c r="C12" s="12"/>
      <c r="D12" s="13" t="s">
        <v>70</v>
      </c>
      <c r="E12" s="13">
        <v>3</v>
      </c>
      <c r="F12" s="14">
        <f t="shared" si="0"/>
        <v>4.47058823529412</v>
      </c>
      <c r="G12" s="15">
        <f t="shared" si="1"/>
        <v>0.85</v>
      </c>
      <c r="H12" s="16">
        <v>3.8</v>
      </c>
      <c r="I12" s="16">
        <f t="shared" si="2"/>
        <v>11.4</v>
      </c>
      <c r="J12" s="12"/>
    </row>
    <row r="13" s="4" customFormat="1" ht="16" customHeight="1" spans="1:10">
      <c r="A13" s="12">
        <v>8</v>
      </c>
      <c r="B13" s="12" t="s">
        <v>83</v>
      </c>
      <c r="C13" s="12"/>
      <c r="D13" s="13" t="s">
        <v>70</v>
      </c>
      <c r="E13" s="13">
        <v>7</v>
      </c>
      <c r="F13" s="14">
        <f t="shared" si="0"/>
        <v>3.29411764705882</v>
      </c>
      <c r="G13" s="15">
        <f t="shared" si="1"/>
        <v>0.85</v>
      </c>
      <c r="H13" s="16">
        <v>2.8</v>
      </c>
      <c r="I13" s="16">
        <f t="shared" si="2"/>
        <v>19.6</v>
      </c>
      <c r="J13" s="12"/>
    </row>
    <row r="14" s="4" customFormat="1" ht="16" customHeight="1" spans="1:10">
      <c r="A14" s="12">
        <v>9</v>
      </c>
      <c r="B14" s="17" t="s">
        <v>252</v>
      </c>
      <c r="C14" s="17"/>
      <c r="D14" s="18" t="s">
        <v>70</v>
      </c>
      <c r="E14" s="18">
        <v>5</v>
      </c>
      <c r="F14" s="14">
        <f t="shared" si="0"/>
        <v>10.3529411764706</v>
      </c>
      <c r="G14" s="15">
        <f t="shared" si="1"/>
        <v>0.85</v>
      </c>
      <c r="H14" s="19">
        <v>8.8</v>
      </c>
      <c r="I14" s="16">
        <f t="shared" si="2"/>
        <v>44</v>
      </c>
      <c r="J14" s="17"/>
    </row>
    <row r="15" s="4" customFormat="1" ht="16" customHeight="1" spans="1:10">
      <c r="A15" s="12">
        <v>10</v>
      </c>
      <c r="B15" s="17" t="s">
        <v>271</v>
      </c>
      <c r="C15" s="17"/>
      <c r="D15" s="18" t="s">
        <v>70</v>
      </c>
      <c r="E15" s="18">
        <v>12</v>
      </c>
      <c r="F15" s="14">
        <f t="shared" si="0"/>
        <v>2.35294117647059</v>
      </c>
      <c r="G15" s="15">
        <f t="shared" si="1"/>
        <v>0.85</v>
      </c>
      <c r="H15" s="19">
        <v>2</v>
      </c>
      <c r="I15" s="16">
        <f t="shared" si="2"/>
        <v>24</v>
      </c>
      <c r="J15" s="17"/>
    </row>
    <row r="16" s="4" customFormat="1" ht="16" customHeight="1" spans="1:10">
      <c r="A16" s="12">
        <v>11</v>
      </c>
      <c r="B16" s="17" t="s">
        <v>272</v>
      </c>
      <c r="C16" s="17"/>
      <c r="D16" s="18" t="s">
        <v>70</v>
      </c>
      <c r="E16" s="18">
        <v>15.5</v>
      </c>
      <c r="F16" s="14">
        <f t="shared" si="0"/>
        <v>6.47058823529412</v>
      </c>
      <c r="G16" s="15">
        <f t="shared" si="1"/>
        <v>0.85</v>
      </c>
      <c r="H16" s="19">
        <v>5.5</v>
      </c>
      <c r="I16" s="16">
        <f t="shared" si="2"/>
        <v>85.25</v>
      </c>
      <c r="J16" s="17"/>
    </row>
    <row r="17" s="4" customFormat="1" ht="16" customHeight="1" spans="1:10">
      <c r="A17" s="12">
        <v>12</v>
      </c>
      <c r="B17" s="17" t="s">
        <v>223</v>
      </c>
      <c r="C17" s="17"/>
      <c r="D17" s="18" t="s">
        <v>70</v>
      </c>
      <c r="E17" s="18">
        <v>40</v>
      </c>
      <c r="F17" s="14">
        <f t="shared" si="0"/>
        <v>5.64705882352941</v>
      </c>
      <c r="G17" s="15">
        <f t="shared" si="1"/>
        <v>0.85</v>
      </c>
      <c r="H17" s="19">
        <v>4.8</v>
      </c>
      <c r="I17" s="16">
        <f t="shared" si="2"/>
        <v>192</v>
      </c>
      <c r="J17" s="17"/>
    </row>
    <row r="18" s="4" customFormat="1" ht="16" customHeight="1" spans="1:10">
      <c r="A18" s="12">
        <v>13</v>
      </c>
      <c r="B18" s="17" t="s">
        <v>203</v>
      </c>
      <c r="C18" s="17"/>
      <c r="D18" s="18" t="s">
        <v>70</v>
      </c>
      <c r="E18" s="18">
        <v>13.1</v>
      </c>
      <c r="F18" s="14">
        <f t="shared" si="0"/>
        <v>17.4117647058824</v>
      </c>
      <c r="G18" s="15">
        <f t="shared" si="1"/>
        <v>0.85</v>
      </c>
      <c r="H18" s="19">
        <v>14.8</v>
      </c>
      <c r="I18" s="16">
        <f t="shared" si="2"/>
        <v>193.88</v>
      </c>
      <c r="J18" s="17"/>
    </row>
    <row r="19" s="4" customFormat="1" ht="16" customHeight="1" spans="1:10">
      <c r="A19" s="12">
        <v>14</v>
      </c>
      <c r="B19" s="17" t="s">
        <v>273</v>
      </c>
      <c r="C19" s="17"/>
      <c r="D19" s="18" t="s">
        <v>70</v>
      </c>
      <c r="E19" s="18">
        <v>7.9</v>
      </c>
      <c r="F19" s="14">
        <f t="shared" si="0"/>
        <v>45.8823529411765</v>
      </c>
      <c r="G19" s="15">
        <f t="shared" si="1"/>
        <v>0.85</v>
      </c>
      <c r="H19" s="19">
        <v>39</v>
      </c>
      <c r="I19" s="16">
        <f t="shared" si="2"/>
        <v>308.1</v>
      </c>
      <c r="J19" s="17"/>
    </row>
    <row r="20" s="4" customFormat="1" ht="16" customHeight="1" spans="1:10">
      <c r="A20" s="12">
        <v>15</v>
      </c>
      <c r="B20" s="17" t="s">
        <v>48</v>
      </c>
      <c r="C20" s="17"/>
      <c r="D20" s="18" t="s">
        <v>70</v>
      </c>
      <c r="E20" s="18">
        <v>10</v>
      </c>
      <c r="F20" s="14">
        <f t="shared" si="0"/>
        <v>5.76470588235294</v>
      </c>
      <c r="G20" s="15">
        <f t="shared" si="1"/>
        <v>0.85</v>
      </c>
      <c r="H20" s="19">
        <v>4.9</v>
      </c>
      <c r="I20" s="16">
        <f t="shared" si="2"/>
        <v>49</v>
      </c>
      <c r="J20" s="17"/>
    </row>
    <row r="21" s="4" customFormat="1" ht="16" customHeight="1" spans="1:10">
      <c r="A21" s="12">
        <v>16</v>
      </c>
      <c r="B21" s="17" t="s">
        <v>274</v>
      </c>
      <c r="C21" s="17"/>
      <c r="D21" s="18" t="s">
        <v>70</v>
      </c>
      <c r="E21" s="18">
        <v>6</v>
      </c>
      <c r="F21" s="14">
        <f t="shared" si="0"/>
        <v>68.2352941176471</v>
      </c>
      <c r="G21" s="15">
        <f t="shared" si="1"/>
        <v>0.85</v>
      </c>
      <c r="H21" s="19">
        <v>58</v>
      </c>
      <c r="I21" s="16">
        <f t="shared" si="2"/>
        <v>348</v>
      </c>
      <c r="J21" s="17"/>
    </row>
    <row r="22" s="4" customFormat="1" ht="16" customHeight="1" spans="1:10">
      <c r="A22" s="12">
        <v>17</v>
      </c>
      <c r="B22" s="17" t="s">
        <v>275</v>
      </c>
      <c r="C22" s="17"/>
      <c r="D22" s="17" t="s">
        <v>70</v>
      </c>
      <c r="E22" s="18">
        <v>5</v>
      </c>
      <c r="F22" s="14">
        <f t="shared" si="0"/>
        <v>4.11764705882353</v>
      </c>
      <c r="G22" s="15">
        <f t="shared" si="1"/>
        <v>0.85</v>
      </c>
      <c r="H22" s="19">
        <v>3.5</v>
      </c>
      <c r="I22" s="16">
        <f t="shared" si="2"/>
        <v>17.5</v>
      </c>
      <c r="J22" s="17"/>
    </row>
    <row r="23" s="4" customFormat="1" ht="16" customHeight="1" spans="1:10">
      <c r="A23" s="12">
        <v>18</v>
      </c>
      <c r="B23" s="17" t="s">
        <v>276</v>
      </c>
      <c r="C23" s="17"/>
      <c r="D23" s="18" t="s">
        <v>70</v>
      </c>
      <c r="E23" s="18">
        <v>5</v>
      </c>
      <c r="F23" s="14">
        <f t="shared" si="0"/>
        <v>15.0588235294118</v>
      </c>
      <c r="G23" s="15">
        <f t="shared" si="1"/>
        <v>0.85</v>
      </c>
      <c r="H23" s="19">
        <v>12.8</v>
      </c>
      <c r="I23" s="16">
        <f t="shared" si="2"/>
        <v>64</v>
      </c>
      <c r="J23" s="17"/>
    </row>
    <row r="24" s="4" customFormat="1" ht="16" customHeight="1" spans="1:10">
      <c r="A24" s="12">
        <v>19</v>
      </c>
      <c r="B24" s="17" t="s">
        <v>277</v>
      </c>
      <c r="C24" s="17" t="s">
        <v>278</v>
      </c>
      <c r="D24" s="18" t="s">
        <v>101</v>
      </c>
      <c r="E24" s="18">
        <v>2</v>
      </c>
      <c r="F24" s="14">
        <f t="shared" si="0"/>
        <v>11.5294117647059</v>
      </c>
      <c r="G24" s="15">
        <f t="shared" si="1"/>
        <v>0.85</v>
      </c>
      <c r="H24" s="19">
        <v>9.8</v>
      </c>
      <c r="I24" s="16">
        <f t="shared" si="2"/>
        <v>19.6</v>
      </c>
      <c r="J24" s="17"/>
    </row>
    <row r="25" s="4" customFormat="1" ht="16" customHeight="1" spans="1:10">
      <c r="A25" s="12">
        <v>20</v>
      </c>
      <c r="B25" s="12" t="s">
        <v>155</v>
      </c>
      <c r="C25" s="12" t="s">
        <v>156</v>
      </c>
      <c r="D25" s="13" t="s">
        <v>91</v>
      </c>
      <c r="E25" s="13">
        <v>2</v>
      </c>
      <c r="F25" s="14">
        <f t="shared" si="0"/>
        <v>500</v>
      </c>
      <c r="G25" s="15">
        <f t="shared" si="1"/>
        <v>0.85</v>
      </c>
      <c r="H25" s="19">
        <v>425</v>
      </c>
      <c r="I25" s="16">
        <f t="shared" si="2"/>
        <v>850</v>
      </c>
      <c r="J25" s="12"/>
    </row>
    <row r="26" s="4" customFormat="1" ht="16" customHeight="1" spans="1:16384">
      <c r="A26" s="12">
        <v>21</v>
      </c>
      <c r="B26" s="12" t="s">
        <v>154</v>
      </c>
      <c r="C26" s="12"/>
      <c r="D26" s="12" t="s">
        <v>70</v>
      </c>
      <c r="E26" s="13">
        <v>3</v>
      </c>
      <c r="F26" s="14">
        <f t="shared" si="0"/>
        <v>103.529411764706</v>
      </c>
      <c r="G26" s="15">
        <f t="shared" si="1"/>
        <v>0.85</v>
      </c>
      <c r="H26" s="16">
        <v>88</v>
      </c>
      <c r="I26" s="16">
        <f t="shared" si="2"/>
        <v>264</v>
      </c>
      <c r="J26" s="12"/>
      <c r="XDZ26" s="6"/>
      <c r="XEA26" s="6"/>
      <c r="XEB26" s="6"/>
      <c r="XEC26" s="6"/>
      <c r="XED26" s="6"/>
      <c r="XEE26" s="6"/>
      <c r="XEF26" s="6"/>
      <c r="XEG26" s="6"/>
      <c r="XEH26" s="6"/>
      <c r="XEI26" s="6"/>
      <c r="XEJ26" s="6"/>
      <c r="XEK26" s="6"/>
      <c r="XEL26" s="6"/>
      <c r="XEM26" s="6"/>
      <c r="XEN26" s="6"/>
      <c r="XEO26" s="6"/>
      <c r="XEP26" s="6"/>
      <c r="XEQ26" s="6"/>
      <c r="XER26" s="6"/>
      <c r="XES26" s="6"/>
      <c r="XET26" s="6"/>
      <c r="XEU26" s="6"/>
      <c r="XEV26" s="6"/>
      <c r="XEW26" s="6"/>
      <c r="XEX26" s="6"/>
      <c r="XEY26" s="6"/>
      <c r="XEZ26" s="6"/>
      <c r="XFA26" s="6"/>
      <c r="XFB26" s="6"/>
      <c r="XFC26" s="6"/>
      <c r="XFD26" s="6"/>
    </row>
    <row r="27" s="4" customFormat="1" ht="16" customHeight="1" spans="1:10">
      <c r="A27" s="12">
        <v>22</v>
      </c>
      <c r="B27" s="12"/>
      <c r="C27" s="12"/>
      <c r="D27" s="12"/>
      <c r="E27" s="13"/>
      <c r="F27" s="14"/>
      <c r="G27" s="15"/>
      <c r="H27" s="19"/>
      <c r="I27" s="16"/>
      <c r="J27" s="12"/>
    </row>
    <row r="28" s="4" customFormat="1" ht="16" customHeight="1" spans="1:10">
      <c r="A28" s="12">
        <v>23</v>
      </c>
      <c r="B28" s="12"/>
      <c r="C28" s="12"/>
      <c r="D28" s="12"/>
      <c r="E28" s="13"/>
      <c r="F28" s="14"/>
      <c r="G28" s="15"/>
      <c r="H28" s="19"/>
      <c r="I28" s="16"/>
      <c r="J28" s="12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>
        <v>29</v>
      </c>
      <c r="B34" s="14"/>
      <c r="C34" s="14"/>
      <c r="D34" s="14"/>
      <c r="E34" s="13"/>
      <c r="F34" s="14"/>
      <c r="G34" s="15"/>
      <c r="H34" s="19"/>
      <c r="I34" s="16"/>
      <c r="J34" s="14"/>
    </row>
    <row r="35" s="4" customFormat="1" customHeight="1" spans="1:10">
      <c r="A35" s="12">
        <v>30</v>
      </c>
      <c r="B35" s="14"/>
      <c r="C35" s="14"/>
      <c r="D35" s="14"/>
      <c r="E35" s="13"/>
      <c r="F35" s="14"/>
      <c r="G35" s="15"/>
      <c r="H35" s="19"/>
      <c r="I35" s="16"/>
      <c r="J35" s="14"/>
    </row>
    <row r="36" s="4" customFormat="1" customHeight="1" spans="1:10">
      <c r="A36" s="12" t="s">
        <v>201</v>
      </c>
      <c r="B36" s="20">
        <f>SUM(I6:I35)</f>
        <v>2649.93</v>
      </c>
      <c r="C36" s="21"/>
      <c r="D36" s="21"/>
      <c r="E36" s="22"/>
      <c r="F36" s="21"/>
      <c r="G36" s="21"/>
      <c r="H36" s="21"/>
      <c r="I36" s="21"/>
      <c r="J36" s="25"/>
    </row>
    <row r="37" s="4" customFormat="1" customHeight="1" spans="1:10">
      <c r="A37" s="12" t="s">
        <v>62</v>
      </c>
      <c r="B37" s="23">
        <f>B36</f>
        <v>2649.93</v>
      </c>
      <c r="C37" s="24"/>
      <c r="D37" s="24"/>
      <c r="E37" s="22"/>
      <c r="F37" s="24"/>
      <c r="G37" s="24"/>
      <c r="H37" s="24"/>
      <c r="I37" s="24"/>
      <c r="J37" s="26"/>
    </row>
    <row r="38" s="4" customFormat="1" customHeight="1" spans="1:5">
      <c r="A38" s="4" t="s">
        <v>63</v>
      </c>
      <c r="E38" s="5"/>
    </row>
  </sheetData>
  <mergeCells count="4">
    <mergeCell ref="A1:J1"/>
    <mergeCell ref="B36:J36"/>
    <mergeCell ref="B37:J37"/>
    <mergeCell ref="A38:J38"/>
  </mergeCells>
  <conditionalFormatting sqref="B26">
    <cfRule type="duplicateValues" dxfId="0" priority="1"/>
  </conditionalFormatting>
  <conditionalFormatting sqref="B6:C25">
    <cfRule type="duplicateValues" dxfId="0" priority="3"/>
  </conditionalFormatting>
  <conditionalFormatting sqref="B6:B25 B27:B3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6" width="11.6666666666667" style="4" customWidth="1"/>
    <col min="16347" max="16347" width="11.6666666666667" style="4"/>
    <col min="16348" max="16353" width="11" style="4"/>
    <col min="1635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45120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4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12</v>
      </c>
      <c r="J6" s="12"/>
    </row>
    <row r="7" s="4" customFormat="1" ht="16" customHeight="1" spans="1:10">
      <c r="A7" s="12">
        <v>2</v>
      </c>
      <c r="B7" s="12" t="s">
        <v>75</v>
      </c>
      <c r="C7" s="12"/>
      <c r="D7" s="13" t="s">
        <v>70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4" customFormat="1" ht="16" customHeight="1" spans="1:10">
      <c r="A8" s="12">
        <v>3</v>
      </c>
      <c r="B8" s="12" t="s">
        <v>76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220</v>
      </c>
      <c r="C9" s="17"/>
      <c r="D9" s="13" t="s">
        <v>70</v>
      </c>
      <c r="E9" s="13">
        <v>11</v>
      </c>
      <c r="F9" s="14">
        <f t="shared" si="0"/>
        <v>2.94117647058824</v>
      </c>
      <c r="G9" s="15">
        <f t="shared" si="1"/>
        <v>0.85</v>
      </c>
      <c r="H9" s="16">
        <v>2.5</v>
      </c>
      <c r="I9" s="16">
        <f t="shared" si="2"/>
        <v>27.5</v>
      </c>
      <c r="J9" s="12"/>
    </row>
    <row r="10" s="4" customFormat="1" ht="16" customHeight="1" spans="1:10">
      <c r="A10" s="12">
        <v>5</v>
      </c>
      <c r="B10" s="12" t="s">
        <v>279</v>
      </c>
      <c r="C10" s="12"/>
      <c r="D10" s="13" t="s">
        <v>70</v>
      </c>
      <c r="E10" s="13">
        <v>21</v>
      </c>
      <c r="F10" s="14">
        <f t="shared" si="0"/>
        <v>10</v>
      </c>
      <c r="G10" s="15">
        <f t="shared" si="1"/>
        <v>0.85</v>
      </c>
      <c r="H10" s="16">
        <v>8.5</v>
      </c>
      <c r="I10" s="16">
        <f t="shared" si="2"/>
        <v>178.5</v>
      </c>
      <c r="J10" s="12"/>
    </row>
    <row r="11" s="4" customFormat="1" ht="16" customHeight="1" spans="1:10">
      <c r="A11" s="12">
        <v>6</v>
      </c>
      <c r="B11" s="12" t="s">
        <v>28</v>
      </c>
      <c r="C11" s="12"/>
      <c r="D11" s="13" t="s">
        <v>70</v>
      </c>
      <c r="E11" s="13">
        <v>6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46.8</v>
      </c>
      <c r="J11" s="12"/>
    </row>
    <row r="12" s="4" customFormat="1" ht="16" customHeight="1" spans="1:10">
      <c r="A12" s="12">
        <v>7</v>
      </c>
      <c r="B12" s="17" t="s">
        <v>29</v>
      </c>
      <c r="C12" s="17"/>
      <c r="D12" s="18" t="s">
        <v>70</v>
      </c>
      <c r="E12" s="18">
        <v>7</v>
      </c>
      <c r="F12" s="14">
        <f t="shared" si="0"/>
        <v>4.47058823529412</v>
      </c>
      <c r="G12" s="15">
        <f t="shared" si="1"/>
        <v>0.85</v>
      </c>
      <c r="H12" s="19">
        <v>3.8</v>
      </c>
      <c r="I12" s="16">
        <f t="shared" si="2"/>
        <v>26.6</v>
      </c>
      <c r="J12" s="17"/>
    </row>
    <row r="13" s="4" customFormat="1" ht="16" customHeight="1" spans="1:10">
      <c r="A13" s="12">
        <v>8</v>
      </c>
      <c r="B13" s="17" t="s">
        <v>208</v>
      </c>
      <c r="C13" s="17"/>
      <c r="D13" s="18" t="s">
        <v>70</v>
      </c>
      <c r="E13" s="18">
        <v>11.6</v>
      </c>
      <c r="F13" s="14">
        <f t="shared" ref="F13:F25" si="3">H13/0.85</f>
        <v>2.94117647058824</v>
      </c>
      <c r="G13" s="15">
        <f t="shared" ref="G13:G25" si="4">H13/F13</f>
        <v>0.85</v>
      </c>
      <c r="H13" s="19">
        <v>2.5</v>
      </c>
      <c r="I13" s="16">
        <f t="shared" ref="I13:I25" si="5">E13*H13</f>
        <v>29</v>
      </c>
      <c r="J13" s="17"/>
    </row>
    <row r="14" s="4" customFormat="1" ht="16" customHeight="1" spans="1:10">
      <c r="A14" s="12">
        <v>9</v>
      </c>
      <c r="B14" s="17" t="s">
        <v>56</v>
      </c>
      <c r="C14" s="17"/>
      <c r="D14" s="18" t="s">
        <v>70</v>
      </c>
      <c r="E14" s="18">
        <v>8</v>
      </c>
      <c r="F14" s="14">
        <f t="shared" si="3"/>
        <v>4.11764705882353</v>
      </c>
      <c r="G14" s="15">
        <f t="shared" si="4"/>
        <v>0.85</v>
      </c>
      <c r="H14" s="19">
        <v>3.5</v>
      </c>
      <c r="I14" s="16">
        <f t="shared" si="5"/>
        <v>28</v>
      </c>
      <c r="J14" s="17"/>
    </row>
    <row r="15" s="4" customFormat="1" ht="16" customHeight="1" spans="1:10">
      <c r="A15" s="12">
        <v>10</v>
      </c>
      <c r="B15" s="17" t="s">
        <v>85</v>
      </c>
      <c r="C15" s="17"/>
      <c r="D15" s="18" t="s">
        <v>70</v>
      </c>
      <c r="E15" s="18">
        <v>5</v>
      </c>
      <c r="F15" s="14">
        <f t="shared" si="3"/>
        <v>6.47058823529412</v>
      </c>
      <c r="G15" s="15">
        <f t="shared" si="4"/>
        <v>0.85</v>
      </c>
      <c r="H15" s="19">
        <v>5.5</v>
      </c>
      <c r="I15" s="16">
        <f t="shared" si="5"/>
        <v>27.5</v>
      </c>
      <c r="J15" s="17"/>
    </row>
    <row r="16" s="4" customFormat="1" ht="16" customHeight="1" spans="1:10">
      <c r="A16" s="12">
        <v>11</v>
      </c>
      <c r="B16" s="17" t="s">
        <v>280</v>
      </c>
      <c r="C16" s="17"/>
      <c r="D16" s="18" t="s">
        <v>70</v>
      </c>
      <c r="E16" s="18">
        <v>2</v>
      </c>
      <c r="F16" s="14">
        <f t="shared" si="3"/>
        <v>8</v>
      </c>
      <c r="G16" s="15">
        <f t="shared" si="4"/>
        <v>0.85</v>
      </c>
      <c r="H16" s="19">
        <v>6.8</v>
      </c>
      <c r="I16" s="16">
        <f t="shared" si="5"/>
        <v>13.6</v>
      </c>
      <c r="J16" s="17"/>
    </row>
    <row r="17" s="4" customFormat="1" ht="16" customHeight="1" spans="1:10">
      <c r="A17" s="12">
        <v>12</v>
      </c>
      <c r="B17" s="17" t="s">
        <v>223</v>
      </c>
      <c r="C17" s="17"/>
      <c r="D17" s="18" t="s">
        <v>70</v>
      </c>
      <c r="E17" s="18">
        <v>99</v>
      </c>
      <c r="F17" s="14">
        <f t="shared" si="3"/>
        <v>5.64705882352941</v>
      </c>
      <c r="G17" s="15">
        <f t="shared" si="4"/>
        <v>0.85</v>
      </c>
      <c r="H17" s="19">
        <v>4.8</v>
      </c>
      <c r="I17" s="16">
        <f t="shared" si="5"/>
        <v>475.2</v>
      </c>
      <c r="J17" s="17"/>
    </row>
    <row r="18" s="4" customFormat="1" ht="16" customHeight="1" spans="1:10">
      <c r="A18" s="12">
        <v>13</v>
      </c>
      <c r="B18" s="12" t="s">
        <v>30</v>
      </c>
      <c r="C18" s="12"/>
      <c r="D18" s="13" t="s">
        <v>70</v>
      </c>
      <c r="E18" s="13">
        <v>12</v>
      </c>
      <c r="F18" s="14">
        <f t="shared" si="3"/>
        <v>8</v>
      </c>
      <c r="G18" s="15">
        <f t="shared" si="4"/>
        <v>0.85</v>
      </c>
      <c r="H18" s="19">
        <v>6.8</v>
      </c>
      <c r="I18" s="16">
        <f t="shared" si="5"/>
        <v>81.6</v>
      </c>
      <c r="J18" s="12"/>
    </row>
    <row r="19" s="4" customFormat="1" ht="16" customHeight="1" spans="1:10">
      <c r="A19" s="12">
        <v>14</v>
      </c>
      <c r="B19" s="17" t="s">
        <v>212</v>
      </c>
      <c r="C19" s="17" t="s">
        <v>213</v>
      </c>
      <c r="D19" s="17" t="s">
        <v>172</v>
      </c>
      <c r="E19" s="18">
        <v>30</v>
      </c>
      <c r="F19" s="14">
        <f t="shared" si="3"/>
        <v>2.11764705882353</v>
      </c>
      <c r="G19" s="15">
        <f t="shared" si="4"/>
        <v>0.85</v>
      </c>
      <c r="H19" s="19">
        <v>1.8</v>
      </c>
      <c r="I19" s="16">
        <f t="shared" si="5"/>
        <v>54</v>
      </c>
      <c r="J19" s="17"/>
    </row>
    <row r="20" s="4" customFormat="1" ht="16" customHeight="1" spans="1:10">
      <c r="A20" s="12">
        <v>15</v>
      </c>
      <c r="B20" s="12" t="s">
        <v>176</v>
      </c>
      <c r="C20" s="12"/>
      <c r="D20" s="17" t="s">
        <v>70</v>
      </c>
      <c r="E20" s="13">
        <v>6</v>
      </c>
      <c r="F20" s="14">
        <f t="shared" si="3"/>
        <v>17.6470588235294</v>
      </c>
      <c r="G20" s="15">
        <f t="shared" si="4"/>
        <v>0.85</v>
      </c>
      <c r="H20" s="19">
        <v>15</v>
      </c>
      <c r="I20" s="16">
        <f t="shared" si="5"/>
        <v>90</v>
      </c>
      <c r="J20" s="12"/>
    </row>
    <row r="21" s="4" customFormat="1" ht="16" customHeight="1" spans="1:10">
      <c r="A21" s="12">
        <v>16</v>
      </c>
      <c r="B21" s="12" t="s">
        <v>255</v>
      </c>
      <c r="C21" s="12"/>
      <c r="D21" s="12" t="s">
        <v>70</v>
      </c>
      <c r="E21" s="13">
        <v>10</v>
      </c>
      <c r="F21" s="14">
        <f t="shared" si="3"/>
        <v>11.7647058823529</v>
      </c>
      <c r="G21" s="15">
        <f t="shared" si="4"/>
        <v>0.85</v>
      </c>
      <c r="H21" s="19">
        <v>10</v>
      </c>
      <c r="I21" s="16">
        <f t="shared" si="5"/>
        <v>100</v>
      </c>
      <c r="J21" s="12"/>
    </row>
    <row r="22" s="4" customFormat="1" ht="16" customHeight="1" spans="1:10">
      <c r="A22" s="12">
        <v>17</v>
      </c>
      <c r="B22" s="12" t="s">
        <v>95</v>
      </c>
      <c r="C22" s="12"/>
      <c r="D22" s="12" t="s">
        <v>70</v>
      </c>
      <c r="E22" s="13">
        <v>3</v>
      </c>
      <c r="F22" s="14">
        <f t="shared" ref="F22:F29" si="6">H22/0.85</f>
        <v>23.5294117647059</v>
      </c>
      <c r="G22" s="15">
        <f t="shared" ref="G22:G29" si="7">H22/F22</f>
        <v>0.85</v>
      </c>
      <c r="H22" s="19">
        <v>20</v>
      </c>
      <c r="I22" s="16">
        <f t="shared" ref="I22:I29" si="8">E22*H22</f>
        <v>60</v>
      </c>
      <c r="J22" s="12"/>
    </row>
    <row r="23" s="4" customFormat="1" ht="16" customHeight="1" spans="1:10">
      <c r="A23" s="12">
        <v>18</v>
      </c>
      <c r="B23" s="12" t="s">
        <v>96</v>
      </c>
      <c r="C23" s="12"/>
      <c r="D23" s="12" t="s">
        <v>70</v>
      </c>
      <c r="E23" s="13">
        <v>9</v>
      </c>
      <c r="F23" s="14">
        <f t="shared" si="6"/>
        <v>28.2352941176471</v>
      </c>
      <c r="G23" s="15">
        <f t="shared" si="7"/>
        <v>0.85</v>
      </c>
      <c r="H23" s="19">
        <v>24</v>
      </c>
      <c r="I23" s="16">
        <f t="shared" si="8"/>
        <v>216</v>
      </c>
      <c r="J23" s="12"/>
    </row>
    <row r="24" s="4" customFormat="1" ht="16" customHeight="1" spans="1:10">
      <c r="A24" s="12">
        <v>19</v>
      </c>
      <c r="B24" s="12" t="s">
        <v>97</v>
      </c>
      <c r="C24" s="12"/>
      <c r="D24" s="12" t="s">
        <v>70</v>
      </c>
      <c r="E24" s="13">
        <v>4</v>
      </c>
      <c r="F24" s="14">
        <f t="shared" si="6"/>
        <v>17.6470588235294</v>
      </c>
      <c r="G24" s="15">
        <f t="shared" si="7"/>
        <v>0.85</v>
      </c>
      <c r="H24" s="19">
        <v>15</v>
      </c>
      <c r="I24" s="16">
        <f t="shared" si="8"/>
        <v>60</v>
      </c>
      <c r="J24" s="12"/>
    </row>
    <row r="25" s="4" customFormat="1" customHeight="1" spans="1:10">
      <c r="A25" s="12">
        <v>20</v>
      </c>
      <c r="B25" s="14" t="s">
        <v>281</v>
      </c>
      <c r="C25" s="14" t="s">
        <v>282</v>
      </c>
      <c r="D25" s="14" t="s">
        <v>101</v>
      </c>
      <c r="E25" s="13">
        <v>20</v>
      </c>
      <c r="F25" s="14">
        <f t="shared" si="6"/>
        <v>10.5882352941176</v>
      </c>
      <c r="G25" s="15">
        <f t="shared" si="7"/>
        <v>0.85</v>
      </c>
      <c r="H25" s="19">
        <v>9</v>
      </c>
      <c r="I25" s="16">
        <f t="shared" si="8"/>
        <v>180</v>
      </c>
      <c r="J25" s="14"/>
    </row>
    <row r="26" s="4" customFormat="1" customHeight="1" spans="1:10">
      <c r="A26" s="12">
        <v>21</v>
      </c>
      <c r="B26" s="14" t="s">
        <v>283</v>
      </c>
      <c r="C26" s="14" t="s">
        <v>284</v>
      </c>
      <c r="D26" s="14" t="s">
        <v>91</v>
      </c>
      <c r="E26" s="13">
        <v>1</v>
      </c>
      <c r="F26" s="14">
        <f t="shared" si="6"/>
        <v>211.764705882353</v>
      </c>
      <c r="G26" s="15">
        <f t="shared" si="7"/>
        <v>0.85</v>
      </c>
      <c r="H26" s="19">
        <v>180</v>
      </c>
      <c r="I26" s="16">
        <f t="shared" si="8"/>
        <v>180</v>
      </c>
      <c r="J26" s="14"/>
    </row>
    <row r="27" s="4" customFormat="1" customHeight="1" spans="1:10">
      <c r="A27" s="12">
        <v>22</v>
      </c>
      <c r="B27" s="14" t="s">
        <v>285</v>
      </c>
      <c r="C27" s="14" t="s">
        <v>72</v>
      </c>
      <c r="D27" s="14" t="s">
        <v>70</v>
      </c>
      <c r="E27" s="13">
        <v>5</v>
      </c>
      <c r="F27" s="14">
        <f t="shared" si="6"/>
        <v>8</v>
      </c>
      <c r="G27" s="15">
        <f t="shared" si="7"/>
        <v>0.85</v>
      </c>
      <c r="H27" s="19">
        <v>6.8</v>
      </c>
      <c r="I27" s="16">
        <f t="shared" si="8"/>
        <v>34</v>
      </c>
      <c r="J27" s="14"/>
    </row>
    <row r="28" s="4" customFormat="1" customHeight="1" spans="1:10">
      <c r="A28" s="12">
        <v>23</v>
      </c>
      <c r="B28" s="14" t="s">
        <v>266</v>
      </c>
      <c r="C28" s="14" t="s">
        <v>267</v>
      </c>
      <c r="D28" s="14" t="s">
        <v>60</v>
      </c>
      <c r="E28" s="13">
        <v>60</v>
      </c>
      <c r="F28" s="14">
        <f t="shared" si="6"/>
        <v>4.11764705882353</v>
      </c>
      <c r="G28" s="15">
        <f t="shared" si="7"/>
        <v>0.85</v>
      </c>
      <c r="H28" s="19">
        <v>3.5</v>
      </c>
      <c r="I28" s="16">
        <f t="shared" si="8"/>
        <v>210</v>
      </c>
      <c r="J28" s="14"/>
    </row>
    <row r="29" s="4" customFormat="1" customHeight="1" spans="1:10">
      <c r="A29" s="12">
        <v>24</v>
      </c>
      <c r="B29" s="14" t="s">
        <v>58</v>
      </c>
      <c r="C29" s="14" t="s">
        <v>59</v>
      </c>
      <c r="D29" s="14" t="s">
        <v>60</v>
      </c>
      <c r="E29" s="13">
        <v>40</v>
      </c>
      <c r="F29" s="14">
        <f t="shared" si="6"/>
        <v>1.76470588235294</v>
      </c>
      <c r="G29" s="15">
        <f t="shared" si="7"/>
        <v>0.85</v>
      </c>
      <c r="H29" s="19">
        <v>1.5</v>
      </c>
      <c r="I29" s="16">
        <f t="shared" si="8"/>
        <v>60</v>
      </c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 t="s">
        <v>201</v>
      </c>
      <c r="B32" s="20">
        <f>SUM(I6:I31)</f>
        <v>2211.3</v>
      </c>
      <c r="C32" s="21"/>
      <c r="D32" s="21"/>
      <c r="E32" s="22"/>
      <c r="F32" s="21"/>
      <c r="G32" s="21"/>
      <c r="H32" s="21"/>
      <c r="I32" s="21"/>
      <c r="J32" s="25"/>
    </row>
    <row r="33" s="4" customFormat="1" customHeight="1" spans="1:10">
      <c r="A33" s="12" t="s">
        <v>62</v>
      </c>
      <c r="B33" s="23">
        <f>B32</f>
        <v>2211.3</v>
      </c>
      <c r="C33" s="24"/>
      <c r="D33" s="24"/>
      <c r="E33" s="22"/>
      <c r="F33" s="24"/>
      <c r="G33" s="24"/>
      <c r="H33" s="24"/>
      <c r="I33" s="24"/>
      <c r="J33" s="26"/>
    </row>
    <row r="34" s="4" customFormat="1" customHeight="1" spans="1:5">
      <c r="A34" s="4" t="s">
        <v>63</v>
      </c>
      <c r="E34" s="5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18">
    <cfRule type="duplicateValues" dxfId="0" priority="2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4" workbookViewId="0">
      <selection activeCell="I14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45121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69</v>
      </c>
      <c r="C6" s="12"/>
      <c r="D6" s="13" t="s">
        <v>70</v>
      </c>
      <c r="E6" s="13">
        <v>2</v>
      </c>
      <c r="F6" s="14">
        <f t="shared" ref="F6:F16" si="0">H6/0.85</f>
        <v>4.70588235294118</v>
      </c>
      <c r="G6" s="15">
        <f t="shared" ref="G6:G16" si="1">H6/F6</f>
        <v>0.85</v>
      </c>
      <c r="H6" s="16">
        <v>4</v>
      </c>
      <c r="I6" s="16">
        <f t="shared" ref="I6:I16" si="2">E6*H6</f>
        <v>8</v>
      </c>
      <c r="J6" s="12"/>
    </row>
    <row r="7" s="4" customFormat="1" ht="16" customHeight="1" spans="1:10">
      <c r="A7" s="12">
        <v>2</v>
      </c>
      <c r="B7" s="12" t="s">
        <v>286</v>
      </c>
      <c r="C7" s="12"/>
      <c r="D7" s="13" t="s">
        <v>70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74</v>
      </c>
      <c r="C8" s="12"/>
      <c r="D8" s="13" t="s">
        <v>70</v>
      </c>
      <c r="E8" s="13">
        <v>5</v>
      </c>
      <c r="F8" s="14">
        <f t="shared" si="0"/>
        <v>3.52941176470588</v>
      </c>
      <c r="G8" s="15">
        <f t="shared" si="1"/>
        <v>0.85</v>
      </c>
      <c r="H8" s="16">
        <v>3</v>
      </c>
      <c r="I8" s="16">
        <f t="shared" si="2"/>
        <v>15</v>
      </c>
      <c r="J8" s="12"/>
    </row>
    <row r="9" s="4" customFormat="1" ht="16" customHeight="1" spans="1:10">
      <c r="A9" s="12">
        <v>4</v>
      </c>
      <c r="B9" s="17" t="s">
        <v>75</v>
      </c>
      <c r="C9" s="17"/>
      <c r="D9" s="13" t="s">
        <v>70</v>
      </c>
      <c r="E9" s="13">
        <v>4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14</v>
      </c>
      <c r="J9" s="12"/>
    </row>
    <row r="10" s="4" customFormat="1" ht="16" customHeight="1" spans="1:10">
      <c r="A10" s="12">
        <v>5</v>
      </c>
      <c r="B10" s="12" t="s">
        <v>50</v>
      </c>
      <c r="C10" s="12"/>
      <c r="D10" s="13" t="s">
        <v>70</v>
      </c>
      <c r="E10" s="13">
        <v>5</v>
      </c>
      <c r="F10" s="14">
        <f t="shared" si="0"/>
        <v>15.0588235294118</v>
      </c>
      <c r="G10" s="15">
        <f t="shared" si="1"/>
        <v>0.85</v>
      </c>
      <c r="H10" s="16">
        <v>12.8</v>
      </c>
      <c r="I10" s="16">
        <f t="shared" si="2"/>
        <v>64</v>
      </c>
      <c r="J10" s="12"/>
    </row>
    <row r="11" s="4" customFormat="1" ht="16" customHeight="1" spans="1:10">
      <c r="A11" s="12">
        <v>6</v>
      </c>
      <c r="B11" s="12" t="s">
        <v>81</v>
      </c>
      <c r="C11" s="12"/>
      <c r="D11" s="13" t="s">
        <v>70</v>
      </c>
      <c r="E11" s="13">
        <v>12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42</v>
      </c>
      <c r="J11" s="12"/>
    </row>
    <row r="12" s="4" customFormat="1" ht="16" customHeight="1" spans="1:10">
      <c r="A12" s="12">
        <v>7</v>
      </c>
      <c r="B12" s="17" t="s">
        <v>171</v>
      </c>
      <c r="C12" s="17"/>
      <c r="D12" s="18" t="s">
        <v>172</v>
      </c>
      <c r="E12" s="18">
        <v>10</v>
      </c>
      <c r="F12" s="14">
        <f t="shared" si="0"/>
        <v>2.94117647058824</v>
      </c>
      <c r="G12" s="15">
        <f t="shared" si="1"/>
        <v>0.85</v>
      </c>
      <c r="H12" s="19">
        <v>2.5</v>
      </c>
      <c r="I12" s="16">
        <f t="shared" si="2"/>
        <v>25</v>
      </c>
      <c r="J12" s="17"/>
    </row>
    <row r="13" s="4" customFormat="1" ht="16" customHeight="1" spans="1:10">
      <c r="A13" s="12">
        <v>8</v>
      </c>
      <c r="B13" s="17" t="s">
        <v>56</v>
      </c>
      <c r="C13" s="17"/>
      <c r="D13" s="18" t="s">
        <v>70</v>
      </c>
      <c r="E13" s="18">
        <v>2</v>
      </c>
      <c r="F13" s="14">
        <f t="shared" si="0"/>
        <v>4.11764705882353</v>
      </c>
      <c r="G13" s="15">
        <f t="shared" si="1"/>
        <v>0.85</v>
      </c>
      <c r="H13" s="19">
        <v>3.5</v>
      </c>
      <c r="I13" s="16">
        <f t="shared" si="2"/>
        <v>7</v>
      </c>
      <c r="J13" s="17"/>
    </row>
    <row r="14" s="4" customFormat="1" ht="16" customHeight="1" spans="1:10">
      <c r="A14" s="12">
        <v>9</v>
      </c>
      <c r="B14" s="17" t="s">
        <v>287</v>
      </c>
      <c r="C14" s="17"/>
      <c r="D14" s="18" t="s">
        <v>70</v>
      </c>
      <c r="E14" s="18">
        <v>8</v>
      </c>
      <c r="F14" s="14">
        <f t="shared" si="0"/>
        <v>11.5294117647059</v>
      </c>
      <c r="G14" s="15">
        <f t="shared" si="1"/>
        <v>0.85</v>
      </c>
      <c r="H14" s="19">
        <v>9.8</v>
      </c>
      <c r="I14" s="16">
        <f t="shared" si="2"/>
        <v>78.4</v>
      </c>
      <c r="J14" s="17"/>
    </row>
    <row r="15" s="4" customFormat="1" ht="16" customHeight="1" spans="1:10">
      <c r="A15" s="12">
        <v>10</v>
      </c>
      <c r="B15" s="17" t="s">
        <v>210</v>
      </c>
      <c r="C15" s="17"/>
      <c r="D15" s="18" t="s">
        <v>70</v>
      </c>
      <c r="E15" s="18">
        <v>2</v>
      </c>
      <c r="F15" s="14">
        <f t="shared" si="0"/>
        <v>3.29411764705882</v>
      </c>
      <c r="G15" s="15">
        <f t="shared" si="1"/>
        <v>0.85</v>
      </c>
      <c r="H15" s="19">
        <v>2.8</v>
      </c>
      <c r="I15" s="16">
        <f t="shared" si="2"/>
        <v>5.6</v>
      </c>
      <c r="J15" s="17"/>
    </row>
    <row r="16" s="4" customFormat="1" ht="16" customHeight="1" spans="1:10">
      <c r="A16" s="12">
        <v>11</v>
      </c>
      <c r="B16" s="17" t="s">
        <v>288</v>
      </c>
      <c r="C16" s="17"/>
      <c r="D16" s="18" t="s">
        <v>70</v>
      </c>
      <c r="E16" s="18">
        <v>19</v>
      </c>
      <c r="F16" s="14">
        <f t="shared" si="0"/>
        <v>1.17647058823529</v>
      </c>
      <c r="G16" s="15">
        <f t="shared" si="1"/>
        <v>0.85</v>
      </c>
      <c r="H16" s="19">
        <v>1</v>
      </c>
      <c r="I16" s="16">
        <f t="shared" si="2"/>
        <v>19</v>
      </c>
      <c r="J16" s="17"/>
    </row>
    <row r="17" s="4" customFormat="1" ht="16" customHeight="1" spans="1:10">
      <c r="A17" s="12">
        <v>12</v>
      </c>
      <c r="B17" s="17" t="s">
        <v>87</v>
      </c>
      <c r="C17" s="17"/>
      <c r="D17" s="18" t="s">
        <v>70</v>
      </c>
      <c r="E17" s="18">
        <v>5</v>
      </c>
      <c r="F17" s="14">
        <f t="shared" ref="F17:F25" si="3">H17/0.85</f>
        <v>8</v>
      </c>
      <c r="G17" s="15">
        <f t="shared" ref="G17:G25" si="4">H17/F17</f>
        <v>0.85</v>
      </c>
      <c r="H17" s="19">
        <v>6.8</v>
      </c>
      <c r="I17" s="16">
        <f t="shared" ref="I17:I25" si="5">E17*H17</f>
        <v>34</v>
      </c>
      <c r="J17" s="17"/>
    </row>
    <row r="18" s="4" customFormat="1" ht="16" customHeight="1" spans="1:10">
      <c r="A18" s="12">
        <v>13</v>
      </c>
      <c r="B18" s="12" t="s">
        <v>88</v>
      </c>
      <c r="C18" s="12"/>
      <c r="D18" s="13" t="s">
        <v>70</v>
      </c>
      <c r="E18" s="13">
        <v>4</v>
      </c>
      <c r="F18" s="14">
        <f t="shared" si="3"/>
        <v>4.11764705882353</v>
      </c>
      <c r="G18" s="15">
        <f t="shared" si="4"/>
        <v>0.85</v>
      </c>
      <c r="H18" s="19">
        <v>3.5</v>
      </c>
      <c r="I18" s="16">
        <f t="shared" si="5"/>
        <v>14</v>
      </c>
      <c r="J18" s="12"/>
    </row>
    <row r="19" s="4" customFormat="1" ht="16" customHeight="1" spans="1:10">
      <c r="A19" s="12">
        <v>14</v>
      </c>
      <c r="B19" s="17" t="s">
        <v>289</v>
      </c>
      <c r="C19" s="17" t="s">
        <v>90</v>
      </c>
      <c r="D19" s="17" t="s">
        <v>290</v>
      </c>
      <c r="E19" s="18">
        <v>5</v>
      </c>
      <c r="F19" s="14">
        <f t="shared" si="3"/>
        <v>30.5882352941176</v>
      </c>
      <c r="G19" s="15">
        <f t="shared" si="4"/>
        <v>0.85</v>
      </c>
      <c r="H19" s="19">
        <v>26</v>
      </c>
      <c r="I19" s="16">
        <f t="shared" si="5"/>
        <v>130</v>
      </c>
      <c r="J19" s="17"/>
    </row>
    <row r="20" s="4" customFormat="1" ht="16" customHeight="1" spans="1:10">
      <c r="A20" s="12">
        <v>15</v>
      </c>
      <c r="B20" s="12" t="s">
        <v>203</v>
      </c>
      <c r="C20" s="12"/>
      <c r="D20" s="17" t="s">
        <v>70</v>
      </c>
      <c r="E20" s="13">
        <v>7</v>
      </c>
      <c r="F20" s="14">
        <f t="shared" si="3"/>
        <v>17.4117647058824</v>
      </c>
      <c r="G20" s="15">
        <f t="shared" si="4"/>
        <v>0.85</v>
      </c>
      <c r="H20" s="19">
        <v>14.8</v>
      </c>
      <c r="I20" s="16">
        <f t="shared" si="5"/>
        <v>103.6</v>
      </c>
      <c r="J20" s="12"/>
    </row>
    <row r="21" s="4" customFormat="1" ht="16" customHeight="1" spans="1:10">
      <c r="A21" s="12">
        <v>16</v>
      </c>
      <c r="B21" s="12" t="s">
        <v>176</v>
      </c>
      <c r="C21" s="12"/>
      <c r="D21" s="12" t="s">
        <v>70</v>
      </c>
      <c r="E21" s="13">
        <v>5</v>
      </c>
      <c r="F21" s="14">
        <f t="shared" si="3"/>
        <v>17.6470588235294</v>
      </c>
      <c r="G21" s="15">
        <f t="shared" si="4"/>
        <v>0.85</v>
      </c>
      <c r="H21" s="19">
        <v>15</v>
      </c>
      <c r="I21" s="16">
        <f t="shared" si="5"/>
        <v>75</v>
      </c>
      <c r="J21" s="12"/>
    </row>
    <row r="22" s="4" customFormat="1" ht="16" customHeight="1" spans="1:10">
      <c r="A22" s="12">
        <v>17</v>
      </c>
      <c r="B22" s="12" t="s">
        <v>95</v>
      </c>
      <c r="C22" s="12"/>
      <c r="D22" s="12" t="s">
        <v>70</v>
      </c>
      <c r="E22" s="13">
        <v>3</v>
      </c>
      <c r="F22" s="14">
        <f t="shared" si="3"/>
        <v>23.5294117647059</v>
      </c>
      <c r="G22" s="15">
        <f t="shared" si="4"/>
        <v>0.85</v>
      </c>
      <c r="H22" s="19">
        <v>20</v>
      </c>
      <c r="I22" s="16">
        <f t="shared" si="5"/>
        <v>60</v>
      </c>
      <c r="J22" s="12"/>
    </row>
    <row r="23" s="4" customFormat="1" ht="16" customHeight="1" spans="1:10">
      <c r="A23" s="12">
        <v>18</v>
      </c>
      <c r="B23" s="12" t="s">
        <v>291</v>
      </c>
      <c r="C23" s="12" t="s">
        <v>292</v>
      </c>
      <c r="D23" s="12" t="s">
        <v>70</v>
      </c>
      <c r="E23" s="13">
        <v>9.8</v>
      </c>
      <c r="F23" s="14">
        <f t="shared" si="3"/>
        <v>17.6470588235294</v>
      </c>
      <c r="G23" s="15">
        <f t="shared" si="4"/>
        <v>0.85</v>
      </c>
      <c r="H23" s="19">
        <v>15</v>
      </c>
      <c r="I23" s="16">
        <f t="shared" si="5"/>
        <v>147</v>
      </c>
      <c r="J23" s="12"/>
    </row>
    <row r="24" s="4" customFormat="1" ht="16" customHeight="1" spans="1:10">
      <c r="A24" s="12">
        <v>19</v>
      </c>
      <c r="B24" s="12" t="s">
        <v>293</v>
      </c>
      <c r="C24" s="12" t="s">
        <v>72</v>
      </c>
      <c r="D24" s="12" t="s">
        <v>70</v>
      </c>
      <c r="E24" s="13">
        <v>1</v>
      </c>
      <c r="F24" s="14">
        <f t="shared" si="3"/>
        <v>29.4117647058824</v>
      </c>
      <c r="G24" s="15">
        <f t="shared" si="4"/>
        <v>0.85</v>
      </c>
      <c r="H24" s="19">
        <v>25</v>
      </c>
      <c r="I24" s="16">
        <f t="shared" si="5"/>
        <v>25</v>
      </c>
      <c r="J24" s="12"/>
    </row>
    <row r="25" s="4" customFormat="1" customHeight="1" spans="1:10">
      <c r="A25" s="12">
        <v>20</v>
      </c>
      <c r="B25" s="14" t="s">
        <v>294</v>
      </c>
      <c r="C25" s="14" t="s">
        <v>295</v>
      </c>
      <c r="D25" s="14" t="s">
        <v>13</v>
      </c>
      <c r="E25" s="13">
        <v>30</v>
      </c>
      <c r="F25" s="14">
        <f t="shared" si="3"/>
        <v>4.11764705882353</v>
      </c>
      <c r="G25" s="15">
        <f t="shared" si="4"/>
        <v>0.85</v>
      </c>
      <c r="H25" s="19">
        <v>3.5</v>
      </c>
      <c r="I25" s="16">
        <f t="shared" si="5"/>
        <v>105</v>
      </c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 t="s">
        <v>201</v>
      </c>
      <c r="B32" s="20">
        <f>SUM(I6:I31)</f>
        <v>978.6</v>
      </c>
      <c r="C32" s="21"/>
      <c r="D32" s="21"/>
      <c r="E32" s="22"/>
      <c r="F32" s="21"/>
      <c r="G32" s="21"/>
      <c r="H32" s="21"/>
      <c r="I32" s="21"/>
      <c r="J32" s="25"/>
    </row>
    <row r="33" s="4" customFormat="1" customHeight="1" spans="1:10">
      <c r="A33" s="12" t="s">
        <v>62</v>
      </c>
      <c r="B33" s="23">
        <f>B32</f>
        <v>978.6</v>
      </c>
      <c r="C33" s="24"/>
      <c r="D33" s="24"/>
      <c r="E33" s="22"/>
      <c r="F33" s="24"/>
      <c r="G33" s="24"/>
      <c r="H33" s="24"/>
      <c r="I33" s="24"/>
      <c r="J33" s="26"/>
    </row>
    <row r="34" s="4" customFormat="1" customHeight="1" spans="1:5">
      <c r="A34" s="4" t="s">
        <v>63</v>
      </c>
      <c r="E34" s="5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45124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2</v>
      </c>
      <c r="F6" s="14">
        <f t="shared" ref="F6:F26" si="0">H6/0.85</f>
        <v>3.52941176470588</v>
      </c>
      <c r="G6" s="15">
        <f t="shared" ref="G6:G26" si="1">H6/F6</f>
        <v>0.85</v>
      </c>
      <c r="H6" s="16">
        <v>3</v>
      </c>
      <c r="I6" s="16">
        <f t="shared" ref="I6:I26" si="2">E6*H6</f>
        <v>6</v>
      </c>
      <c r="J6" s="12"/>
    </row>
    <row r="7" s="4" customFormat="1" ht="16" customHeight="1" spans="1:10">
      <c r="A7" s="12">
        <v>2</v>
      </c>
      <c r="B7" s="12" t="s">
        <v>69</v>
      </c>
      <c r="C7" s="12"/>
      <c r="D7" s="13" t="s">
        <v>70</v>
      </c>
      <c r="E7" s="13">
        <v>2</v>
      </c>
      <c r="F7" s="14">
        <f t="shared" si="0"/>
        <v>4.70588235294118</v>
      </c>
      <c r="G7" s="15">
        <f t="shared" si="1"/>
        <v>0.85</v>
      </c>
      <c r="H7" s="16">
        <v>4</v>
      </c>
      <c r="I7" s="16">
        <f t="shared" si="2"/>
        <v>8</v>
      </c>
      <c r="J7" s="12"/>
    </row>
    <row r="8" s="4" customFormat="1" ht="16" customHeight="1" spans="1:10">
      <c r="A8" s="12">
        <v>3</v>
      </c>
      <c r="B8" s="12" t="s">
        <v>71</v>
      </c>
      <c r="C8" s="12" t="s">
        <v>72</v>
      </c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75</v>
      </c>
      <c r="C9" s="17"/>
      <c r="D9" s="13" t="s">
        <v>70</v>
      </c>
      <c r="E9" s="13">
        <v>4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14</v>
      </c>
      <c r="J9" s="12"/>
    </row>
    <row r="10" s="4" customFormat="1" ht="16" customHeight="1" spans="1:10">
      <c r="A10" s="12">
        <v>5</v>
      </c>
      <c r="B10" s="12" t="s">
        <v>76</v>
      </c>
      <c r="C10" s="12"/>
      <c r="D10" s="13" t="s">
        <v>70</v>
      </c>
      <c r="E10" s="13">
        <v>2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7</v>
      </c>
      <c r="J10" s="12"/>
    </row>
    <row r="11" s="4" customFormat="1" ht="16" customHeight="1" spans="1:10">
      <c r="A11" s="12">
        <v>6</v>
      </c>
      <c r="B11" s="12" t="s">
        <v>28</v>
      </c>
      <c r="C11" s="12"/>
      <c r="D11" s="13" t="s">
        <v>70</v>
      </c>
      <c r="E11" s="13">
        <v>3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23.4</v>
      </c>
      <c r="J11" s="12"/>
    </row>
    <row r="12" s="4" customFormat="1" ht="16" customHeight="1" spans="1:10">
      <c r="A12" s="12">
        <v>7</v>
      </c>
      <c r="B12" s="17" t="s">
        <v>29</v>
      </c>
      <c r="C12" s="17"/>
      <c r="D12" s="18" t="s">
        <v>70</v>
      </c>
      <c r="E12" s="18">
        <v>3</v>
      </c>
      <c r="F12" s="14">
        <f t="shared" si="0"/>
        <v>4.47058823529412</v>
      </c>
      <c r="G12" s="15">
        <f t="shared" si="1"/>
        <v>0.85</v>
      </c>
      <c r="H12" s="19">
        <v>3.8</v>
      </c>
      <c r="I12" s="16">
        <f t="shared" si="2"/>
        <v>11.4</v>
      </c>
      <c r="J12" s="17"/>
    </row>
    <row r="13" s="4" customFormat="1" ht="16" customHeight="1" spans="1:10">
      <c r="A13" s="12">
        <v>8</v>
      </c>
      <c r="B13" s="17" t="s">
        <v>296</v>
      </c>
      <c r="C13" s="17"/>
      <c r="D13" s="18" t="s">
        <v>70</v>
      </c>
      <c r="E13" s="18">
        <v>12</v>
      </c>
      <c r="F13" s="14">
        <f t="shared" si="0"/>
        <v>5.64705882352941</v>
      </c>
      <c r="G13" s="15">
        <f t="shared" si="1"/>
        <v>0.85</v>
      </c>
      <c r="H13" s="19">
        <v>4.8</v>
      </c>
      <c r="I13" s="16">
        <f t="shared" si="2"/>
        <v>57.6</v>
      </c>
      <c r="J13" s="17"/>
    </row>
    <row r="14" s="4" customFormat="1" ht="16" customHeight="1" spans="1:10">
      <c r="A14" s="12">
        <v>9</v>
      </c>
      <c r="B14" s="17" t="s">
        <v>209</v>
      </c>
      <c r="C14" s="17"/>
      <c r="D14" s="18" t="s">
        <v>70</v>
      </c>
      <c r="E14" s="18">
        <v>13</v>
      </c>
      <c r="F14" s="14">
        <f t="shared" si="0"/>
        <v>6.47058823529412</v>
      </c>
      <c r="G14" s="15">
        <f t="shared" si="1"/>
        <v>0.85</v>
      </c>
      <c r="H14" s="19">
        <v>5.5</v>
      </c>
      <c r="I14" s="16">
        <f t="shared" si="2"/>
        <v>71.5</v>
      </c>
      <c r="J14" s="17"/>
    </row>
    <row r="15" s="4" customFormat="1" ht="16" customHeight="1" spans="1:10">
      <c r="A15" s="12">
        <v>10</v>
      </c>
      <c r="B15" s="17" t="s">
        <v>88</v>
      </c>
      <c r="C15" s="17"/>
      <c r="D15" s="18" t="s">
        <v>70</v>
      </c>
      <c r="E15" s="18">
        <v>14</v>
      </c>
      <c r="F15" s="14">
        <f t="shared" si="0"/>
        <v>4.11764705882353</v>
      </c>
      <c r="G15" s="15">
        <f t="shared" si="1"/>
        <v>0.85</v>
      </c>
      <c r="H15" s="19">
        <v>3.5</v>
      </c>
      <c r="I15" s="16">
        <f t="shared" si="2"/>
        <v>49</v>
      </c>
      <c r="J15" s="17"/>
    </row>
    <row r="16" s="4" customFormat="1" ht="16" customHeight="1" spans="1:10">
      <c r="A16" s="12">
        <v>11</v>
      </c>
      <c r="B16" s="17" t="s">
        <v>89</v>
      </c>
      <c r="C16" s="17" t="s">
        <v>90</v>
      </c>
      <c r="D16" s="18" t="s">
        <v>91</v>
      </c>
      <c r="E16" s="18">
        <v>1</v>
      </c>
      <c r="F16" s="14">
        <f t="shared" si="0"/>
        <v>352.941176470588</v>
      </c>
      <c r="G16" s="15">
        <f t="shared" si="1"/>
        <v>0.85</v>
      </c>
      <c r="H16" s="19">
        <v>300</v>
      </c>
      <c r="I16" s="16">
        <f t="shared" si="2"/>
        <v>300</v>
      </c>
      <c r="J16" s="17"/>
    </row>
    <row r="17" s="4" customFormat="1" ht="16" customHeight="1" spans="1:10">
      <c r="A17" s="12">
        <v>12</v>
      </c>
      <c r="B17" s="17" t="s">
        <v>93</v>
      </c>
      <c r="C17" s="17"/>
      <c r="D17" s="18" t="s">
        <v>70</v>
      </c>
      <c r="E17" s="18">
        <v>2</v>
      </c>
      <c r="F17" s="14">
        <f t="shared" si="0"/>
        <v>15.2941176470588</v>
      </c>
      <c r="G17" s="15">
        <f t="shared" si="1"/>
        <v>0.85</v>
      </c>
      <c r="H17" s="19">
        <v>13</v>
      </c>
      <c r="I17" s="16">
        <f t="shared" si="2"/>
        <v>26</v>
      </c>
      <c r="J17" s="17"/>
    </row>
    <row r="18" s="4" customFormat="1" ht="16" customHeight="1" spans="1:10">
      <c r="A18" s="12">
        <v>13</v>
      </c>
      <c r="B18" s="12" t="s">
        <v>98</v>
      </c>
      <c r="C18" s="12"/>
      <c r="D18" s="13" t="s">
        <v>70</v>
      </c>
      <c r="E18" s="13">
        <v>7.25</v>
      </c>
      <c r="F18" s="14">
        <f t="shared" si="0"/>
        <v>23.5294117647059</v>
      </c>
      <c r="G18" s="15">
        <f t="shared" si="1"/>
        <v>0.85</v>
      </c>
      <c r="H18" s="19">
        <v>20</v>
      </c>
      <c r="I18" s="16">
        <f t="shared" si="2"/>
        <v>145</v>
      </c>
      <c r="J18" s="12"/>
    </row>
    <row r="19" s="4" customFormat="1" ht="16" customHeight="1" spans="1:10">
      <c r="A19" s="12">
        <v>14</v>
      </c>
      <c r="B19" s="17" t="s">
        <v>297</v>
      </c>
      <c r="C19" s="17"/>
      <c r="D19" s="17" t="s">
        <v>70</v>
      </c>
      <c r="E19" s="18">
        <v>12</v>
      </c>
      <c r="F19" s="14">
        <f t="shared" si="0"/>
        <v>37.6470588235294</v>
      </c>
      <c r="G19" s="15">
        <f t="shared" si="1"/>
        <v>0.85</v>
      </c>
      <c r="H19" s="19">
        <v>32</v>
      </c>
      <c r="I19" s="16">
        <f t="shared" si="2"/>
        <v>384</v>
      </c>
      <c r="J19" s="17"/>
    </row>
    <row r="20" s="4" customFormat="1" ht="16" customHeight="1" spans="1:10">
      <c r="A20" s="12">
        <v>15</v>
      </c>
      <c r="B20" s="12" t="s">
        <v>99</v>
      </c>
      <c r="C20" s="12" t="s">
        <v>100</v>
      </c>
      <c r="D20" s="17" t="s">
        <v>101</v>
      </c>
      <c r="E20" s="13">
        <v>3</v>
      </c>
      <c r="F20" s="14">
        <f t="shared" si="0"/>
        <v>51.7647058823529</v>
      </c>
      <c r="G20" s="15">
        <f t="shared" si="1"/>
        <v>0.85</v>
      </c>
      <c r="H20" s="19">
        <v>44</v>
      </c>
      <c r="I20" s="16">
        <f t="shared" si="2"/>
        <v>132</v>
      </c>
      <c r="J20" s="12"/>
    </row>
    <row r="21" s="4" customFormat="1" ht="16" customHeight="1" spans="1:10">
      <c r="A21" s="12">
        <v>16</v>
      </c>
      <c r="B21" s="12" t="s">
        <v>298</v>
      </c>
      <c r="C21" s="12" t="s">
        <v>299</v>
      </c>
      <c r="D21" s="12" t="s">
        <v>101</v>
      </c>
      <c r="E21" s="13">
        <v>3</v>
      </c>
      <c r="F21" s="14">
        <f t="shared" si="0"/>
        <v>42.8235294117647</v>
      </c>
      <c r="G21" s="15">
        <f t="shared" si="1"/>
        <v>0.85</v>
      </c>
      <c r="H21" s="19">
        <v>36.4</v>
      </c>
      <c r="I21" s="16">
        <f t="shared" si="2"/>
        <v>109.2</v>
      </c>
      <c r="J21" s="12"/>
    </row>
    <row r="22" s="4" customFormat="1" ht="16" customHeight="1" spans="1:10">
      <c r="A22" s="12">
        <v>17</v>
      </c>
      <c r="B22" s="12" t="s">
        <v>300</v>
      </c>
      <c r="C22" s="12" t="s">
        <v>301</v>
      </c>
      <c r="D22" s="12" t="s">
        <v>101</v>
      </c>
      <c r="E22" s="13">
        <v>10</v>
      </c>
      <c r="F22" s="14">
        <f t="shared" si="0"/>
        <v>2.35294117647059</v>
      </c>
      <c r="G22" s="15">
        <f t="shared" si="1"/>
        <v>0.85</v>
      </c>
      <c r="H22" s="19">
        <v>2</v>
      </c>
      <c r="I22" s="16">
        <f t="shared" si="2"/>
        <v>20</v>
      </c>
      <c r="J22" s="12"/>
    </row>
    <row r="23" s="4" customFormat="1" ht="16" customHeight="1" spans="1:10">
      <c r="A23" s="12">
        <v>18</v>
      </c>
      <c r="B23" s="12" t="s">
        <v>154</v>
      </c>
      <c r="C23" s="12"/>
      <c r="D23" s="12" t="s">
        <v>70</v>
      </c>
      <c r="E23" s="13">
        <v>5</v>
      </c>
      <c r="F23" s="14">
        <f t="shared" si="0"/>
        <v>103.529411764706</v>
      </c>
      <c r="G23" s="15">
        <f t="shared" si="1"/>
        <v>0.85</v>
      </c>
      <c r="H23" s="19">
        <v>88</v>
      </c>
      <c r="I23" s="16">
        <f t="shared" si="2"/>
        <v>440</v>
      </c>
      <c r="J23" s="12"/>
    </row>
    <row r="24" s="4" customFormat="1" ht="16" customHeight="1" spans="1:10">
      <c r="A24" s="12">
        <v>19</v>
      </c>
      <c r="B24" s="12" t="s">
        <v>302</v>
      </c>
      <c r="C24" s="12" t="s">
        <v>303</v>
      </c>
      <c r="D24" s="12" t="s">
        <v>70</v>
      </c>
      <c r="E24" s="13">
        <v>10</v>
      </c>
      <c r="F24" s="14">
        <f t="shared" si="0"/>
        <v>6.47058823529412</v>
      </c>
      <c r="G24" s="15">
        <f t="shared" si="1"/>
        <v>0.85</v>
      </c>
      <c r="H24" s="19">
        <v>5.5</v>
      </c>
      <c r="I24" s="16">
        <f t="shared" si="2"/>
        <v>55</v>
      </c>
      <c r="J24" s="12"/>
    </row>
    <row r="25" s="4" customFormat="1" customHeight="1" spans="1:10">
      <c r="A25" s="12">
        <v>20</v>
      </c>
      <c r="B25" s="28" t="s">
        <v>266</v>
      </c>
      <c r="C25" s="14" t="s">
        <v>267</v>
      </c>
      <c r="D25" s="14" t="s">
        <v>60</v>
      </c>
      <c r="E25" s="13">
        <v>46</v>
      </c>
      <c r="F25" s="14">
        <f t="shared" si="0"/>
        <v>4.11764705882353</v>
      </c>
      <c r="G25" s="15">
        <f t="shared" si="1"/>
        <v>0.85</v>
      </c>
      <c r="H25" s="19">
        <v>3.5</v>
      </c>
      <c r="I25" s="16">
        <f t="shared" si="2"/>
        <v>161</v>
      </c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201</v>
      </c>
      <c r="B33" s="20">
        <f>SUM(I6:I32)</f>
        <v>2027.1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62</v>
      </c>
      <c r="B34" s="23">
        <f>B33</f>
        <v>2027.1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63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2" workbookViewId="0">
      <selection activeCell="I12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45125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4</v>
      </c>
      <c r="F6" s="14">
        <f t="shared" ref="F6:F29" si="0">H6/0.85</f>
        <v>3.52941176470588</v>
      </c>
      <c r="G6" s="15">
        <f t="shared" ref="G6:G29" si="1">H6/F6</f>
        <v>0.85</v>
      </c>
      <c r="H6" s="16">
        <v>3</v>
      </c>
      <c r="I6" s="16">
        <f t="shared" ref="I6:I29" si="2">E6*H6</f>
        <v>12</v>
      </c>
      <c r="J6" s="12"/>
    </row>
    <row r="7" s="4" customFormat="1" ht="16" customHeight="1" spans="1:10">
      <c r="A7" s="12">
        <v>2</v>
      </c>
      <c r="B7" s="12" t="s">
        <v>75</v>
      </c>
      <c r="C7" s="12"/>
      <c r="D7" s="13" t="s">
        <v>70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78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304</v>
      </c>
      <c r="C9" s="17"/>
      <c r="D9" s="13" t="s">
        <v>70</v>
      </c>
      <c r="E9" s="13">
        <v>2</v>
      </c>
      <c r="F9" s="14">
        <f t="shared" si="0"/>
        <v>19.7647058823529</v>
      </c>
      <c r="G9" s="15">
        <f t="shared" si="1"/>
        <v>0.85</v>
      </c>
      <c r="H9" s="16">
        <v>16.8</v>
      </c>
      <c r="I9" s="16">
        <f t="shared" si="2"/>
        <v>33.6</v>
      </c>
      <c r="J9" s="12"/>
    </row>
    <row r="10" s="4" customFormat="1" ht="16" customHeight="1" spans="1:10">
      <c r="A10" s="12">
        <v>5</v>
      </c>
      <c r="B10" s="12" t="s">
        <v>80</v>
      </c>
      <c r="C10" s="12"/>
      <c r="D10" s="13" t="s">
        <v>70</v>
      </c>
      <c r="E10" s="13">
        <v>4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15.2</v>
      </c>
      <c r="J10" s="12"/>
    </row>
    <row r="11" s="4" customFormat="1" ht="16" customHeight="1" spans="1:10">
      <c r="A11" s="12">
        <v>6</v>
      </c>
      <c r="B11" s="12" t="s">
        <v>28</v>
      </c>
      <c r="C11" s="12"/>
      <c r="D11" s="13" t="s">
        <v>70</v>
      </c>
      <c r="E11" s="13">
        <v>3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23.4</v>
      </c>
      <c r="J11" s="12"/>
    </row>
    <row r="12" s="4" customFormat="1" ht="16" customHeight="1" spans="1:10">
      <c r="A12" s="12">
        <v>7</v>
      </c>
      <c r="B12" s="17" t="s">
        <v>171</v>
      </c>
      <c r="C12" s="17"/>
      <c r="D12" s="18" t="s">
        <v>172</v>
      </c>
      <c r="E12" s="18">
        <v>10</v>
      </c>
      <c r="F12" s="14">
        <f t="shared" si="0"/>
        <v>2.94117647058824</v>
      </c>
      <c r="G12" s="15">
        <f t="shared" si="1"/>
        <v>0.85</v>
      </c>
      <c r="H12" s="19">
        <v>2.5</v>
      </c>
      <c r="I12" s="16">
        <f t="shared" si="2"/>
        <v>25</v>
      </c>
      <c r="J12" s="17"/>
    </row>
    <row r="13" s="4" customFormat="1" ht="16" customHeight="1" spans="1:10">
      <c r="A13" s="12">
        <v>8</v>
      </c>
      <c r="B13" s="17" t="s">
        <v>29</v>
      </c>
      <c r="C13" s="17"/>
      <c r="D13" s="18" t="s">
        <v>70</v>
      </c>
      <c r="E13" s="18">
        <v>3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11.4</v>
      </c>
      <c r="J13" s="17"/>
    </row>
    <row r="14" s="4" customFormat="1" ht="16" customHeight="1" spans="1:10">
      <c r="A14" s="12">
        <v>9</v>
      </c>
      <c r="B14" s="17" t="s">
        <v>305</v>
      </c>
      <c r="C14" s="17"/>
      <c r="D14" s="18" t="s">
        <v>70</v>
      </c>
      <c r="E14" s="18">
        <v>6</v>
      </c>
      <c r="F14" s="14">
        <f t="shared" si="0"/>
        <v>5.29411764705882</v>
      </c>
      <c r="G14" s="15">
        <f t="shared" si="1"/>
        <v>0.85</v>
      </c>
      <c r="H14" s="19">
        <v>4.5</v>
      </c>
      <c r="I14" s="16">
        <f t="shared" si="2"/>
        <v>27</v>
      </c>
      <c r="J14" s="17"/>
    </row>
    <row r="15" s="4" customFormat="1" ht="16" customHeight="1" spans="1:10">
      <c r="A15" s="12">
        <v>10</v>
      </c>
      <c r="B15" s="17" t="s">
        <v>174</v>
      </c>
      <c r="C15" s="17"/>
      <c r="D15" s="18" t="s">
        <v>70</v>
      </c>
      <c r="E15" s="18">
        <v>23.19</v>
      </c>
      <c r="F15" s="14">
        <f t="shared" si="0"/>
        <v>11.5294117647059</v>
      </c>
      <c r="G15" s="15">
        <f t="shared" si="1"/>
        <v>0.85</v>
      </c>
      <c r="H15" s="19">
        <v>9.8</v>
      </c>
      <c r="I15" s="16">
        <f t="shared" si="2"/>
        <v>227.262</v>
      </c>
      <c r="J15" s="17"/>
    </row>
    <row r="16" s="4" customFormat="1" ht="16" customHeight="1" spans="1:10">
      <c r="A16" s="12">
        <v>11</v>
      </c>
      <c r="B16" s="17" t="s">
        <v>306</v>
      </c>
      <c r="C16" s="17"/>
      <c r="D16" s="18" t="s">
        <v>70</v>
      </c>
      <c r="E16" s="18">
        <v>25</v>
      </c>
      <c r="F16" s="14">
        <f t="shared" si="0"/>
        <v>4.11764705882353</v>
      </c>
      <c r="G16" s="15">
        <f t="shared" si="1"/>
        <v>0.85</v>
      </c>
      <c r="H16" s="19">
        <v>3.5</v>
      </c>
      <c r="I16" s="16">
        <f t="shared" si="2"/>
        <v>87.5</v>
      </c>
      <c r="J16" s="17"/>
    </row>
    <row r="17" s="4" customFormat="1" ht="16" customHeight="1" spans="1:10">
      <c r="A17" s="12">
        <v>12</v>
      </c>
      <c r="B17" s="17" t="s">
        <v>307</v>
      </c>
      <c r="C17" s="17"/>
      <c r="D17" s="18" t="s">
        <v>70</v>
      </c>
      <c r="E17" s="18">
        <v>8</v>
      </c>
      <c r="F17" s="14">
        <f t="shared" si="0"/>
        <v>8</v>
      </c>
      <c r="G17" s="15">
        <f t="shared" si="1"/>
        <v>0.85</v>
      </c>
      <c r="H17" s="19">
        <v>6.8</v>
      </c>
      <c r="I17" s="16">
        <f t="shared" si="2"/>
        <v>54.4</v>
      </c>
      <c r="J17" s="17"/>
    </row>
    <row r="18" s="4" customFormat="1" ht="16" customHeight="1" spans="1:10">
      <c r="A18" s="12">
        <v>13</v>
      </c>
      <c r="B18" s="12" t="s">
        <v>225</v>
      </c>
      <c r="C18" s="12"/>
      <c r="D18" s="13" t="s">
        <v>70</v>
      </c>
      <c r="E18" s="13">
        <v>7</v>
      </c>
      <c r="F18" s="14">
        <f t="shared" si="0"/>
        <v>20</v>
      </c>
      <c r="G18" s="15">
        <f t="shared" si="1"/>
        <v>0.85</v>
      </c>
      <c r="H18" s="19">
        <v>17</v>
      </c>
      <c r="I18" s="16">
        <f t="shared" si="2"/>
        <v>119</v>
      </c>
      <c r="J18" s="12"/>
    </row>
    <row r="19" s="4" customFormat="1" ht="16" customHeight="1" spans="1:10">
      <c r="A19" s="12">
        <v>14</v>
      </c>
      <c r="B19" s="17" t="s">
        <v>176</v>
      </c>
      <c r="C19" s="17"/>
      <c r="D19" s="17" t="s">
        <v>70</v>
      </c>
      <c r="E19" s="18">
        <v>3</v>
      </c>
      <c r="F19" s="14">
        <f t="shared" si="0"/>
        <v>17.6470588235294</v>
      </c>
      <c r="G19" s="15">
        <f t="shared" si="1"/>
        <v>0.85</v>
      </c>
      <c r="H19" s="19">
        <v>15</v>
      </c>
      <c r="I19" s="16">
        <f t="shared" si="2"/>
        <v>45</v>
      </c>
      <c r="J19" s="17"/>
    </row>
    <row r="20" s="4" customFormat="1" ht="16" customHeight="1" spans="1:10">
      <c r="A20" s="12">
        <v>15</v>
      </c>
      <c r="B20" s="12" t="s">
        <v>92</v>
      </c>
      <c r="C20" s="12"/>
      <c r="D20" s="17" t="s">
        <v>70</v>
      </c>
      <c r="E20" s="13">
        <v>2</v>
      </c>
      <c r="F20" s="14">
        <f t="shared" si="0"/>
        <v>14.1176470588235</v>
      </c>
      <c r="G20" s="15">
        <f t="shared" si="1"/>
        <v>0.85</v>
      </c>
      <c r="H20" s="19">
        <v>12</v>
      </c>
      <c r="I20" s="16">
        <f t="shared" si="2"/>
        <v>24</v>
      </c>
      <c r="J20" s="12"/>
    </row>
    <row r="21" s="4" customFormat="1" ht="16" customHeight="1" spans="1:10">
      <c r="A21" s="12">
        <v>16</v>
      </c>
      <c r="B21" s="12" t="s">
        <v>94</v>
      </c>
      <c r="C21" s="12"/>
      <c r="D21" s="12" t="s">
        <v>70</v>
      </c>
      <c r="E21" s="13">
        <v>4</v>
      </c>
      <c r="F21" s="14">
        <f t="shared" si="0"/>
        <v>23.5294117647059</v>
      </c>
      <c r="G21" s="15">
        <f t="shared" si="1"/>
        <v>0.85</v>
      </c>
      <c r="H21" s="19">
        <v>20</v>
      </c>
      <c r="I21" s="16">
        <f t="shared" si="2"/>
        <v>80</v>
      </c>
      <c r="J21" s="12"/>
    </row>
    <row r="22" s="4" customFormat="1" ht="16" customHeight="1" spans="1:10">
      <c r="A22" s="12">
        <v>17</v>
      </c>
      <c r="B22" s="12" t="s">
        <v>95</v>
      </c>
      <c r="C22" s="12"/>
      <c r="D22" s="12" t="s">
        <v>70</v>
      </c>
      <c r="E22" s="13">
        <v>4</v>
      </c>
      <c r="F22" s="14">
        <f t="shared" si="0"/>
        <v>23.5294117647059</v>
      </c>
      <c r="G22" s="15">
        <f t="shared" si="1"/>
        <v>0.85</v>
      </c>
      <c r="H22" s="19">
        <v>20</v>
      </c>
      <c r="I22" s="16">
        <f t="shared" si="2"/>
        <v>80</v>
      </c>
      <c r="J22" s="12"/>
    </row>
    <row r="23" s="4" customFormat="1" ht="16" customHeight="1" spans="1:10">
      <c r="A23" s="12">
        <v>18</v>
      </c>
      <c r="B23" s="12" t="s">
        <v>96</v>
      </c>
      <c r="C23" s="12"/>
      <c r="D23" s="12" t="s">
        <v>70</v>
      </c>
      <c r="E23" s="13">
        <v>4</v>
      </c>
      <c r="F23" s="14">
        <f t="shared" si="0"/>
        <v>28.2352941176471</v>
      </c>
      <c r="G23" s="15">
        <f t="shared" si="1"/>
        <v>0.85</v>
      </c>
      <c r="H23" s="19">
        <v>24</v>
      </c>
      <c r="I23" s="16">
        <f t="shared" si="2"/>
        <v>96</v>
      </c>
      <c r="J23" s="12"/>
    </row>
    <row r="24" s="4" customFormat="1" ht="16" customHeight="1" spans="1:10">
      <c r="A24" s="12">
        <v>19</v>
      </c>
      <c r="B24" s="12" t="s">
        <v>97</v>
      </c>
      <c r="C24" s="12"/>
      <c r="D24" s="12" t="s">
        <v>70</v>
      </c>
      <c r="E24" s="13">
        <v>5</v>
      </c>
      <c r="F24" s="14">
        <f t="shared" si="0"/>
        <v>17.6470588235294</v>
      </c>
      <c r="G24" s="15">
        <f t="shared" si="1"/>
        <v>0.85</v>
      </c>
      <c r="H24" s="19">
        <v>15</v>
      </c>
      <c r="I24" s="16">
        <f t="shared" si="2"/>
        <v>75</v>
      </c>
      <c r="J24" s="12"/>
    </row>
    <row r="25" s="4" customFormat="1" customHeight="1" spans="1:10">
      <c r="A25" s="12">
        <v>20</v>
      </c>
      <c r="B25" s="14" t="s">
        <v>308</v>
      </c>
      <c r="C25" s="14" t="s">
        <v>309</v>
      </c>
      <c r="D25" s="14" t="s">
        <v>13</v>
      </c>
      <c r="E25" s="13">
        <v>7</v>
      </c>
      <c r="F25" s="14">
        <f t="shared" si="0"/>
        <v>15.9294117647059</v>
      </c>
      <c r="G25" s="15">
        <f t="shared" si="1"/>
        <v>0.85</v>
      </c>
      <c r="H25" s="19">
        <v>13.54</v>
      </c>
      <c r="I25" s="16">
        <f t="shared" si="2"/>
        <v>94.78</v>
      </c>
      <c r="J25" s="14"/>
    </row>
    <row r="26" s="4" customFormat="1" customHeight="1" spans="1:10">
      <c r="A26" s="12">
        <v>21</v>
      </c>
      <c r="B26" s="14" t="s">
        <v>310</v>
      </c>
      <c r="C26" s="14" t="s">
        <v>142</v>
      </c>
      <c r="D26" s="14" t="s">
        <v>101</v>
      </c>
      <c r="E26" s="13">
        <v>1</v>
      </c>
      <c r="F26" s="14">
        <f t="shared" si="0"/>
        <v>29.4117647058824</v>
      </c>
      <c r="G26" s="15">
        <f t="shared" si="1"/>
        <v>0.85</v>
      </c>
      <c r="H26" s="19">
        <v>25</v>
      </c>
      <c r="I26" s="16">
        <f t="shared" si="2"/>
        <v>25</v>
      </c>
      <c r="J26" s="14"/>
    </row>
    <row r="27" s="4" customFormat="1" customHeight="1" spans="1:10">
      <c r="A27" s="12">
        <v>22</v>
      </c>
      <c r="B27" s="14" t="s">
        <v>198</v>
      </c>
      <c r="C27" s="14" t="s">
        <v>158</v>
      </c>
      <c r="D27" s="14" t="s">
        <v>101</v>
      </c>
      <c r="E27" s="13">
        <v>3</v>
      </c>
      <c r="F27" s="14">
        <f t="shared" si="0"/>
        <v>247.058823529412</v>
      </c>
      <c r="G27" s="15">
        <f t="shared" si="1"/>
        <v>0.85</v>
      </c>
      <c r="H27" s="19">
        <v>210</v>
      </c>
      <c r="I27" s="16">
        <f t="shared" si="2"/>
        <v>630</v>
      </c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 t="s">
        <v>201</v>
      </c>
      <c r="B32" s="20">
        <f>SUM(I6:I31)</f>
        <v>1810.042</v>
      </c>
      <c r="C32" s="21"/>
      <c r="D32" s="21"/>
      <c r="E32" s="22"/>
      <c r="F32" s="21"/>
      <c r="G32" s="21"/>
      <c r="H32" s="21"/>
      <c r="I32" s="21"/>
      <c r="J32" s="25"/>
    </row>
    <row r="33" s="4" customFormat="1" customHeight="1" spans="1:10">
      <c r="A33" s="12" t="s">
        <v>62</v>
      </c>
      <c r="B33" s="23">
        <f>B32</f>
        <v>1810.042</v>
      </c>
      <c r="C33" s="24"/>
      <c r="D33" s="24"/>
      <c r="E33" s="22"/>
      <c r="F33" s="24"/>
      <c r="G33" s="24"/>
      <c r="H33" s="24"/>
      <c r="I33" s="24"/>
      <c r="J33" s="26"/>
    </row>
    <row r="34" s="4" customFormat="1" customHeight="1" spans="1:5">
      <c r="A34" s="4" t="s">
        <v>63</v>
      </c>
      <c r="E34" s="5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45126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4</v>
      </c>
      <c r="F6" s="14">
        <f t="shared" ref="F6:F29" si="0">H6/0.85</f>
        <v>3.52941176470588</v>
      </c>
      <c r="G6" s="15">
        <f t="shared" ref="G6:G29" si="1">H6/F6</f>
        <v>0.85</v>
      </c>
      <c r="H6" s="16">
        <v>3</v>
      </c>
      <c r="I6" s="16">
        <f t="shared" ref="I6:I29" si="2">E6*H6</f>
        <v>12</v>
      </c>
      <c r="J6" s="12"/>
    </row>
    <row r="7" s="4" customFormat="1" ht="16" customHeight="1" spans="1:10">
      <c r="A7" s="12">
        <v>2</v>
      </c>
      <c r="B7" s="12" t="s">
        <v>75</v>
      </c>
      <c r="C7" s="12"/>
      <c r="D7" s="13" t="s">
        <v>70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4" customFormat="1" ht="16" customHeight="1" spans="1:10">
      <c r="A8" s="12">
        <v>3</v>
      </c>
      <c r="B8" s="12" t="s">
        <v>78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169</v>
      </c>
      <c r="C9" s="17"/>
      <c r="D9" s="13" t="s">
        <v>70</v>
      </c>
      <c r="E9" s="13">
        <v>2</v>
      </c>
      <c r="F9" s="14">
        <f t="shared" si="0"/>
        <v>8</v>
      </c>
      <c r="G9" s="15">
        <f t="shared" si="1"/>
        <v>0.85</v>
      </c>
      <c r="H9" s="16">
        <v>6.8</v>
      </c>
      <c r="I9" s="16">
        <f t="shared" si="2"/>
        <v>13.6</v>
      </c>
      <c r="J9" s="12"/>
    </row>
    <row r="10" s="4" customFormat="1" ht="16" customHeight="1" spans="1:10">
      <c r="A10" s="12">
        <v>5</v>
      </c>
      <c r="B10" s="12" t="s">
        <v>220</v>
      </c>
      <c r="C10" s="12"/>
      <c r="D10" s="13" t="s">
        <v>70</v>
      </c>
      <c r="E10" s="13">
        <v>2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5</v>
      </c>
      <c r="J10" s="12"/>
    </row>
    <row r="11" s="4" customFormat="1" ht="16" customHeight="1" spans="1:10">
      <c r="A11" s="12">
        <v>6</v>
      </c>
      <c r="B11" s="12" t="s">
        <v>311</v>
      </c>
      <c r="C11" s="12"/>
      <c r="D11" s="13" t="s">
        <v>70</v>
      </c>
      <c r="E11" s="13">
        <v>7</v>
      </c>
      <c r="F11" s="14">
        <f t="shared" si="0"/>
        <v>14.1176470588235</v>
      </c>
      <c r="G11" s="15">
        <f t="shared" si="1"/>
        <v>0.85</v>
      </c>
      <c r="H11" s="16">
        <v>12</v>
      </c>
      <c r="I11" s="16">
        <f t="shared" si="2"/>
        <v>84</v>
      </c>
      <c r="J11" s="12"/>
    </row>
    <row r="12" s="4" customFormat="1" ht="16" customHeight="1" spans="1:10">
      <c r="A12" s="12">
        <v>7</v>
      </c>
      <c r="B12" s="17" t="s">
        <v>170</v>
      </c>
      <c r="C12" s="17"/>
      <c r="D12" s="18" t="s">
        <v>70</v>
      </c>
      <c r="E12" s="18">
        <v>5</v>
      </c>
      <c r="F12" s="14">
        <f t="shared" si="0"/>
        <v>4.11764705882353</v>
      </c>
      <c r="G12" s="15">
        <f t="shared" si="1"/>
        <v>0.85</v>
      </c>
      <c r="H12" s="19">
        <v>3.5</v>
      </c>
      <c r="I12" s="16">
        <f t="shared" si="2"/>
        <v>17.5</v>
      </c>
      <c r="J12" s="17"/>
    </row>
    <row r="13" s="4" customFormat="1" ht="16" customHeight="1" spans="1:10">
      <c r="A13" s="12">
        <v>8</v>
      </c>
      <c r="B13" s="17" t="s">
        <v>207</v>
      </c>
      <c r="C13" s="17"/>
      <c r="D13" s="18" t="s">
        <v>70</v>
      </c>
      <c r="E13" s="18">
        <v>7</v>
      </c>
      <c r="F13" s="14">
        <f t="shared" si="0"/>
        <v>2.94117647058824</v>
      </c>
      <c r="G13" s="15">
        <f t="shared" si="1"/>
        <v>0.85</v>
      </c>
      <c r="H13" s="19">
        <v>2.5</v>
      </c>
      <c r="I13" s="16">
        <f t="shared" si="2"/>
        <v>17.5</v>
      </c>
      <c r="J13" s="17"/>
    </row>
    <row r="14" s="4" customFormat="1" ht="16" customHeight="1" spans="1:10">
      <c r="A14" s="12">
        <v>9</v>
      </c>
      <c r="B14" s="17" t="s">
        <v>312</v>
      </c>
      <c r="C14" s="17"/>
      <c r="D14" s="18" t="s">
        <v>70</v>
      </c>
      <c r="E14" s="18">
        <v>12</v>
      </c>
      <c r="F14" s="14">
        <f t="shared" si="0"/>
        <v>6.82352941176471</v>
      </c>
      <c r="G14" s="15">
        <f t="shared" si="1"/>
        <v>0.85</v>
      </c>
      <c r="H14" s="19">
        <v>5.8</v>
      </c>
      <c r="I14" s="16">
        <f t="shared" si="2"/>
        <v>69.6</v>
      </c>
      <c r="J14" s="17"/>
    </row>
    <row r="15" s="4" customFormat="1" ht="16" customHeight="1" spans="1:10">
      <c r="A15" s="12">
        <v>10</v>
      </c>
      <c r="B15" s="17" t="s">
        <v>270</v>
      </c>
      <c r="C15" s="17"/>
      <c r="D15" s="18" t="s">
        <v>70</v>
      </c>
      <c r="E15" s="18">
        <v>4.4</v>
      </c>
      <c r="F15" s="14">
        <f t="shared" si="0"/>
        <v>11.5294117647059</v>
      </c>
      <c r="G15" s="15">
        <f t="shared" si="1"/>
        <v>0.85</v>
      </c>
      <c r="H15" s="19">
        <v>9.8</v>
      </c>
      <c r="I15" s="16">
        <f t="shared" si="2"/>
        <v>43.12</v>
      </c>
      <c r="J15" s="17"/>
    </row>
    <row r="16" s="4" customFormat="1" ht="16" customHeight="1" spans="1:10">
      <c r="A16" s="12">
        <v>11</v>
      </c>
      <c r="B16" s="17" t="s">
        <v>221</v>
      </c>
      <c r="C16" s="17"/>
      <c r="D16" s="18" t="s">
        <v>70</v>
      </c>
      <c r="E16" s="18">
        <v>4</v>
      </c>
      <c r="F16" s="14">
        <f t="shared" si="0"/>
        <v>4.47058823529412</v>
      </c>
      <c r="G16" s="15">
        <f t="shared" si="1"/>
        <v>0.85</v>
      </c>
      <c r="H16" s="19">
        <v>3.8</v>
      </c>
      <c r="I16" s="16">
        <f t="shared" si="2"/>
        <v>15.2</v>
      </c>
      <c r="J16" s="17"/>
    </row>
    <row r="17" s="4" customFormat="1" ht="16" customHeight="1" spans="1:10">
      <c r="A17" s="12">
        <v>12</v>
      </c>
      <c r="B17" s="17" t="s">
        <v>30</v>
      </c>
      <c r="C17" s="17"/>
      <c r="D17" s="18" t="s">
        <v>70</v>
      </c>
      <c r="E17" s="18">
        <v>2</v>
      </c>
      <c r="F17" s="14">
        <f t="shared" si="0"/>
        <v>8</v>
      </c>
      <c r="G17" s="15">
        <f t="shared" si="1"/>
        <v>0.85</v>
      </c>
      <c r="H17" s="19">
        <v>6.8</v>
      </c>
      <c r="I17" s="16">
        <f t="shared" si="2"/>
        <v>13.6</v>
      </c>
      <c r="J17" s="17"/>
    </row>
    <row r="18" s="4" customFormat="1" ht="16" customHeight="1" spans="1:10">
      <c r="A18" s="12">
        <v>13</v>
      </c>
      <c r="B18" s="12" t="s">
        <v>175</v>
      </c>
      <c r="C18" s="12"/>
      <c r="D18" s="13" t="s">
        <v>70</v>
      </c>
      <c r="E18" s="13">
        <v>12</v>
      </c>
      <c r="F18" s="14">
        <f t="shared" si="0"/>
        <v>25.8823529411765</v>
      </c>
      <c r="G18" s="15">
        <f t="shared" si="1"/>
        <v>0.85</v>
      </c>
      <c r="H18" s="19">
        <v>22</v>
      </c>
      <c r="I18" s="16">
        <f t="shared" si="2"/>
        <v>264</v>
      </c>
      <c r="J18" s="12"/>
    </row>
    <row r="19" s="4" customFormat="1" ht="16" customHeight="1" spans="1:10">
      <c r="A19" s="12">
        <v>14</v>
      </c>
      <c r="B19" s="17" t="s">
        <v>203</v>
      </c>
      <c r="C19" s="17"/>
      <c r="D19" s="17" t="s">
        <v>70</v>
      </c>
      <c r="E19" s="18">
        <v>6.9</v>
      </c>
      <c r="F19" s="14">
        <f t="shared" si="0"/>
        <v>17.4117647058824</v>
      </c>
      <c r="G19" s="15">
        <f t="shared" si="1"/>
        <v>0.85</v>
      </c>
      <c r="H19" s="19">
        <v>14.8</v>
      </c>
      <c r="I19" s="16">
        <f t="shared" si="2"/>
        <v>102.12</v>
      </c>
      <c r="J19" s="17"/>
    </row>
    <row r="20" s="4" customFormat="1" ht="16" customHeight="1" spans="1:10">
      <c r="A20" s="12">
        <v>15</v>
      </c>
      <c r="B20" s="12" t="s">
        <v>215</v>
      </c>
      <c r="C20" s="12"/>
      <c r="D20" s="17" t="s">
        <v>70</v>
      </c>
      <c r="E20" s="13">
        <v>7</v>
      </c>
      <c r="F20" s="14">
        <f t="shared" si="0"/>
        <v>5.88235294117647</v>
      </c>
      <c r="G20" s="15">
        <f t="shared" si="1"/>
        <v>0.85</v>
      </c>
      <c r="H20" s="19">
        <v>5</v>
      </c>
      <c r="I20" s="16">
        <f t="shared" si="2"/>
        <v>35</v>
      </c>
      <c r="J20" s="12"/>
    </row>
    <row r="21" s="4" customFormat="1" ht="16" customHeight="1" spans="1:10">
      <c r="A21" s="12">
        <v>16</v>
      </c>
      <c r="B21" s="12" t="s">
        <v>246</v>
      </c>
      <c r="C21" s="12"/>
      <c r="D21" s="12" t="s">
        <v>70</v>
      </c>
      <c r="E21" s="13">
        <v>4</v>
      </c>
      <c r="F21" s="14">
        <f t="shared" si="0"/>
        <v>103.529411764706</v>
      </c>
      <c r="G21" s="15">
        <f t="shared" si="1"/>
        <v>0.85</v>
      </c>
      <c r="H21" s="19">
        <v>88</v>
      </c>
      <c r="I21" s="16">
        <f t="shared" si="2"/>
        <v>352</v>
      </c>
      <c r="J21" s="12"/>
    </row>
    <row r="22" s="4" customFormat="1" ht="16" customHeight="1" spans="1:10">
      <c r="A22" s="12">
        <v>17</v>
      </c>
      <c r="B22" s="12"/>
      <c r="C22" s="12"/>
      <c r="D22" s="12"/>
      <c r="E22" s="13"/>
      <c r="F22" s="14"/>
      <c r="G22" s="15"/>
      <c r="H22" s="19"/>
      <c r="I22" s="16"/>
      <c r="J22" s="12"/>
    </row>
    <row r="23" s="4" customFormat="1" ht="16" customHeight="1" spans="1:10">
      <c r="A23" s="12">
        <v>18</v>
      </c>
      <c r="B23" s="12"/>
      <c r="C23" s="12"/>
      <c r="D23" s="12"/>
      <c r="E23" s="13"/>
      <c r="F23" s="14"/>
      <c r="G23" s="15"/>
      <c r="H23" s="19"/>
      <c r="I23" s="16"/>
      <c r="J23" s="12"/>
    </row>
    <row r="24" s="4" customFormat="1" ht="16" customHeight="1" spans="1:10">
      <c r="A24" s="12">
        <v>19</v>
      </c>
      <c r="B24" s="12"/>
      <c r="C24" s="12"/>
      <c r="D24" s="12"/>
      <c r="E24" s="13"/>
      <c r="F24" s="14"/>
      <c r="G24" s="15"/>
      <c r="H24" s="19"/>
      <c r="I24" s="16"/>
      <c r="J24" s="12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201</v>
      </c>
      <c r="B34" s="20">
        <f>SUM(I6:I33)</f>
        <v>1065.24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62</v>
      </c>
      <c r="B35" s="23">
        <f>B34</f>
        <v>1065.24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63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45127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5</v>
      </c>
      <c r="F6" s="14">
        <f t="shared" ref="F6:F21" si="0">H6/0.85</f>
        <v>3.52941176470588</v>
      </c>
      <c r="G6" s="15">
        <f t="shared" ref="G6:G21" si="1">H6/F6</f>
        <v>0.85</v>
      </c>
      <c r="H6" s="16">
        <v>3</v>
      </c>
      <c r="I6" s="16">
        <f t="shared" ref="I6:I21" si="2">E6*H6</f>
        <v>15</v>
      </c>
      <c r="J6" s="12"/>
    </row>
    <row r="7" s="4" customFormat="1" ht="16" customHeight="1" spans="1:10">
      <c r="A7" s="12">
        <v>2</v>
      </c>
      <c r="B7" s="12" t="s">
        <v>286</v>
      </c>
      <c r="C7" s="12"/>
      <c r="D7" s="13" t="s">
        <v>70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76</v>
      </c>
      <c r="C9" s="17"/>
      <c r="D9" s="13" t="s">
        <v>70</v>
      </c>
      <c r="E9" s="13">
        <v>2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7</v>
      </c>
      <c r="J9" s="12"/>
    </row>
    <row r="10" s="4" customFormat="1" ht="16" customHeight="1" spans="1:10">
      <c r="A10" s="12">
        <v>5</v>
      </c>
      <c r="B10" s="12" t="s">
        <v>168</v>
      </c>
      <c r="C10" s="12"/>
      <c r="D10" s="13" t="s">
        <v>70</v>
      </c>
      <c r="E10" s="13">
        <v>4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31.2</v>
      </c>
      <c r="J10" s="12"/>
    </row>
    <row r="11" s="4" customFormat="1" ht="16" customHeight="1" spans="1:10">
      <c r="A11" s="12">
        <v>6</v>
      </c>
      <c r="B11" s="12" t="s">
        <v>313</v>
      </c>
      <c r="C11" s="12"/>
      <c r="D11" s="13" t="s">
        <v>70</v>
      </c>
      <c r="E11" s="13">
        <v>8</v>
      </c>
      <c r="F11" s="14">
        <f t="shared" si="0"/>
        <v>2.35294117647059</v>
      </c>
      <c r="G11" s="15">
        <f t="shared" si="1"/>
        <v>0.85</v>
      </c>
      <c r="H11" s="16">
        <v>2</v>
      </c>
      <c r="I11" s="16">
        <f t="shared" si="2"/>
        <v>16</v>
      </c>
      <c r="J11" s="12"/>
    </row>
    <row r="12" s="4" customFormat="1" ht="16" customHeight="1" spans="1:10">
      <c r="A12" s="12">
        <v>7</v>
      </c>
      <c r="B12" s="17" t="s">
        <v>28</v>
      </c>
      <c r="C12" s="17"/>
      <c r="D12" s="18" t="s">
        <v>70</v>
      </c>
      <c r="E12" s="18">
        <v>3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23.4</v>
      </c>
      <c r="J12" s="17"/>
    </row>
    <row r="13" s="4" customFormat="1" ht="16" customHeight="1" spans="1:10">
      <c r="A13" s="12">
        <v>8</v>
      </c>
      <c r="B13" s="17" t="s">
        <v>314</v>
      </c>
      <c r="C13" s="17"/>
      <c r="D13" s="18" t="s">
        <v>70</v>
      </c>
      <c r="E13" s="18">
        <v>14</v>
      </c>
      <c r="F13" s="14">
        <f t="shared" si="0"/>
        <v>3.52941176470588</v>
      </c>
      <c r="G13" s="15">
        <f t="shared" si="1"/>
        <v>0.85</v>
      </c>
      <c r="H13" s="19">
        <v>3</v>
      </c>
      <c r="I13" s="16">
        <f t="shared" si="2"/>
        <v>42</v>
      </c>
      <c r="J13" s="17"/>
    </row>
    <row r="14" s="4" customFormat="1" ht="16" customHeight="1" spans="1:10">
      <c r="A14" s="12">
        <v>9</v>
      </c>
      <c r="B14" s="17" t="s">
        <v>29</v>
      </c>
      <c r="C14" s="17"/>
      <c r="D14" s="18" t="s">
        <v>70</v>
      </c>
      <c r="E14" s="18">
        <v>15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57</v>
      </c>
      <c r="J14" s="17"/>
    </row>
    <row r="15" s="4" customFormat="1" ht="16" customHeight="1" spans="1:10">
      <c r="A15" s="12">
        <v>10</v>
      </c>
      <c r="B15" s="17" t="s">
        <v>208</v>
      </c>
      <c r="C15" s="17"/>
      <c r="D15" s="18" t="s">
        <v>70</v>
      </c>
      <c r="E15" s="18">
        <v>10</v>
      </c>
      <c r="F15" s="14">
        <f t="shared" si="0"/>
        <v>2.94117647058824</v>
      </c>
      <c r="G15" s="15">
        <f t="shared" si="1"/>
        <v>0.85</v>
      </c>
      <c r="H15" s="19">
        <v>2.5</v>
      </c>
      <c r="I15" s="16">
        <f t="shared" si="2"/>
        <v>25</v>
      </c>
      <c r="J15" s="17"/>
    </row>
    <row r="16" s="4" customFormat="1" ht="16" customHeight="1" spans="1:10">
      <c r="A16" s="12">
        <v>11</v>
      </c>
      <c r="B16" s="17" t="s">
        <v>315</v>
      </c>
      <c r="C16" s="17"/>
      <c r="D16" s="18" t="s">
        <v>70</v>
      </c>
      <c r="E16" s="18">
        <v>6</v>
      </c>
      <c r="F16" s="14">
        <f t="shared" si="0"/>
        <v>15.2941176470588</v>
      </c>
      <c r="G16" s="15">
        <f t="shared" si="1"/>
        <v>0.85</v>
      </c>
      <c r="H16" s="19">
        <v>13</v>
      </c>
      <c r="I16" s="16">
        <f t="shared" si="2"/>
        <v>78</v>
      </c>
      <c r="J16" s="17"/>
    </row>
    <row r="17" s="4" customFormat="1" ht="16" customHeight="1" spans="1:10">
      <c r="A17" s="12">
        <v>12</v>
      </c>
      <c r="B17" s="17" t="s">
        <v>176</v>
      </c>
      <c r="C17" s="17"/>
      <c r="D17" s="18" t="s">
        <v>70</v>
      </c>
      <c r="E17" s="18">
        <v>3</v>
      </c>
      <c r="F17" s="14">
        <f t="shared" si="0"/>
        <v>17.6470588235294</v>
      </c>
      <c r="G17" s="15">
        <f t="shared" si="1"/>
        <v>0.85</v>
      </c>
      <c r="H17" s="19">
        <v>15</v>
      </c>
      <c r="I17" s="16">
        <f t="shared" si="2"/>
        <v>45</v>
      </c>
      <c r="J17" s="17"/>
    </row>
    <row r="18" s="4" customFormat="1" ht="16" customHeight="1" spans="1:10">
      <c r="A18" s="12">
        <v>13</v>
      </c>
      <c r="B18" s="17" t="s">
        <v>273</v>
      </c>
      <c r="C18" s="17"/>
      <c r="D18" s="17" t="s">
        <v>70</v>
      </c>
      <c r="E18" s="18">
        <v>8</v>
      </c>
      <c r="F18" s="14">
        <f t="shared" si="0"/>
        <v>45.8823529411765</v>
      </c>
      <c r="G18" s="15">
        <f t="shared" si="1"/>
        <v>0.85</v>
      </c>
      <c r="H18" s="19">
        <v>39</v>
      </c>
      <c r="I18" s="16">
        <f t="shared" si="2"/>
        <v>312</v>
      </c>
      <c r="J18" s="17"/>
    </row>
    <row r="19" s="4" customFormat="1" ht="16" customHeight="1" spans="1:10">
      <c r="A19" s="12">
        <v>14</v>
      </c>
      <c r="B19" s="12" t="s">
        <v>145</v>
      </c>
      <c r="C19" s="12" t="s">
        <v>146</v>
      </c>
      <c r="D19" s="17" t="s">
        <v>13</v>
      </c>
      <c r="E19" s="13">
        <v>10</v>
      </c>
      <c r="F19" s="14">
        <f t="shared" si="0"/>
        <v>8</v>
      </c>
      <c r="G19" s="15">
        <f t="shared" si="1"/>
        <v>0.85</v>
      </c>
      <c r="H19" s="19">
        <v>6.8</v>
      </c>
      <c r="I19" s="16">
        <f t="shared" si="2"/>
        <v>68</v>
      </c>
      <c r="J19" s="12"/>
    </row>
    <row r="20" s="4" customFormat="1" ht="16" customHeight="1" spans="1:10">
      <c r="A20" s="12">
        <v>15</v>
      </c>
      <c r="B20" s="12" t="s">
        <v>266</v>
      </c>
      <c r="C20" s="12" t="s">
        <v>267</v>
      </c>
      <c r="D20" s="12" t="s">
        <v>60</v>
      </c>
      <c r="E20" s="13">
        <v>55</v>
      </c>
      <c r="F20" s="14">
        <f t="shared" si="0"/>
        <v>4.11764705882353</v>
      </c>
      <c r="G20" s="15">
        <f t="shared" si="1"/>
        <v>0.85</v>
      </c>
      <c r="H20" s="19">
        <v>3.5</v>
      </c>
      <c r="I20" s="16">
        <f t="shared" si="2"/>
        <v>192.5</v>
      </c>
      <c r="J20" s="12"/>
    </row>
    <row r="21" s="4" customFormat="1" ht="16" customHeight="1" spans="1:10">
      <c r="A21" s="12">
        <v>16</v>
      </c>
      <c r="B21" s="12"/>
      <c r="C21" s="12"/>
      <c r="D21" s="12"/>
      <c r="E21" s="13"/>
      <c r="F21" s="14"/>
      <c r="G21" s="15"/>
      <c r="H21" s="19"/>
      <c r="I21" s="16"/>
      <c r="J21" s="12"/>
    </row>
    <row r="22" s="4" customFormat="1" ht="16" customHeight="1" spans="1:10">
      <c r="A22" s="12">
        <v>17</v>
      </c>
      <c r="B22" s="12"/>
      <c r="C22" s="12"/>
      <c r="D22" s="12"/>
      <c r="E22" s="13"/>
      <c r="F22" s="14"/>
      <c r="G22" s="15"/>
      <c r="H22" s="19"/>
      <c r="I22" s="16"/>
      <c r="J22" s="12"/>
    </row>
    <row r="23" s="4" customFormat="1" ht="16" customHeight="1" spans="1:10">
      <c r="A23" s="12">
        <v>18</v>
      </c>
      <c r="B23" s="12"/>
      <c r="C23" s="12"/>
      <c r="D23" s="12"/>
      <c r="E23" s="13"/>
      <c r="F23" s="14"/>
      <c r="G23" s="15"/>
      <c r="H23" s="19"/>
      <c r="I23" s="16"/>
      <c r="J23" s="12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201</v>
      </c>
      <c r="B33" s="20">
        <f>SUM(I6:I32)</f>
        <v>929.6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62</v>
      </c>
      <c r="B34" s="23">
        <f>B33</f>
        <v>929.6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63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8" workbookViewId="0">
      <selection activeCell="I18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45128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2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6</v>
      </c>
      <c r="J6" s="12"/>
    </row>
    <row r="7" s="4" customFormat="1" ht="16" customHeight="1" spans="1:10">
      <c r="A7" s="12">
        <v>2</v>
      </c>
      <c r="B7" s="12" t="s">
        <v>76</v>
      </c>
      <c r="C7" s="12"/>
      <c r="D7" s="13" t="s">
        <v>70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316</v>
      </c>
      <c r="C8" s="12"/>
      <c r="D8" s="13" t="s">
        <v>70</v>
      </c>
      <c r="E8" s="13">
        <v>10</v>
      </c>
      <c r="F8" s="14">
        <f t="shared" si="0"/>
        <v>5.29411764705882</v>
      </c>
      <c r="G8" s="15">
        <f t="shared" si="1"/>
        <v>0.85</v>
      </c>
      <c r="H8" s="16">
        <v>4.5</v>
      </c>
      <c r="I8" s="16">
        <f t="shared" si="2"/>
        <v>45</v>
      </c>
      <c r="J8" s="12"/>
    </row>
    <row r="9" s="4" customFormat="1" ht="16" customHeight="1" spans="1:10">
      <c r="A9" s="12">
        <v>4</v>
      </c>
      <c r="B9" s="17" t="s">
        <v>81</v>
      </c>
      <c r="C9" s="17"/>
      <c r="D9" s="13" t="s">
        <v>70</v>
      </c>
      <c r="E9" s="13">
        <v>12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42</v>
      </c>
      <c r="J9" s="12"/>
    </row>
    <row r="10" s="4" customFormat="1" ht="16" customHeight="1" spans="1:10">
      <c r="A10" s="12">
        <v>5</v>
      </c>
      <c r="B10" s="12" t="s">
        <v>28</v>
      </c>
      <c r="C10" s="12"/>
      <c r="D10" s="13" t="s">
        <v>70</v>
      </c>
      <c r="E10" s="13">
        <v>2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15.6</v>
      </c>
      <c r="J10" s="12"/>
    </row>
    <row r="11" s="4" customFormat="1" ht="16" customHeight="1" spans="1:10">
      <c r="A11" s="12">
        <v>6</v>
      </c>
      <c r="B11" s="12" t="s">
        <v>29</v>
      </c>
      <c r="C11" s="12"/>
      <c r="D11" s="13" t="s">
        <v>70</v>
      </c>
      <c r="E11" s="13">
        <v>2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7.6</v>
      </c>
      <c r="J11" s="12"/>
    </row>
    <row r="12" s="4" customFormat="1" ht="16" customHeight="1" spans="1:10">
      <c r="A12" s="12">
        <v>7</v>
      </c>
      <c r="B12" s="17" t="s">
        <v>222</v>
      </c>
      <c r="C12" s="17"/>
      <c r="D12" s="18" t="s">
        <v>70</v>
      </c>
      <c r="E12" s="18">
        <v>4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31.2</v>
      </c>
      <c r="J12" s="17"/>
    </row>
    <row r="13" s="4" customFormat="1" ht="16" customHeight="1" spans="1:10">
      <c r="A13" s="12">
        <v>8</v>
      </c>
      <c r="B13" s="17" t="s">
        <v>210</v>
      </c>
      <c r="C13" s="17"/>
      <c r="D13" s="18" t="s">
        <v>70</v>
      </c>
      <c r="E13" s="18">
        <v>10</v>
      </c>
      <c r="F13" s="14">
        <f t="shared" si="0"/>
        <v>3.29411764705882</v>
      </c>
      <c r="G13" s="15">
        <f t="shared" si="1"/>
        <v>0.85</v>
      </c>
      <c r="H13" s="19">
        <v>2.8</v>
      </c>
      <c r="I13" s="16">
        <f t="shared" si="2"/>
        <v>28</v>
      </c>
      <c r="J13" s="17"/>
    </row>
    <row r="14" s="4" customFormat="1" ht="16" customHeight="1" spans="1:10">
      <c r="A14" s="12">
        <v>9</v>
      </c>
      <c r="B14" s="17" t="s">
        <v>223</v>
      </c>
      <c r="C14" s="17"/>
      <c r="D14" s="18" t="s">
        <v>70</v>
      </c>
      <c r="E14" s="18">
        <v>39.48</v>
      </c>
      <c r="F14" s="14">
        <f t="shared" si="0"/>
        <v>5.64705882352941</v>
      </c>
      <c r="G14" s="15">
        <f t="shared" si="1"/>
        <v>0.85</v>
      </c>
      <c r="H14" s="19">
        <v>4.8</v>
      </c>
      <c r="I14" s="16">
        <f t="shared" si="2"/>
        <v>189.504</v>
      </c>
      <c r="J14" s="17"/>
    </row>
    <row r="15" s="4" customFormat="1" ht="16" customHeight="1" spans="1:10">
      <c r="A15" s="12">
        <v>10</v>
      </c>
      <c r="B15" s="17" t="s">
        <v>87</v>
      </c>
      <c r="C15" s="17"/>
      <c r="D15" s="18" t="s">
        <v>70</v>
      </c>
      <c r="E15" s="18">
        <v>4</v>
      </c>
      <c r="F15" s="14">
        <f t="shared" si="0"/>
        <v>8</v>
      </c>
      <c r="G15" s="15">
        <f t="shared" si="1"/>
        <v>0.85</v>
      </c>
      <c r="H15" s="19">
        <v>6.8</v>
      </c>
      <c r="I15" s="16">
        <f t="shared" si="2"/>
        <v>27.2</v>
      </c>
      <c r="J15" s="17"/>
    </row>
    <row r="16" s="4" customFormat="1" ht="16" customHeight="1" spans="1:10">
      <c r="A16" s="12">
        <v>11</v>
      </c>
      <c r="B16" s="17" t="s">
        <v>224</v>
      </c>
      <c r="C16" s="17"/>
      <c r="D16" s="18" t="s">
        <v>70</v>
      </c>
      <c r="E16" s="18">
        <v>4</v>
      </c>
      <c r="F16" s="14">
        <f t="shared" si="0"/>
        <v>16.2352941176471</v>
      </c>
      <c r="G16" s="15">
        <f t="shared" si="1"/>
        <v>0.85</v>
      </c>
      <c r="H16" s="19">
        <v>13.8</v>
      </c>
      <c r="I16" s="16">
        <f t="shared" si="2"/>
        <v>55.2</v>
      </c>
      <c r="J16" s="17"/>
    </row>
    <row r="17" s="4" customFormat="1" ht="16" customHeight="1" spans="1:10">
      <c r="A17" s="12">
        <v>12</v>
      </c>
      <c r="B17" s="17" t="s">
        <v>225</v>
      </c>
      <c r="C17" s="17"/>
      <c r="D17" s="18" t="s">
        <v>70</v>
      </c>
      <c r="E17" s="18">
        <v>10</v>
      </c>
      <c r="F17" s="14">
        <f t="shared" si="0"/>
        <v>20</v>
      </c>
      <c r="G17" s="15">
        <f t="shared" si="1"/>
        <v>0.85</v>
      </c>
      <c r="H17" s="19">
        <v>17</v>
      </c>
      <c r="I17" s="16">
        <f t="shared" si="2"/>
        <v>170</v>
      </c>
      <c r="J17" s="17"/>
    </row>
    <row r="18" s="4" customFormat="1" ht="16" customHeight="1" spans="1:10">
      <c r="A18" s="12">
        <v>15</v>
      </c>
      <c r="B18" s="12" t="s">
        <v>176</v>
      </c>
      <c r="C18" s="12"/>
      <c r="D18" s="17" t="s">
        <v>70</v>
      </c>
      <c r="E18" s="13">
        <v>8</v>
      </c>
      <c r="F18" s="14">
        <f t="shared" si="0"/>
        <v>17.6470588235294</v>
      </c>
      <c r="G18" s="15">
        <f t="shared" si="1"/>
        <v>0.85</v>
      </c>
      <c r="H18" s="19">
        <v>15</v>
      </c>
      <c r="I18" s="16">
        <f t="shared" si="2"/>
        <v>120</v>
      </c>
      <c r="J18" s="12"/>
    </row>
    <row r="19" s="4" customFormat="1" ht="16" customHeight="1" spans="1:10">
      <c r="A19" s="12">
        <v>16</v>
      </c>
      <c r="B19" s="12" t="s">
        <v>255</v>
      </c>
      <c r="C19" s="12"/>
      <c r="D19" s="12" t="s">
        <v>70</v>
      </c>
      <c r="E19" s="13">
        <v>3</v>
      </c>
      <c r="F19" s="14">
        <f t="shared" si="0"/>
        <v>11.7647058823529</v>
      </c>
      <c r="G19" s="15">
        <f t="shared" si="1"/>
        <v>0.85</v>
      </c>
      <c r="H19" s="19">
        <v>10</v>
      </c>
      <c r="I19" s="16">
        <f t="shared" si="2"/>
        <v>30</v>
      </c>
      <c r="J19" s="12"/>
    </row>
    <row r="20" s="4" customFormat="1" ht="16" customHeight="1" spans="1:10">
      <c r="A20" s="12">
        <v>17</v>
      </c>
      <c r="B20" s="12" t="s">
        <v>317</v>
      </c>
      <c r="C20" s="12" t="s">
        <v>318</v>
      </c>
      <c r="D20" s="12" t="s">
        <v>101</v>
      </c>
      <c r="E20" s="13">
        <v>3</v>
      </c>
      <c r="F20" s="14">
        <f t="shared" si="0"/>
        <v>8</v>
      </c>
      <c r="G20" s="15">
        <f t="shared" si="1"/>
        <v>0.85</v>
      </c>
      <c r="H20" s="19">
        <v>6.8</v>
      </c>
      <c r="I20" s="16">
        <f t="shared" si="2"/>
        <v>20.4</v>
      </c>
      <c r="J20" s="12"/>
    </row>
    <row r="21" s="4" customFormat="1" ht="16" customHeight="1" spans="1:10">
      <c r="A21" s="12">
        <v>18</v>
      </c>
      <c r="B21" s="12" t="s">
        <v>319</v>
      </c>
      <c r="C21" s="12" t="s">
        <v>320</v>
      </c>
      <c r="D21" s="12" t="s">
        <v>13</v>
      </c>
      <c r="E21" s="13">
        <v>3</v>
      </c>
      <c r="F21" s="14">
        <f t="shared" si="0"/>
        <v>6.82352941176471</v>
      </c>
      <c r="G21" s="15">
        <f t="shared" si="1"/>
        <v>0.85</v>
      </c>
      <c r="H21" s="19">
        <v>5.8</v>
      </c>
      <c r="I21" s="16">
        <f t="shared" si="2"/>
        <v>17.4</v>
      </c>
      <c r="J21" s="12"/>
    </row>
    <row r="22" s="4" customFormat="1" ht="16" customHeight="1" spans="1:10">
      <c r="A22" s="12">
        <v>19</v>
      </c>
      <c r="B22" s="12" t="s">
        <v>321</v>
      </c>
      <c r="C22" s="12" t="s">
        <v>322</v>
      </c>
      <c r="D22" s="12" t="s">
        <v>101</v>
      </c>
      <c r="E22" s="13">
        <v>20</v>
      </c>
      <c r="F22" s="14">
        <f t="shared" si="0"/>
        <v>5.29411764705882</v>
      </c>
      <c r="G22" s="15">
        <f t="shared" si="1"/>
        <v>0.85</v>
      </c>
      <c r="H22" s="19">
        <v>4.5</v>
      </c>
      <c r="I22" s="16">
        <f t="shared" si="2"/>
        <v>90</v>
      </c>
      <c r="J22" s="12"/>
    </row>
    <row r="23" s="4" customFormat="1" customHeight="1" spans="1:10">
      <c r="A23" s="12">
        <v>20</v>
      </c>
      <c r="B23" s="14" t="s">
        <v>266</v>
      </c>
      <c r="C23" s="14" t="s">
        <v>267</v>
      </c>
      <c r="D23" s="14" t="s">
        <v>60</v>
      </c>
      <c r="E23" s="13">
        <v>55</v>
      </c>
      <c r="F23" s="14">
        <f t="shared" si="0"/>
        <v>4.11764705882353</v>
      </c>
      <c r="G23" s="15">
        <f t="shared" si="1"/>
        <v>0.85</v>
      </c>
      <c r="H23" s="19">
        <v>3.5</v>
      </c>
      <c r="I23" s="16">
        <f t="shared" si="2"/>
        <v>192.5</v>
      </c>
      <c r="J23" s="14"/>
    </row>
    <row r="24" s="4" customFormat="1" customHeight="1" spans="1:10">
      <c r="A24" s="12">
        <v>22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23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24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25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26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27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28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 t="s">
        <v>201</v>
      </c>
      <c r="B31" s="20">
        <f>SUM(I6:I30)</f>
        <v>1094.604</v>
      </c>
      <c r="C31" s="21"/>
      <c r="D31" s="21"/>
      <c r="E31" s="22"/>
      <c r="F31" s="21"/>
      <c r="G31" s="21"/>
      <c r="H31" s="21"/>
      <c r="I31" s="21"/>
      <c r="J31" s="25"/>
    </row>
    <row r="32" s="4" customFormat="1" customHeight="1" spans="1:10">
      <c r="A32" s="12" t="s">
        <v>62</v>
      </c>
      <c r="B32" s="23">
        <f>B31</f>
        <v>1094.604</v>
      </c>
      <c r="C32" s="24"/>
      <c r="D32" s="24"/>
      <c r="E32" s="22"/>
      <c r="F32" s="24"/>
      <c r="G32" s="24"/>
      <c r="H32" s="24"/>
      <c r="I32" s="24"/>
      <c r="J32" s="26"/>
    </row>
    <row r="33" s="4" customFormat="1" customHeight="1" spans="1:5">
      <c r="A33" s="4" t="s">
        <v>63</v>
      </c>
      <c r="E33" s="5"/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2"/>
  </conditionalFormatting>
  <conditionalFormatting sqref="B1:B30 B33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opLeftCell="A15" workbookViewId="0">
      <selection activeCell="A6" sqref="A6:A29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45131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74</v>
      </c>
      <c r="C6" s="12"/>
      <c r="D6" s="13" t="s">
        <v>70</v>
      </c>
      <c r="E6" s="13">
        <v>4</v>
      </c>
      <c r="F6" s="14">
        <f t="shared" ref="F6:F26" si="0">H6/0.85</f>
        <v>3.52941176470588</v>
      </c>
      <c r="G6" s="15">
        <f t="shared" ref="G6:G26" si="1">H6/F6</f>
        <v>0.85</v>
      </c>
      <c r="H6" s="16">
        <v>3</v>
      </c>
      <c r="I6" s="16">
        <f t="shared" ref="I6:I26" si="2">E6*H6</f>
        <v>12</v>
      </c>
      <c r="J6" s="12"/>
    </row>
    <row r="7" s="4" customFormat="1" ht="16" customHeight="1" spans="1:10">
      <c r="A7" s="12">
        <v>2</v>
      </c>
      <c r="B7" s="12" t="s">
        <v>75</v>
      </c>
      <c r="C7" s="12"/>
      <c r="D7" s="13" t="s">
        <v>70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4" customFormat="1" ht="16" customHeight="1" spans="1:10">
      <c r="A8" s="12">
        <v>3</v>
      </c>
      <c r="B8" s="12" t="s">
        <v>76</v>
      </c>
      <c r="C8" s="12"/>
      <c r="D8" s="13" t="s">
        <v>70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28</v>
      </c>
      <c r="C9" s="17"/>
      <c r="D9" s="13" t="s">
        <v>70</v>
      </c>
      <c r="E9" s="13">
        <v>1</v>
      </c>
      <c r="F9" s="14">
        <f t="shared" si="0"/>
        <v>9.17647058823529</v>
      </c>
      <c r="G9" s="15">
        <f t="shared" si="1"/>
        <v>0.85</v>
      </c>
      <c r="H9" s="16">
        <v>7.8</v>
      </c>
      <c r="I9" s="16">
        <f t="shared" si="2"/>
        <v>7.8</v>
      </c>
      <c r="J9" s="12"/>
    </row>
    <row r="10" s="4" customFormat="1" ht="16" customHeight="1" spans="1:10">
      <c r="A10" s="12">
        <v>5</v>
      </c>
      <c r="B10" s="12" t="s">
        <v>29</v>
      </c>
      <c r="C10" s="12"/>
      <c r="D10" s="13" t="s">
        <v>70</v>
      </c>
      <c r="E10" s="13">
        <v>1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3.8</v>
      </c>
      <c r="J10" s="12"/>
    </row>
    <row r="11" s="4" customFormat="1" ht="16" customHeight="1" spans="1:10">
      <c r="A11" s="12">
        <v>6</v>
      </c>
      <c r="B11" s="12" t="s">
        <v>56</v>
      </c>
      <c r="C11" s="12"/>
      <c r="D11" s="13" t="s">
        <v>70</v>
      </c>
      <c r="E11" s="13">
        <v>4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14</v>
      </c>
      <c r="J11" s="12"/>
    </row>
    <row r="12" s="4" customFormat="1" ht="16" customHeight="1" spans="1:10">
      <c r="A12" s="12">
        <v>7</v>
      </c>
      <c r="B12" s="17" t="s">
        <v>85</v>
      </c>
      <c r="C12" s="17"/>
      <c r="D12" s="18" t="s">
        <v>70</v>
      </c>
      <c r="E12" s="18">
        <v>2</v>
      </c>
      <c r="F12" s="14">
        <f t="shared" si="0"/>
        <v>6.47058823529412</v>
      </c>
      <c r="G12" s="15">
        <f t="shared" si="1"/>
        <v>0.85</v>
      </c>
      <c r="H12" s="19">
        <v>5.5</v>
      </c>
      <c r="I12" s="16">
        <f t="shared" si="2"/>
        <v>11</v>
      </c>
      <c r="J12" s="17"/>
    </row>
    <row r="13" s="4" customFormat="1" ht="16" customHeight="1" spans="1:10">
      <c r="A13" s="12">
        <v>8</v>
      </c>
      <c r="B13" s="17" t="s">
        <v>86</v>
      </c>
      <c r="C13" s="17"/>
      <c r="D13" s="18" t="s">
        <v>70</v>
      </c>
      <c r="E13" s="18">
        <v>12</v>
      </c>
      <c r="F13" s="14">
        <f t="shared" si="0"/>
        <v>4.11764705882353</v>
      </c>
      <c r="G13" s="15">
        <f t="shared" si="1"/>
        <v>0.85</v>
      </c>
      <c r="H13" s="19">
        <v>3.5</v>
      </c>
      <c r="I13" s="16">
        <f t="shared" si="2"/>
        <v>42</v>
      </c>
      <c r="J13" s="17"/>
    </row>
    <row r="14" s="4" customFormat="1" ht="16" customHeight="1" spans="1:10">
      <c r="A14" s="12">
        <v>9</v>
      </c>
      <c r="B14" s="17" t="s">
        <v>223</v>
      </c>
      <c r="C14" s="17"/>
      <c r="D14" s="18" t="s">
        <v>70</v>
      </c>
      <c r="E14" s="18">
        <v>38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144.4</v>
      </c>
      <c r="J14" s="17"/>
    </row>
    <row r="15" s="4" customFormat="1" ht="16" customHeight="1" spans="1:10">
      <c r="A15" s="12">
        <v>10</v>
      </c>
      <c r="B15" s="17" t="s">
        <v>87</v>
      </c>
      <c r="C15" s="17"/>
      <c r="D15" s="18" t="s">
        <v>70</v>
      </c>
      <c r="E15" s="18">
        <v>7</v>
      </c>
      <c r="F15" s="14">
        <f t="shared" si="0"/>
        <v>8</v>
      </c>
      <c r="G15" s="15">
        <f t="shared" si="1"/>
        <v>0.85</v>
      </c>
      <c r="H15" s="19">
        <v>6.8</v>
      </c>
      <c r="I15" s="16">
        <f t="shared" si="2"/>
        <v>47.6</v>
      </c>
      <c r="J15" s="17"/>
    </row>
    <row r="16" s="4" customFormat="1" ht="16" customHeight="1" spans="1:10">
      <c r="A16" s="12">
        <v>11</v>
      </c>
      <c r="B16" s="17" t="s">
        <v>88</v>
      </c>
      <c r="C16" s="17"/>
      <c r="D16" s="18" t="s">
        <v>70</v>
      </c>
      <c r="E16" s="18">
        <v>12</v>
      </c>
      <c r="F16" s="14">
        <f t="shared" si="0"/>
        <v>4.11764705882353</v>
      </c>
      <c r="G16" s="15">
        <f t="shared" si="1"/>
        <v>0.85</v>
      </c>
      <c r="H16" s="19">
        <v>3.5</v>
      </c>
      <c r="I16" s="16">
        <f t="shared" si="2"/>
        <v>42</v>
      </c>
      <c r="J16" s="17"/>
    </row>
    <row r="17" s="4" customFormat="1" ht="16" customHeight="1" spans="1:10">
      <c r="A17" s="12">
        <v>12</v>
      </c>
      <c r="B17" s="17" t="s">
        <v>212</v>
      </c>
      <c r="C17" s="17" t="s">
        <v>213</v>
      </c>
      <c r="D17" s="18" t="s">
        <v>172</v>
      </c>
      <c r="E17" s="18">
        <v>60</v>
      </c>
      <c r="F17" s="14">
        <f t="shared" si="0"/>
        <v>2.11764705882353</v>
      </c>
      <c r="G17" s="15">
        <f t="shared" si="1"/>
        <v>0.85</v>
      </c>
      <c r="H17" s="19">
        <v>1.8</v>
      </c>
      <c r="I17" s="16">
        <f t="shared" si="2"/>
        <v>108</v>
      </c>
      <c r="J17" s="17"/>
    </row>
    <row r="18" s="4" customFormat="1" ht="16" customHeight="1" spans="1:10">
      <c r="A18" s="12">
        <v>13</v>
      </c>
      <c r="B18" s="12" t="s">
        <v>176</v>
      </c>
      <c r="C18" s="12"/>
      <c r="D18" s="17" t="s">
        <v>70</v>
      </c>
      <c r="E18" s="13">
        <v>14</v>
      </c>
      <c r="F18" s="14">
        <f t="shared" si="0"/>
        <v>17.6470588235294</v>
      </c>
      <c r="G18" s="15">
        <f t="shared" si="1"/>
        <v>0.85</v>
      </c>
      <c r="H18" s="19">
        <v>15</v>
      </c>
      <c r="I18" s="16">
        <f t="shared" si="2"/>
        <v>210</v>
      </c>
      <c r="J18" s="12"/>
    </row>
    <row r="19" s="4" customFormat="1" ht="16" customHeight="1" spans="1:10">
      <c r="A19" s="12">
        <v>14</v>
      </c>
      <c r="B19" s="12" t="s">
        <v>95</v>
      </c>
      <c r="C19" s="12"/>
      <c r="D19" s="12" t="s">
        <v>70</v>
      </c>
      <c r="E19" s="13">
        <v>2</v>
      </c>
      <c r="F19" s="14">
        <f t="shared" si="0"/>
        <v>23.5294117647059</v>
      </c>
      <c r="G19" s="15">
        <f t="shared" si="1"/>
        <v>0.85</v>
      </c>
      <c r="H19" s="19">
        <v>20</v>
      </c>
      <c r="I19" s="16">
        <f t="shared" si="2"/>
        <v>40</v>
      </c>
      <c r="J19" s="12"/>
    </row>
    <row r="20" s="4" customFormat="1" ht="16" customHeight="1" spans="1:10">
      <c r="A20" s="12">
        <v>15</v>
      </c>
      <c r="B20" s="12" t="s">
        <v>48</v>
      </c>
      <c r="C20" s="12"/>
      <c r="D20" s="12" t="s">
        <v>70</v>
      </c>
      <c r="E20" s="13">
        <v>5</v>
      </c>
      <c r="F20" s="14">
        <f t="shared" si="0"/>
        <v>5.76470588235294</v>
      </c>
      <c r="G20" s="15">
        <f t="shared" si="1"/>
        <v>0.85</v>
      </c>
      <c r="H20" s="19">
        <v>4.9</v>
      </c>
      <c r="I20" s="16">
        <f t="shared" si="2"/>
        <v>24.5</v>
      </c>
      <c r="J20" s="12"/>
    </row>
    <row r="21" s="4" customFormat="1" ht="16" customHeight="1" spans="1:10">
      <c r="A21" s="12">
        <v>16</v>
      </c>
      <c r="B21" s="12" t="s">
        <v>113</v>
      </c>
      <c r="C21" s="12" t="s">
        <v>72</v>
      </c>
      <c r="D21" s="12" t="s">
        <v>70</v>
      </c>
      <c r="E21" s="13">
        <v>5</v>
      </c>
      <c r="F21" s="14">
        <f t="shared" si="0"/>
        <v>30.5882352941176</v>
      </c>
      <c r="G21" s="15">
        <f t="shared" si="1"/>
        <v>0.85</v>
      </c>
      <c r="H21" s="19">
        <v>26</v>
      </c>
      <c r="I21" s="16">
        <f t="shared" si="2"/>
        <v>130</v>
      </c>
      <c r="J21" s="12"/>
    </row>
    <row r="22" s="4" customFormat="1" customHeight="1" spans="1:10">
      <c r="A22" s="12">
        <v>17</v>
      </c>
      <c r="B22" s="14" t="s">
        <v>145</v>
      </c>
      <c r="C22" s="14" t="s">
        <v>146</v>
      </c>
      <c r="D22" s="14" t="s">
        <v>13</v>
      </c>
      <c r="E22" s="13">
        <v>5</v>
      </c>
      <c r="F22" s="14">
        <f t="shared" si="0"/>
        <v>8</v>
      </c>
      <c r="G22" s="15">
        <f t="shared" si="1"/>
        <v>0.85</v>
      </c>
      <c r="H22" s="19">
        <v>6.8</v>
      </c>
      <c r="I22" s="16">
        <f t="shared" si="2"/>
        <v>34</v>
      </c>
      <c r="J22" s="14"/>
    </row>
    <row r="23" s="4" customFormat="1" customHeight="1" spans="1:10">
      <c r="A23" s="12">
        <v>18</v>
      </c>
      <c r="B23" s="14" t="s">
        <v>323</v>
      </c>
      <c r="C23" s="14" t="s">
        <v>72</v>
      </c>
      <c r="D23" s="14" t="s">
        <v>70</v>
      </c>
      <c r="E23" s="13">
        <v>10</v>
      </c>
      <c r="F23" s="14">
        <f t="shared" si="0"/>
        <v>14.1176470588235</v>
      </c>
      <c r="G23" s="15">
        <f t="shared" si="1"/>
        <v>0.85</v>
      </c>
      <c r="H23" s="19">
        <v>12</v>
      </c>
      <c r="I23" s="16">
        <f t="shared" si="2"/>
        <v>120</v>
      </c>
      <c r="J23" s="14"/>
    </row>
    <row r="24" s="4" customFormat="1" customHeight="1" spans="1:10">
      <c r="A24" s="12">
        <v>19</v>
      </c>
      <c r="B24" s="14" t="s">
        <v>154</v>
      </c>
      <c r="C24" s="14"/>
      <c r="D24" s="14" t="s">
        <v>70</v>
      </c>
      <c r="E24" s="13">
        <v>5</v>
      </c>
      <c r="F24" s="14">
        <f t="shared" si="0"/>
        <v>103.529411764706</v>
      </c>
      <c r="G24" s="15">
        <f t="shared" si="1"/>
        <v>0.85</v>
      </c>
      <c r="H24" s="19">
        <v>88</v>
      </c>
      <c r="I24" s="16">
        <f t="shared" si="2"/>
        <v>440</v>
      </c>
      <c r="J24" s="14"/>
    </row>
    <row r="25" s="4" customFormat="1" customHeight="1" spans="1:10">
      <c r="A25" s="12">
        <v>20</v>
      </c>
      <c r="B25" s="14" t="s">
        <v>192</v>
      </c>
      <c r="C25" s="14" t="s">
        <v>193</v>
      </c>
      <c r="D25" s="14" t="s">
        <v>91</v>
      </c>
      <c r="E25" s="13">
        <v>1</v>
      </c>
      <c r="F25" s="14">
        <f t="shared" si="0"/>
        <v>52.9411764705882</v>
      </c>
      <c r="G25" s="15">
        <f t="shared" si="1"/>
        <v>0.85</v>
      </c>
      <c r="H25" s="19">
        <v>45</v>
      </c>
      <c r="I25" s="16">
        <f t="shared" si="2"/>
        <v>45</v>
      </c>
      <c r="J25" s="14"/>
    </row>
    <row r="26" s="4" customFormat="1" customHeight="1" spans="1:10">
      <c r="A26" s="12">
        <v>21</v>
      </c>
      <c r="B26" s="14" t="s">
        <v>324</v>
      </c>
      <c r="C26" s="14" t="s">
        <v>325</v>
      </c>
      <c r="D26" s="14" t="s">
        <v>91</v>
      </c>
      <c r="E26" s="13">
        <v>1</v>
      </c>
      <c r="F26" s="14">
        <f t="shared" si="0"/>
        <v>64.7058823529412</v>
      </c>
      <c r="G26" s="15">
        <f t="shared" si="1"/>
        <v>0.85</v>
      </c>
      <c r="H26" s="19">
        <v>55</v>
      </c>
      <c r="I26" s="16">
        <f t="shared" si="2"/>
        <v>55</v>
      </c>
      <c r="J26" s="14"/>
    </row>
    <row r="27" s="4" customFormat="1" customHeight="1" spans="1:10">
      <c r="A27" s="12">
        <v>22</v>
      </c>
      <c r="B27" s="14" t="s">
        <v>161</v>
      </c>
      <c r="C27" s="14" t="s">
        <v>162</v>
      </c>
      <c r="D27" s="14" t="s">
        <v>70</v>
      </c>
      <c r="E27" s="13">
        <v>10</v>
      </c>
      <c r="F27" s="14">
        <f>H27/0.85</f>
        <v>5.76470588235294</v>
      </c>
      <c r="G27" s="15">
        <f>H27/F27</f>
        <v>0.85</v>
      </c>
      <c r="H27" s="19">
        <v>4.9</v>
      </c>
      <c r="I27" s="16">
        <f>E27*H27</f>
        <v>49</v>
      </c>
      <c r="J27" s="14"/>
    </row>
    <row r="28" s="4" customFormat="1" customHeight="1" spans="1:10">
      <c r="A28" s="12">
        <v>23</v>
      </c>
      <c r="B28" s="14" t="s">
        <v>266</v>
      </c>
      <c r="C28" s="14" t="s">
        <v>267</v>
      </c>
      <c r="D28" s="14" t="s">
        <v>60</v>
      </c>
      <c r="E28" s="13">
        <v>55</v>
      </c>
      <c r="F28" s="14">
        <f>H28/0.85</f>
        <v>4.11764705882353</v>
      </c>
      <c r="G28" s="15">
        <f>H28/F28</f>
        <v>0.85</v>
      </c>
      <c r="H28" s="19">
        <v>3.5</v>
      </c>
      <c r="I28" s="16">
        <f>E28*H28</f>
        <v>192.5</v>
      </c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 t="s">
        <v>201</v>
      </c>
      <c r="B30" s="20">
        <f>SUM(I6:I29)</f>
        <v>1793.6</v>
      </c>
      <c r="C30" s="21"/>
      <c r="D30" s="21"/>
      <c r="E30" s="22"/>
      <c r="F30" s="21"/>
      <c r="G30" s="21"/>
      <c r="H30" s="21"/>
      <c r="I30" s="21"/>
      <c r="J30" s="25"/>
    </row>
    <row r="31" s="4" customFormat="1" customHeight="1" spans="1:10">
      <c r="A31" s="12" t="s">
        <v>62</v>
      </c>
      <c r="B31" s="23">
        <f>B30</f>
        <v>1793.6</v>
      </c>
      <c r="C31" s="24"/>
      <c r="D31" s="24"/>
      <c r="E31" s="22"/>
      <c r="F31" s="24"/>
      <c r="G31" s="24"/>
      <c r="H31" s="24"/>
      <c r="I31" s="24"/>
      <c r="J31" s="26"/>
    </row>
    <row r="32" s="4" customFormat="1" customHeight="1" spans="1:5">
      <c r="A32" s="4" t="s">
        <v>63</v>
      </c>
      <c r="E32" s="5"/>
    </row>
  </sheetData>
  <mergeCells count="4">
    <mergeCell ref="A1:J1"/>
    <mergeCell ref="B30:J30"/>
    <mergeCell ref="B31:J31"/>
    <mergeCell ref="A32:J32"/>
  </mergeCells>
  <conditionalFormatting sqref="B6:B29">
    <cfRule type="duplicateValues" dxfId="0" priority="2"/>
  </conditionalFormatting>
  <conditionalFormatting sqref="B1:B29 B32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3"/>
  <sheetViews>
    <sheetView topLeftCell="A13" workbookViewId="0">
      <selection activeCell="I13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45132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3</v>
      </c>
      <c r="F6" s="14">
        <f t="shared" ref="F6:F22" si="0">H6/0.85</f>
        <v>3.52941176470588</v>
      </c>
      <c r="G6" s="15">
        <f t="shared" ref="G6:G22" si="1">H6/F6</f>
        <v>0.85</v>
      </c>
      <c r="H6" s="16">
        <v>3</v>
      </c>
      <c r="I6" s="16">
        <f t="shared" ref="I6:I22" si="2">E6*H6</f>
        <v>9</v>
      </c>
      <c r="J6" s="12"/>
    </row>
    <row r="7" s="4" customFormat="1" ht="16" customHeight="1" spans="1:10">
      <c r="A7" s="12">
        <v>2</v>
      </c>
      <c r="B7" s="12" t="s">
        <v>69</v>
      </c>
      <c r="C7" s="12"/>
      <c r="D7" s="13" t="s">
        <v>70</v>
      </c>
      <c r="E7" s="13">
        <v>2</v>
      </c>
      <c r="F7" s="14">
        <f t="shared" si="0"/>
        <v>4.70588235294118</v>
      </c>
      <c r="G7" s="15">
        <f t="shared" si="1"/>
        <v>0.85</v>
      </c>
      <c r="H7" s="16">
        <v>4</v>
      </c>
      <c r="I7" s="16">
        <f t="shared" si="2"/>
        <v>8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78</v>
      </c>
      <c r="C9" s="17"/>
      <c r="D9" s="13" t="s">
        <v>70</v>
      </c>
      <c r="E9" s="13">
        <v>2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7</v>
      </c>
      <c r="J9" s="12"/>
    </row>
    <row r="10" s="4" customFormat="1" ht="16" customHeight="1" spans="1:10">
      <c r="A10" s="12">
        <v>5</v>
      </c>
      <c r="B10" s="12" t="s">
        <v>326</v>
      </c>
      <c r="C10" s="12"/>
      <c r="D10" s="13" t="s">
        <v>70</v>
      </c>
      <c r="E10" s="13">
        <v>8</v>
      </c>
      <c r="F10" s="14">
        <f t="shared" si="0"/>
        <v>21.1764705882353</v>
      </c>
      <c r="G10" s="15">
        <f t="shared" si="1"/>
        <v>0.85</v>
      </c>
      <c r="H10" s="16">
        <v>18</v>
      </c>
      <c r="I10" s="16">
        <f t="shared" si="2"/>
        <v>144</v>
      </c>
      <c r="J10" s="12"/>
    </row>
    <row r="11" s="4" customFormat="1" ht="16" customHeight="1" spans="1:10">
      <c r="A11" s="12">
        <v>6</v>
      </c>
      <c r="B11" s="12" t="s">
        <v>316</v>
      </c>
      <c r="C11" s="12"/>
      <c r="D11" s="13" t="s">
        <v>70</v>
      </c>
      <c r="E11" s="13">
        <v>5</v>
      </c>
      <c r="F11" s="14">
        <f t="shared" si="0"/>
        <v>5.29411764705882</v>
      </c>
      <c r="G11" s="15">
        <f t="shared" si="1"/>
        <v>0.85</v>
      </c>
      <c r="H11" s="16">
        <v>4.5</v>
      </c>
      <c r="I11" s="16">
        <f t="shared" si="2"/>
        <v>22.5</v>
      </c>
      <c r="J11" s="12"/>
    </row>
    <row r="12" s="4" customFormat="1" ht="16" customHeight="1" spans="1:10">
      <c r="A12" s="12">
        <v>7</v>
      </c>
      <c r="B12" s="17" t="s">
        <v>28</v>
      </c>
      <c r="C12" s="17"/>
      <c r="D12" s="18" t="s">
        <v>70</v>
      </c>
      <c r="E12" s="18">
        <v>3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23.4</v>
      </c>
      <c r="J12" s="17"/>
    </row>
    <row r="13" s="4" customFormat="1" ht="16" customHeight="1" spans="1:10">
      <c r="A13" s="12">
        <v>8</v>
      </c>
      <c r="B13" s="17" t="s">
        <v>29</v>
      </c>
      <c r="C13" s="17"/>
      <c r="D13" s="18" t="s">
        <v>70</v>
      </c>
      <c r="E13" s="18">
        <v>3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11.4</v>
      </c>
      <c r="J13" s="17"/>
    </row>
    <row r="14" s="4" customFormat="1" ht="16" customHeight="1" spans="1:10">
      <c r="A14" s="12">
        <v>9</v>
      </c>
      <c r="B14" s="17" t="s">
        <v>221</v>
      </c>
      <c r="C14" s="17"/>
      <c r="D14" s="18" t="s">
        <v>70</v>
      </c>
      <c r="E14" s="18">
        <v>5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19</v>
      </c>
      <c r="J14" s="17"/>
    </row>
    <row r="15" s="4" customFormat="1" ht="16" customHeight="1" spans="1:10">
      <c r="A15" s="12">
        <v>10</v>
      </c>
      <c r="B15" s="17" t="s">
        <v>82</v>
      </c>
      <c r="C15" s="17"/>
      <c r="D15" s="18" t="s">
        <v>70</v>
      </c>
      <c r="E15" s="18">
        <v>5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19</v>
      </c>
      <c r="J15" s="17"/>
    </row>
    <row r="16" s="4" customFormat="1" ht="16" customHeight="1" spans="1:10">
      <c r="A16" s="12">
        <v>11</v>
      </c>
      <c r="B16" s="17" t="s">
        <v>252</v>
      </c>
      <c r="C16" s="17"/>
      <c r="D16" s="18" t="s">
        <v>70</v>
      </c>
      <c r="E16" s="18">
        <v>2</v>
      </c>
      <c r="F16" s="14">
        <f t="shared" si="0"/>
        <v>11.5294117647059</v>
      </c>
      <c r="G16" s="15">
        <f t="shared" si="1"/>
        <v>0.85</v>
      </c>
      <c r="H16" s="19">
        <v>9.8</v>
      </c>
      <c r="I16" s="16">
        <f t="shared" si="2"/>
        <v>19.6</v>
      </c>
      <c r="J16" s="17"/>
    </row>
    <row r="17" s="4" customFormat="1" ht="16" customHeight="1" spans="1:10">
      <c r="A17" s="12">
        <v>12</v>
      </c>
      <c r="B17" s="17" t="s">
        <v>229</v>
      </c>
      <c r="C17" s="17"/>
      <c r="D17" s="18" t="s">
        <v>70</v>
      </c>
      <c r="E17" s="18">
        <v>12</v>
      </c>
      <c r="F17" s="14">
        <f t="shared" si="0"/>
        <v>2.35294117647059</v>
      </c>
      <c r="G17" s="15">
        <f t="shared" si="1"/>
        <v>0.85</v>
      </c>
      <c r="H17" s="19">
        <v>2</v>
      </c>
      <c r="I17" s="16">
        <f t="shared" si="2"/>
        <v>24</v>
      </c>
      <c r="J17" s="17"/>
    </row>
    <row r="18" s="4" customFormat="1" ht="16" customHeight="1" spans="1:10">
      <c r="A18" s="12">
        <v>13</v>
      </c>
      <c r="B18" s="12" t="s">
        <v>223</v>
      </c>
      <c r="C18" s="12"/>
      <c r="D18" s="17" t="s">
        <v>70</v>
      </c>
      <c r="E18" s="13">
        <v>38</v>
      </c>
      <c r="F18" s="14">
        <f t="shared" si="0"/>
        <v>4.47058823529412</v>
      </c>
      <c r="G18" s="15">
        <f t="shared" si="1"/>
        <v>0.85</v>
      </c>
      <c r="H18" s="19">
        <v>3.8</v>
      </c>
      <c r="I18" s="16">
        <f t="shared" si="2"/>
        <v>144.4</v>
      </c>
      <c r="J18" s="12"/>
    </row>
    <row r="19" s="4" customFormat="1" ht="16" customHeight="1" spans="1:10">
      <c r="A19" s="12">
        <v>14</v>
      </c>
      <c r="B19" s="12" t="s">
        <v>89</v>
      </c>
      <c r="C19" s="12" t="s">
        <v>90</v>
      </c>
      <c r="D19" s="12" t="s">
        <v>91</v>
      </c>
      <c r="E19" s="13">
        <v>1</v>
      </c>
      <c r="F19" s="14">
        <f t="shared" si="0"/>
        <v>352.941176470588</v>
      </c>
      <c r="G19" s="15">
        <f t="shared" si="1"/>
        <v>0.85</v>
      </c>
      <c r="H19" s="19">
        <v>300</v>
      </c>
      <c r="I19" s="16">
        <f t="shared" si="2"/>
        <v>300</v>
      </c>
      <c r="J19" s="12"/>
    </row>
    <row r="20" s="4" customFormat="1" ht="13.5" spans="1:10">
      <c r="A20" s="12">
        <v>15</v>
      </c>
      <c r="B20" s="12" t="s">
        <v>249</v>
      </c>
      <c r="C20" s="12"/>
      <c r="D20" s="12" t="s">
        <v>70</v>
      </c>
      <c r="E20" s="13">
        <v>8</v>
      </c>
      <c r="F20" s="14">
        <f t="shared" si="0"/>
        <v>56.4705882352941</v>
      </c>
      <c r="G20" s="15">
        <f t="shared" si="1"/>
        <v>0.85</v>
      </c>
      <c r="H20" s="19">
        <v>48</v>
      </c>
      <c r="I20" s="16">
        <f t="shared" si="2"/>
        <v>384</v>
      </c>
      <c r="J20" s="12"/>
    </row>
    <row r="21" s="4" customFormat="1" ht="16" customHeight="1" spans="1:10">
      <c r="A21" s="12">
        <v>16</v>
      </c>
      <c r="B21" s="12" t="s">
        <v>230</v>
      </c>
      <c r="C21" s="12"/>
      <c r="D21" s="12" t="s">
        <v>70</v>
      </c>
      <c r="E21" s="13">
        <v>6</v>
      </c>
      <c r="F21" s="14">
        <f t="shared" si="0"/>
        <v>15.2941176470588</v>
      </c>
      <c r="G21" s="15">
        <f t="shared" si="1"/>
        <v>0.85</v>
      </c>
      <c r="H21" s="19">
        <v>13</v>
      </c>
      <c r="I21" s="16">
        <f t="shared" si="2"/>
        <v>78</v>
      </c>
      <c r="J21" s="12"/>
    </row>
    <row r="22" s="4" customFormat="1" customHeight="1" spans="1:10">
      <c r="A22" s="12">
        <v>17</v>
      </c>
      <c r="B22" s="14" t="s">
        <v>327</v>
      </c>
      <c r="C22" s="14"/>
      <c r="D22" s="14" t="s">
        <v>70</v>
      </c>
      <c r="E22" s="13">
        <v>3</v>
      </c>
      <c r="F22" s="14">
        <f t="shared" si="0"/>
        <v>28.2352941176471</v>
      </c>
      <c r="G22" s="15">
        <f t="shared" si="1"/>
        <v>0.85</v>
      </c>
      <c r="H22" s="19">
        <v>24</v>
      </c>
      <c r="I22" s="16">
        <f t="shared" si="2"/>
        <v>72</v>
      </c>
      <c r="J22" s="14"/>
    </row>
    <row r="23" s="4" customFormat="1" customHeight="1" spans="1:10">
      <c r="A23" s="12">
        <v>18</v>
      </c>
      <c r="B23" s="14" t="s">
        <v>48</v>
      </c>
      <c r="C23" s="14"/>
      <c r="D23" s="14" t="s">
        <v>70</v>
      </c>
      <c r="E23" s="13">
        <v>5</v>
      </c>
      <c r="F23" s="14">
        <f t="shared" ref="F23:F28" si="3">H23/0.85</f>
        <v>5.76470588235294</v>
      </c>
      <c r="G23" s="15">
        <f t="shared" ref="G23:G28" si="4">H23/F23</f>
        <v>0.85</v>
      </c>
      <c r="H23" s="19">
        <v>4.9</v>
      </c>
      <c r="I23" s="16">
        <f t="shared" ref="I23:I28" si="5">E23*H23</f>
        <v>24.5</v>
      </c>
      <c r="J23" s="14"/>
    </row>
    <row r="24" s="4" customFormat="1" customHeight="1" spans="1:10">
      <c r="A24" s="12">
        <v>19</v>
      </c>
      <c r="B24" s="14" t="s">
        <v>328</v>
      </c>
      <c r="C24" s="14"/>
      <c r="D24" s="14" t="s">
        <v>70</v>
      </c>
      <c r="E24" s="13">
        <v>6</v>
      </c>
      <c r="F24" s="14">
        <f t="shared" si="3"/>
        <v>5.29411764705882</v>
      </c>
      <c r="G24" s="15">
        <f t="shared" si="4"/>
        <v>0.85</v>
      </c>
      <c r="H24" s="19">
        <v>4.5</v>
      </c>
      <c r="I24" s="16">
        <f t="shared" si="5"/>
        <v>27</v>
      </c>
      <c r="J24" s="14"/>
    </row>
    <row r="25" s="4" customFormat="1" customHeight="1" spans="1:10">
      <c r="A25" s="12">
        <v>20</v>
      </c>
      <c r="B25" s="14" t="s">
        <v>242</v>
      </c>
      <c r="C25" s="14" t="s">
        <v>243</v>
      </c>
      <c r="D25" s="14" t="s">
        <v>70</v>
      </c>
      <c r="E25" s="13">
        <v>6</v>
      </c>
      <c r="F25" s="14">
        <f t="shared" si="3"/>
        <v>9.41176470588235</v>
      </c>
      <c r="G25" s="15">
        <f t="shared" si="4"/>
        <v>0.85</v>
      </c>
      <c r="H25" s="19">
        <v>8</v>
      </c>
      <c r="I25" s="16">
        <f t="shared" si="5"/>
        <v>48</v>
      </c>
      <c r="J25" s="14"/>
    </row>
    <row r="26" s="4" customFormat="1" customHeight="1" spans="1:10">
      <c r="A26" s="12">
        <v>21</v>
      </c>
      <c r="B26" s="14" t="s">
        <v>155</v>
      </c>
      <c r="C26" s="14" t="s">
        <v>156</v>
      </c>
      <c r="D26" s="14" t="s">
        <v>91</v>
      </c>
      <c r="E26" s="13">
        <v>2</v>
      </c>
      <c r="F26" s="14">
        <f t="shared" si="3"/>
        <v>500</v>
      </c>
      <c r="G26" s="15">
        <f t="shared" si="4"/>
        <v>0.85</v>
      </c>
      <c r="H26" s="19">
        <v>425</v>
      </c>
      <c r="I26" s="16">
        <f t="shared" si="5"/>
        <v>850</v>
      </c>
      <c r="J26" s="14"/>
    </row>
    <row r="27" s="4" customFormat="1" customHeight="1" spans="1:10">
      <c r="A27" s="12">
        <v>22</v>
      </c>
      <c r="B27" s="14" t="s">
        <v>266</v>
      </c>
      <c r="C27" s="14" t="s">
        <v>267</v>
      </c>
      <c r="D27" s="14" t="s">
        <v>60</v>
      </c>
      <c r="E27" s="13">
        <v>55</v>
      </c>
      <c r="F27" s="14">
        <f t="shared" si="3"/>
        <v>4.11764705882353</v>
      </c>
      <c r="G27" s="15">
        <f t="shared" si="4"/>
        <v>0.85</v>
      </c>
      <c r="H27" s="19">
        <v>3.5</v>
      </c>
      <c r="I27" s="16">
        <f t="shared" si="5"/>
        <v>192.5</v>
      </c>
      <c r="J27" s="14"/>
    </row>
    <row r="28" s="4" customFormat="1" customHeight="1" spans="1:16384">
      <c r="A28" s="12">
        <v>23</v>
      </c>
      <c r="B28" s="14" t="s">
        <v>198</v>
      </c>
      <c r="C28" s="14" t="s">
        <v>158</v>
      </c>
      <c r="D28" s="14" t="s">
        <v>101</v>
      </c>
      <c r="E28" s="13">
        <v>1</v>
      </c>
      <c r="F28" s="14">
        <f t="shared" si="3"/>
        <v>247.058823529412</v>
      </c>
      <c r="G28" s="15">
        <f t="shared" si="4"/>
        <v>0.85</v>
      </c>
      <c r="H28" s="19">
        <v>210</v>
      </c>
      <c r="I28" s="16">
        <f t="shared" si="5"/>
        <v>210</v>
      </c>
      <c r="J28" s="14"/>
      <c r="XDU28" s="6"/>
      <c r="XDV28" s="6"/>
      <c r="XDW28" s="6"/>
      <c r="XDX28" s="6"/>
      <c r="XDY28" s="6"/>
      <c r="XDZ28" s="6"/>
      <c r="XEA28" s="6"/>
      <c r="XEB28" s="6"/>
      <c r="XEC28" s="6"/>
      <c r="XED28" s="6"/>
      <c r="XEE28" s="6"/>
      <c r="XEF28" s="6"/>
      <c r="XEG28" s="6"/>
      <c r="XEH28" s="6"/>
      <c r="XEI28" s="6"/>
      <c r="XEJ28" s="6"/>
      <c r="XEK28" s="6"/>
      <c r="XEL28" s="6"/>
      <c r="XEM28" s="6"/>
      <c r="XEN28" s="6"/>
      <c r="XEO28" s="6"/>
      <c r="XEP28" s="6"/>
      <c r="XEQ28" s="6"/>
      <c r="XER28" s="6"/>
      <c r="XES28" s="6"/>
      <c r="XET28" s="6"/>
      <c r="XEU28" s="6"/>
      <c r="XEV28" s="6"/>
      <c r="XEW28" s="6"/>
      <c r="XEX28" s="6"/>
      <c r="XEY28" s="6"/>
      <c r="XEZ28" s="6"/>
      <c r="XFA28" s="6"/>
      <c r="XFB28" s="6"/>
      <c r="XFC28" s="6"/>
      <c r="XFD28" s="6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 t="s">
        <v>201</v>
      </c>
      <c r="B31" s="20">
        <f>SUM(I6:I30)</f>
        <v>2647.8</v>
      </c>
      <c r="C31" s="21"/>
      <c r="D31" s="21"/>
      <c r="E31" s="22"/>
      <c r="F31" s="21"/>
      <c r="G31" s="21"/>
      <c r="H31" s="21"/>
      <c r="I31" s="21"/>
      <c r="J31" s="25"/>
    </row>
    <row r="32" s="4" customFormat="1" customHeight="1" spans="1:10">
      <c r="A32" s="12" t="s">
        <v>62</v>
      </c>
      <c r="B32" s="23">
        <f>B31</f>
        <v>2647.8</v>
      </c>
      <c r="C32" s="24"/>
      <c r="D32" s="24"/>
      <c r="E32" s="22"/>
      <c r="F32" s="24"/>
      <c r="G32" s="24"/>
      <c r="H32" s="24"/>
      <c r="I32" s="24"/>
      <c r="J32" s="26"/>
    </row>
    <row r="33" s="4" customFormat="1" customHeight="1" spans="1:5">
      <c r="A33" s="4" t="s">
        <v>63</v>
      </c>
      <c r="E33" s="5"/>
    </row>
  </sheetData>
  <mergeCells count="4">
    <mergeCell ref="A1:J1"/>
    <mergeCell ref="B31:J31"/>
    <mergeCell ref="B32:J32"/>
    <mergeCell ref="A33:J33"/>
  </mergeCells>
  <conditionalFormatting sqref="B28">
    <cfRule type="duplicateValues" dxfId="0" priority="2"/>
    <cfRule type="duplicateValues" dxfId="0" priority="1"/>
  </conditionalFormatting>
  <conditionalFormatting sqref="B1:B27 B33:B1048576 B29:B30">
    <cfRule type="duplicateValues" dxfId="0" priority="3"/>
  </conditionalFormatting>
  <conditionalFormatting sqref="B6:C17">
    <cfRule type="duplicateValues" dxfId="0" priority="5"/>
  </conditionalFormatting>
  <conditionalFormatting sqref="B6:B27 B29:B30">
    <cfRule type="duplicateValues" dxfId="0" priority="4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45133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4</v>
      </c>
      <c r="F6" s="14">
        <f t="shared" ref="F6:F32" si="0">H6/0.85</f>
        <v>3.52941176470588</v>
      </c>
      <c r="G6" s="15">
        <f t="shared" ref="G6:G32" si="1">H6/F6</f>
        <v>0.85</v>
      </c>
      <c r="H6" s="16">
        <v>3</v>
      </c>
      <c r="I6" s="16">
        <f t="shared" ref="I6:I32" si="2">E6*H6</f>
        <v>12</v>
      </c>
      <c r="J6" s="12"/>
    </row>
    <row r="7" s="4" customFormat="1" ht="16" customHeight="1" spans="1:10">
      <c r="A7" s="12">
        <v>2</v>
      </c>
      <c r="B7" s="12" t="s">
        <v>286</v>
      </c>
      <c r="C7" s="12"/>
      <c r="D7" s="13" t="s">
        <v>70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4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14</v>
      </c>
      <c r="J8" s="12"/>
    </row>
    <row r="9" s="4" customFormat="1" ht="16" customHeight="1" spans="1:10">
      <c r="A9" s="12">
        <v>4</v>
      </c>
      <c r="B9" s="17" t="s">
        <v>50</v>
      </c>
      <c r="C9" s="17"/>
      <c r="D9" s="13" t="s">
        <v>70</v>
      </c>
      <c r="E9" s="13">
        <v>4</v>
      </c>
      <c r="F9" s="14">
        <f t="shared" si="0"/>
        <v>15.0588235294118</v>
      </c>
      <c r="G9" s="15">
        <f t="shared" si="1"/>
        <v>0.85</v>
      </c>
      <c r="H9" s="16">
        <v>12.8</v>
      </c>
      <c r="I9" s="16">
        <f t="shared" si="2"/>
        <v>51.2</v>
      </c>
      <c r="J9" s="12"/>
    </row>
    <row r="10" s="4" customFormat="1" ht="16" customHeight="1" spans="1:10">
      <c r="A10" s="12">
        <v>5</v>
      </c>
      <c r="B10" s="12" t="s">
        <v>313</v>
      </c>
      <c r="C10" s="12"/>
      <c r="D10" s="13" t="s">
        <v>70</v>
      </c>
      <c r="E10" s="13">
        <v>12</v>
      </c>
      <c r="F10" s="14">
        <f t="shared" si="0"/>
        <v>2.35294117647059</v>
      </c>
      <c r="G10" s="15">
        <f t="shared" si="1"/>
        <v>0.85</v>
      </c>
      <c r="H10" s="16">
        <v>2</v>
      </c>
      <c r="I10" s="16">
        <f t="shared" si="2"/>
        <v>24</v>
      </c>
      <c r="J10" s="12"/>
    </row>
    <row r="11" s="4" customFormat="1" ht="16" customHeight="1" spans="1:10">
      <c r="A11" s="12">
        <v>6</v>
      </c>
      <c r="B11" s="12" t="s">
        <v>81</v>
      </c>
      <c r="C11" s="12"/>
      <c r="D11" s="13" t="s">
        <v>70</v>
      </c>
      <c r="E11" s="13">
        <v>12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42</v>
      </c>
      <c r="J11" s="12"/>
    </row>
    <row r="12" s="4" customFormat="1" ht="16" customHeight="1" spans="1:10">
      <c r="A12" s="12">
        <v>7</v>
      </c>
      <c r="B12" s="17" t="s">
        <v>28</v>
      </c>
      <c r="C12" s="17"/>
      <c r="D12" s="18" t="s">
        <v>70</v>
      </c>
      <c r="E12" s="18">
        <v>2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15.6</v>
      </c>
      <c r="J12" s="17"/>
    </row>
    <row r="13" s="4" customFormat="1" ht="16" customHeight="1" spans="1:10">
      <c r="A13" s="12">
        <v>8</v>
      </c>
      <c r="B13" s="17" t="s">
        <v>29</v>
      </c>
      <c r="C13" s="17"/>
      <c r="D13" s="18" t="s">
        <v>70</v>
      </c>
      <c r="E13" s="18">
        <v>6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22.8</v>
      </c>
      <c r="J13" s="17"/>
    </row>
    <row r="14" s="4" customFormat="1" ht="16" customHeight="1" spans="1:10">
      <c r="A14" s="12">
        <v>9</v>
      </c>
      <c r="B14" s="17" t="s">
        <v>223</v>
      </c>
      <c r="C14" s="17"/>
      <c r="D14" s="18" t="s">
        <v>70</v>
      </c>
      <c r="E14" s="18">
        <v>42.5</v>
      </c>
      <c r="F14" s="14">
        <f t="shared" si="0"/>
        <v>5.64705882352941</v>
      </c>
      <c r="G14" s="15">
        <f t="shared" si="1"/>
        <v>0.85</v>
      </c>
      <c r="H14" s="19">
        <v>4.8</v>
      </c>
      <c r="I14" s="16">
        <f t="shared" si="2"/>
        <v>204</v>
      </c>
      <c r="J14" s="17"/>
    </row>
    <row r="15" s="4" customFormat="1" ht="16" customHeight="1" spans="1:10">
      <c r="A15" s="12">
        <v>10</v>
      </c>
      <c r="B15" s="17" t="s">
        <v>329</v>
      </c>
      <c r="C15" s="17"/>
      <c r="D15" s="18" t="s">
        <v>70</v>
      </c>
      <c r="E15" s="18">
        <v>10</v>
      </c>
      <c r="F15" s="14">
        <f t="shared" si="0"/>
        <v>8</v>
      </c>
      <c r="G15" s="15">
        <f t="shared" si="1"/>
        <v>0.85</v>
      </c>
      <c r="H15" s="19">
        <v>6.8</v>
      </c>
      <c r="I15" s="16">
        <f t="shared" si="2"/>
        <v>68</v>
      </c>
      <c r="J15" s="17"/>
    </row>
    <row r="16" s="4" customFormat="1" ht="16" customHeight="1" spans="1:10">
      <c r="A16" s="12">
        <v>11</v>
      </c>
      <c r="B16" s="17" t="s">
        <v>176</v>
      </c>
      <c r="C16" s="17"/>
      <c r="D16" s="18" t="s">
        <v>70</v>
      </c>
      <c r="E16" s="18">
        <v>3</v>
      </c>
      <c r="F16" s="14">
        <f t="shared" si="0"/>
        <v>17.6470588235294</v>
      </c>
      <c r="G16" s="15">
        <f t="shared" si="1"/>
        <v>0.85</v>
      </c>
      <c r="H16" s="19">
        <v>15</v>
      </c>
      <c r="I16" s="16">
        <f t="shared" si="2"/>
        <v>45</v>
      </c>
      <c r="J16" s="17"/>
    </row>
    <row r="17" s="4" customFormat="1" ht="16" customHeight="1" spans="1:10">
      <c r="A17" s="12">
        <v>12</v>
      </c>
      <c r="B17" s="17" t="s">
        <v>97</v>
      </c>
      <c r="C17" s="17"/>
      <c r="D17" s="18" t="s">
        <v>70</v>
      </c>
      <c r="E17" s="18">
        <v>5</v>
      </c>
      <c r="F17" s="14">
        <f t="shared" si="0"/>
        <v>17.6470588235294</v>
      </c>
      <c r="G17" s="15">
        <f t="shared" si="1"/>
        <v>0.85</v>
      </c>
      <c r="H17" s="19">
        <v>15</v>
      </c>
      <c r="I17" s="16">
        <f t="shared" si="2"/>
        <v>75</v>
      </c>
      <c r="J17" s="17"/>
    </row>
    <row r="18" s="4" customFormat="1" ht="16" customHeight="1" spans="1:10">
      <c r="A18" s="12">
        <v>13</v>
      </c>
      <c r="B18" s="12" t="s">
        <v>330</v>
      </c>
      <c r="C18" s="12"/>
      <c r="D18" s="17" t="s">
        <v>70</v>
      </c>
      <c r="E18" s="13">
        <v>14</v>
      </c>
      <c r="F18" s="14">
        <f t="shared" si="0"/>
        <v>16.2352941176471</v>
      </c>
      <c r="G18" s="15">
        <f t="shared" si="1"/>
        <v>0.85</v>
      </c>
      <c r="H18" s="19">
        <v>13.8</v>
      </c>
      <c r="I18" s="16">
        <f t="shared" si="2"/>
        <v>193.2</v>
      </c>
      <c r="J18" s="12"/>
    </row>
    <row r="19" s="4" customFormat="1" ht="16" customHeight="1" spans="1:10">
      <c r="A19" s="12">
        <v>14</v>
      </c>
      <c r="B19" s="12" t="s">
        <v>136</v>
      </c>
      <c r="C19" s="12"/>
      <c r="D19" s="12" t="s">
        <v>91</v>
      </c>
      <c r="E19" s="13">
        <v>1</v>
      </c>
      <c r="F19" s="14">
        <f t="shared" si="0"/>
        <v>76.4705882352941</v>
      </c>
      <c r="G19" s="15">
        <f t="shared" si="1"/>
        <v>0.85</v>
      </c>
      <c r="H19" s="19">
        <v>65</v>
      </c>
      <c r="I19" s="16">
        <f t="shared" si="2"/>
        <v>65</v>
      </c>
      <c r="J19" s="12"/>
    </row>
    <row r="20" s="4" customFormat="1" ht="13.5" spans="1:10">
      <c r="A20" s="12">
        <v>15</v>
      </c>
      <c r="B20" s="12" t="s">
        <v>143</v>
      </c>
      <c r="C20" s="12" t="s">
        <v>144</v>
      </c>
      <c r="D20" s="12" t="s">
        <v>15</v>
      </c>
      <c r="E20" s="13">
        <v>1</v>
      </c>
      <c r="F20" s="14">
        <f t="shared" si="0"/>
        <v>10</v>
      </c>
      <c r="G20" s="15">
        <f t="shared" si="1"/>
        <v>0.85</v>
      </c>
      <c r="H20" s="19">
        <v>8.5</v>
      </c>
      <c r="I20" s="16">
        <f t="shared" si="2"/>
        <v>8.5</v>
      </c>
      <c r="J20" s="12"/>
    </row>
    <row r="21" s="4" customFormat="1" ht="16" customHeight="1" spans="1:10">
      <c r="A21" s="12">
        <v>16</v>
      </c>
      <c r="B21" s="12" t="s">
        <v>331</v>
      </c>
      <c r="C21" s="12" t="s">
        <v>332</v>
      </c>
      <c r="D21" s="12" t="s">
        <v>15</v>
      </c>
      <c r="E21" s="13">
        <v>2</v>
      </c>
      <c r="F21" s="14">
        <f t="shared" si="0"/>
        <v>23.5294117647059</v>
      </c>
      <c r="G21" s="15">
        <f t="shared" si="1"/>
        <v>0.85</v>
      </c>
      <c r="H21" s="19">
        <v>20</v>
      </c>
      <c r="I21" s="16">
        <f t="shared" si="2"/>
        <v>40</v>
      </c>
      <c r="J21" s="12"/>
    </row>
    <row r="22" s="4" customFormat="1" customHeight="1" spans="1:10">
      <c r="A22" s="12">
        <v>17</v>
      </c>
      <c r="B22" s="14" t="s">
        <v>266</v>
      </c>
      <c r="C22" s="14" t="s">
        <v>267</v>
      </c>
      <c r="D22" s="14" t="s">
        <v>60</v>
      </c>
      <c r="E22" s="13">
        <v>55</v>
      </c>
      <c r="F22" s="14">
        <f t="shared" si="0"/>
        <v>4.11764705882353</v>
      </c>
      <c r="G22" s="15">
        <f t="shared" si="1"/>
        <v>0.85</v>
      </c>
      <c r="H22" s="19">
        <v>3.5</v>
      </c>
      <c r="I22" s="16">
        <f t="shared" si="2"/>
        <v>192.5</v>
      </c>
      <c r="J22" s="14"/>
    </row>
    <row r="23" s="4" customFormat="1" customHeight="1" spans="1:10">
      <c r="A23" s="12">
        <v>18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201</v>
      </c>
      <c r="B34" s="20">
        <f>SUM(I6:I33)</f>
        <v>1079.8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62</v>
      </c>
      <c r="B35" s="23">
        <f>B34</f>
        <v>1079.8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63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8"/>
  <sheetViews>
    <sheetView topLeftCell="A17" workbookViewId="0">
      <selection activeCell="I17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2.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45134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4</v>
      </c>
      <c r="F6" s="14">
        <f t="shared" ref="F6:F22" si="0">H6/0.85</f>
        <v>3.52941176470588</v>
      </c>
      <c r="G6" s="15">
        <f t="shared" ref="G6:G22" si="1">H6/F6</f>
        <v>0.85</v>
      </c>
      <c r="H6" s="16">
        <v>3</v>
      </c>
      <c r="I6" s="16">
        <f t="shared" ref="I6:I22" si="2">E6*H6</f>
        <v>12</v>
      </c>
      <c r="J6" s="12"/>
    </row>
    <row r="7" s="4" customFormat="1" ht="16" customHeight="1" spans="1:10">
      <c r="A7" s="12">
        <v>2</v>
      </c>
      <c r="B7" s="12" t="s">
        <v>286</v>
      </c>
      <c r="C7" s="12"/>
      <c r="D7" s="13" t="s">
        <v>70</v>
      </c>
      <c r="E7" s="13">
        <v>1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3.5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76</v>
      </c>
      <c r="C9" s="17"/>
      <c r="D9" s="13" t="s">
        <v>70</v>
      </c>
      <c r="E9" s="13">
        <v>2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7</v>
      </c>
      <c r="J9" s="12"/>
    </row>
    <row r="10" s="4" customFormat="1" ht="16" customHeight="1" spans="1:10">
      <c r="A10" s="12">
        <v>5</v>
      </c>
      <c r="B10" s="12" t="s">
        <v>169</v>
      </c>
      <c r="C10" s="12"/>
      <c r="D10" s="13" t="s">
        <v>70</v>
      </c>
      <c r="E10" s="13">
        <v>2</v>
      </c>
      <c r="F10" s="14">
        <f t="shared" si="0"/>
        <v>8</v>
      </c>
      <c r="G10" s="15">
        <f t="shared" si="1"/>
        <v>0.85</v>
      </c>
      <c r="H10" s="16">
        <v>6.8</v>
      </c>
      <c r="I10" s="16">
        <f t="shared" si="2"/>
        <v>13.6</v>
      </c>
      <c r="J10" s="12"/>
    </row>
    <row r="11" s="4" customFormat="1" ht="16" customHeight="1" spans="1:10">
      <c r="A11" s="12">
        <v>6</v>
      </c>
      <c r="B11" s="12" t="s">
        <v>28</v>
      </c>
      <c r="C11" s="12"/>
      <c r="D11" s="13" t="s">
        <v>70</v>
      </c>
      <c r="E11" s="13">
        <v>2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15.6</v>
      </c>
      <c r="J11" s="12"/>
    </row>
    <row r="12" s="4" customFormat="1" ht="16" customHeight="1" spans="1:10">
      <c r="A12" s="12">
        <v>7</v>
      </c>
      <c r="B12" s="17" t="s">
        <v>171</v>
      </c>
      <c r="C12" s="17"/>
      <c r="D12" s="18" t="s">
        <v>172</v>
      </c>
      <c r="E12" s="18">
        <v>10</v>
      </c>
      <c r="F12" s="14">
        <f t="shared" si="0"/>
        <v>2.94117647058824</v>
      </c>
      <c r="G12" s="15">
        <f t="shared" si="1"/>
        <v>0.85</v>
      </c>
      <c r="H12" s="19">
        <v>2.5</v>
      </c>
      <c r="I12" s="16">
        <f t="shared" si="2"/>
        <v>25</v>
      </c>
      <c r="J12" s="17"/>
    </row>
    <row r="13" s="4" customFormat="1" ht="16" customHeight="1" spans="1:10">
      <c r="A13" s="12">
        <v>8</v>
      </c>
      <c r="B13" s="17" t="s">
        <v>270</v>
      </c>
      <c r="C13" s="17"/>
      <c r="D13" s="18" t="s">
        <v>70</v>
      </c>
      <c r="E13" s="18">
        <v>4.2</v>
      </c>
      <c r="F13" s="14">
        <f t="shared" si="0"/>
        <v>11.5294117647059</v>
      </c>
      <c r="G13" s="15">
        <f t="shared" si="1"/>
        <v>0.85</v>
      </c>
      <c r="H13" s="19">
        <v>9.8</v>
      </c>
      <c r="I13" s="16">
        <f t="shared" si="2"/>
        <v>41.16</v>
      </c>
      <c r="J13" s="17"/>
    </row>
    <row r="14" s="4" customFormat="1" ht="16" customHeight="1" spans="1:10">
      <c r="A14" s="12">
        <v>9</v>
      </c>
      <c r="B14" s="17" t="s">
        <v>29</v>
      </c>
      <c r="C14" s="17"/>
      <c r="D14" s="18" t="s">
        <v>70</v>
      </c>
      <c r="E14" s="18">
        <v>14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53.2</v>
      </c>
      <c r="J14" s="17"/>
    </row>
    <row r="15" s="4" customFormat="1" ht="16" customHeight="1" spans="1:10">
      <c r="A15" s="12">
        <v>10</v>
      </c>
      <c r="B15" s="17" t="s">
        <v>209</v>
      </c>
      <c r="C15" s="17"/>
      <c r="D15" s="18" t="s">
        <v>70</v>
      </c>
      <c r="E15" s="18">
        <v>14</v>
      </c>
      <c r="F15" s="14">
        <f t="shared" si="0"/>
        <v>6.47058823529412</v>
      </c>
      <c r="G15" s="15">
        <f t="shared" si="1"/>
        <v>0.85</v>
      </c>
      <c r="H15" s="19">
        <v>5.5</v>
      </c>
      <c r="I15" s="16">
        <f t="shared" si="2"/>
        <v>77</v>
      </c>
      <c r="J15" s="17"/>
    </row>
    <row r="16" s="4" customFormat="1" ht="16" customHeight="1" spans="1:10">
      <c r="A16" s="12">
        <v>11</v>
      </c>
      <c r="B16" s="17" t="s">
        <v>85</v>
      </c>
      <c r="C16" s="17"/>
      <c r="D16" s="18" t="s">
        <v>70</v>
      </c>
      <c r="E16" s="18">
        <v>8</v>
      </c>
      <c r="F16" s="14">
        <f t="shared" si="0"/>
        <v>6.47058823529412</v>
      </c>
      <c r="G16" s="15">
        <f t="shared" si="1"/>
        <v>0.85</v>
      </c>
      <c r="H16" s="19">
        <v>5.5</v>
      </c>
      <c r="I16" s="16">
        <f t="shared" si="2"/>
        <v>44</v>
      </c>
      <c r="J16" s="17"/>
    </row>
    <row r="17" s="4" customFormat="1" ht="16" customHeight="1" spans="1:10">
      <c r="A17" s="12">
        <v>12</v>
      </c>
      <c r="B17" s="12" t="s">
        <v>210</v>
      </c>
      <c r="C17" s="12"/>
      <c r="D17" s="17" t="s">
        <v>70</v>
      </c>
      <c r="E17" s="13">
        <v>2</v>
      </c>
      <c r="F17" s="14">
        <f t="shared" si="0"/>
        <v>3.29411764705882</v>
      </c>
      <c r="G17" s="15">
        <f t="shared" si="1"/>
        <v>0.85</v>
      </c>
      <c r="H17" s="19">
        <v>2.8</v>
      </c>
      <c r="I17" s="16">
        <f t="shared" si="2"/>
        <v>5.6</v>
      </c>
      <c r="J17" s="12"/>
    </row>
    <row r="18" s="4" customFormat="1" ht="16" customHeight="1" spans="1:10">
      <c r="A18" s="12">
        <v>13</v>
      </c>
      <c r="B18" s="12" t="s">
        <v>223</v>
      </c>
      <c r="C18" s="12"/>
      <c r="D18" s="12" t="s">
        <v>70</v>
      </c>
      <c r="E18" s="13">
        <v>31</v>
      </c>
      <c r="F18" s="14">
        <f t="shared" si="0"/>
        <v>4.47058823529412</v>
      </c>
      <c r="G18" s="15">
        <f t="shared" si="1"/>
        <v>0.85</v>
      </c>
      <c r="H18" s="19">
        <v>3.8</v>
      </c>
      <c r="I18" s="16">
        <f t="shared" si="2"/>
        <v>117.8</v>
      </c>
      <c r="J18" s="12"/>
    </row>
    <row r="19" s="4" customFormat="1" ht="13.5" spans="1:10">
      <c r="A19" s="12">
        <v>14</v>
      </c>
      <c r="B19" s="12" t="s">
        <v>203</v>
      </c>
      <c r="C19" s="12"/>
      <c r="D19" s="12" t="s">
        <v>70</v>
      </c>
      <c r="E19" s="13">
        <v>12.8</v>
      </c>
      <c r="F19" s="14">
        <f t="shared" si="0"/>
        <v>17.4117647058824</v>
      </c>
      <c r="G19" s="15">
        <f t="shared" si="1"/>
        <v>0.85</v>
      </c>
      <c r="H19" s="19">
        <v>14.8</v>
      </c>
      <c r="I19" s="16">
        <f t="shared" si="2"/>
        <v>189.44</v>
      </c>
      <c r="J19" s="12"/>
    </row>
    <row r="20" s="4" customFormat="1" customHeight="1" spans="1:10">
      <c r="A20" s="12">
        <v>15</v>
      </c>
      <c r="B20" s="14" t="s">
        <v>176</v>
      </c>
      <c r="C20" s="14"/>
      <c r="D20" s="14" t="s">
        <v>70</v>
      </c>
      <c r="E20" s="13">
        <v>9</v>
      </c>
      <c r="F20" s="14">
        <f t="shared" ref="F20:F27" si="3">H20/0.85</f>
        <v>17.6470588235294</v>
      </c>
      <c r="G20" s="15">
        <f t="shared" ref="G20:G27" si="4">H20/F20</f>
        <v>0.85</v>
      </c>
      <c r="H20" s="19">
        <v>15</v>
      </c>
      <c r="I20" s="16">
        <f t="shared" ref="I20:I27" si="5">E20*H20</f>
        <v>135</v>
      </c>
      <c r="J20" s="14"/>
    </row>
    <row r="21" s="4" customFormat="1" customHeight="1" spans="1:10">
      <c r="A21" s="12">
        <v>16</v>
      </c>
      <c r="B21" s="14" t="s">
        <v>333</v>
      </c>
      <c r="C21" s="14" t="s">
        <v>334</v>
      </c>
      <c r="D21" s="14" t="s">
        <v>101</v>
      </c>
      <c r="E21" s="13">
        <v>2</v>
      </c>
      <c r="F21" s="14">
        <f t="shared" si="3"/>
        <v>41.1764705882353</v>
      </c>
      <c r="G21" s="15">
        <f t="shared" si="4"/>
        <v>0.85</v>
      </c>
      <c r="H21" s="19">
        <v>35</v>
      </c>
      <c r="I21" s="16">
        <f t="shared" si="5"/>
        <v>70</v>
      </c>
      <c r="J21" s="14"/>
    </row>
    <row r="22" s="4" customFormat="1" customHeight="1" spans="1:10">
      <c r="A22" s="12">
        <v>17</v>
      </c>
      <c r="B22" s="14" t="s">
        <v>335</v>
      </c>
      <c r="C22" s="14" t="s">
        <v>336</v>
      </c>
      <c r="D22" s="14" t="s">
        <v>15</v>
      </c>
      <c r="E22" s="13">
        <v>1</v>
      </c>
      <c r="F22" s="14">
        <f t="shared" si="3"/>
        <v>25.8823529411765</v>
      </c>
      <c r="G22" s="15">
        <f t="shared" si="4"/>
        <v>0.85</v>
      </c>
      <c r="H22" s="19">
        <v>22</v>
      </c>
      <c r="I22" s="16">
        <f t="shared" si="5"/>
        <v>22</v>
      </c>
      <c r="J22" s="14"/>
    </row>
    <row r="23" s="4" customFormat="1" customHeight="1" spans="1:10">
      <c r="A23" s="12">
        <v>18</v>
      </c>
      <c r="B23" s="14" t="s">
        <v>337</v>
      </c>
      <c r="C23" s="14" t="s">
        <v>72</v>
      </c>
      <c r="D23" s="14" t="s">
        <v>70</v>
      </c>
      <c r="E23" s="13">
        <v>2</v>
      </c>
      <c r="F23" s="14">
        <f t="shared" si="3"/>
        <v>11.5294117647059</v>
      </c>
      <c r="G23" s="15">
        <f t="shared" si="4"/>
        <v>0.85</v>
      </c>
      <c r="H23" s="19">
        <v>9.8</v>
      </c>
      <c r="I23" s="16">
        <f t="shared" si="5"/>
        <v>19.6</v>
      </c>
      <c r="J23" s="14"/>
    </row>
    <row r="24" s="4" customFormat="1" customHeight="1" spans="1:10">
      <c r="A24" s="12">
        <v>19</v>
      </c>
      <c r="B24" s="14" t="s">
        <v>180</v>
      </c>
      <c r="C24" s="14" t="s">
        <v>181</v>
      </c>
      <c r="D24" s="14" t="s">
        <v>70</v>
      </c>
      <c r="E24" s="13">
        <v>10</v>
      </c>
      <c r="F24" s="14">
        <f t="shared" si="3"/>
        <v>8</v>
      </c>
      <c r="G24" s="15">
        <f t="shared" si="4"/>
        <v>0.85</v>
      </c>
      <c r="H24" s="19">
        <v>6.8</v>
      </c>
      <c r="I24" s="16">
        <f t="shared" si="5"/>
        <v>68</v>
      </c>
      <c r="J24" s="14"/>
    </row>
    <row r="25" s="4" customFormat="1" customHeight="1" spans="1:10">
      <c r="A25" s="12">
        <v>20</v>
      </c>
      <c r="B25" s="14" t="s">
        <v>338</v>
      </c>
      <c r="C25" s="14" t="s">
        <v>72</v>
      </c>
      <c r="D25" s="14" t="s">
        <v>70</v>
      </c>
      <c r="E25" s="13">
        <v>3</v>
      </c>
      <c r="F25" s="14">
        <f t="shared" si="3"/>
        <v>21.1764705882353</v>
      </c>
      <c r="G25" s="15">
        <f t="shared" si="4"/>
        <v>0.85</v>
      </c>
      <c r="H25" s="19">
        <v>18</v>
      </c>
      <c r="I25" s="16">
        <f t="shared" si="5"/>
        <v>54</v>
      </c>
      <c r="J25" s="14"/>
    </row>
    <row r="26" s="4" customFormat="1" customHeight="1" spans="1:10">
      <c r="A26" s="12">
        <v>21</v>
      </c>
      <c r="B26" s="14" t="s">
        <v>246</v>
      </c>
      <c r="C26" s="14"/>
      <c r="D26" s="14" t="s">
        <v>70</v>
      </c>
      <c r="E26" s="13">
        <v>5</v>
      </c>
      <c r="F26" s="14">
        <f t="shared" si="3"/>
        <v>103.529411764706</v>
      </c>
      <c r="G26" s="15">
        <f t="shared" si="4"/>
        <v>0.85</v>
      </c>
      <c r="H26" s="19">
        <v>88</v>
      </c>
      <c r="I26" s="16">
        <f t="shared" si="5"/>
        <v>440</v>
      </c>
      <c r="J26" s="14"/>
    </row>
    <row r="27" s="4" customFormat="1" customHeight="1" spans="1:10">
      <c r="A27" s="12">
        <v>22</v>
      </c>
      <c r="B27" s="14" t="s">
        <v>266</v>
      </c>
      <c r="C27" s="14" t="s">
        <v>267</v>
      </c>
      <c r="D27" s="14" t="s">
        <v>60</v>
      </c>
      <c r="E27" s="13">
        <v>40</v>
      </c>
      <c r="F27" s="14">
        <f t="shared" si="3"/>
        <v>4.11764705882353</v>
      </c>
      <c r="G27" s="15">
        <f t="shared" si="4"/>
        <v>0.85</v>
      </c>
      <c r="H27" s="19">
        <v>3.5</v>
      </c>
      <c r="I27" s="16">
        <f t="shared" si="5"/>
        <v>140</v>
      </c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201</v>
      </c>
      <c r="B34" s="20">
        <f>SUM(I6:I33)</f>
        <v>1564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62</v>
      </c>
      <c r="B35" s="23">
        <f>B34</f>
        <v>1564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63</v>
      </c>
      <c r="E36" s="5"/>
    </row>
    <row r="38" customHeight="1" spans="8:8">
      <c r="H38" s="4">
        <f>B34</f>
        <v>1564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8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25" style="4" customWidth="1"/>
    <col min="2" max="2" width="22.75" style="4" customWidth="1"/>
    <col min="3" max="3" width="11.12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45135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3</v>
      </c>
      <c r="F6" s="14">
        <f t="shared" ref="F6:F27" si="0">H6/0.85</f>
        <v>3.52941176470588</v>
      </c>
      <c r="G6" s="15">
        <f t="shared" ref="G6:G27" si="1">H6/F6</f>
        <v>0.85</v>
      </c>
      <c r="H6" s="16">
        <v>3</v>
      </c>
      <c r="I6" s="16">
        <f t="shared" ref="I6:I27" si="2">E6*H6</f>
        <v>9</v>
      </c>
      <c r="J6" s="12"/>
    </row>
    <row r="7" s="4" customFormat="1" ht="16" customHeight="1" spans="1:10">
      <c r="A7" s="12">
        <v>2</v>
      </c>
      <c r="B7" s="12" t="s">
        <v>328</v>
      </c>
      <c r="C7" s="12"/>
      <c r="D7" s="13" t="s">
        <v>70</v>
      </c>
      <c r="E7" s="13">
        <v>5</v>
      </c>
      <c r="F7" s="14">
        <f t="shared" si="0"/>
        <v>5.29411764705882</v>
      </c>
      <c r="G7" s="15">
        <f t="shared" si="1"/>
        <v>0.85</v>
      </c>
      <c r="H7" s="16">
        <v>4.5</v>
      </c>
      <c r="I7" s="16">
        <f t="shared" si="2"/>
        <v>22.5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339</v>
      </c>
      <c r="C9" s="17"/>
      <c r="D9" s="13" t="s">
        <v>70</v>
      </c>
      <c r="E9" s="13">
        <v>3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18</v>
      </c>
      <c r="J9" s="12"/>
    </row>
    <row r="10" s="4" customFormat="1" ht="16" customHeight="1" spans="1:10">
      <c r="A10" s="12">
        <v>5</v>
      </c>
      <c r="B10" s="12" t="s">
        <v>279</v>
      </c>
      <c r="C10" s="12"/>
      <c r="D10" s="13" t="s">
        <v>70</v>
      </c>
      <c r="E10" s="13">
        <v>12</v>
      </c>
      <c r="F10" s="14">
        <f t="shared" si="0"/>
        <v>10</v>
      </c>
      <c r="G10" s="15">
        <f t="shared" si="1"/>
        <v>0.85</v>
      </c>
      <c r="H10" s="16">
        <v>8.5</v>
      </c>
      <c r="I10" s="16">
        <f t="shared" si="2"/>
        <v>102</v>
      </c>
      <c r="J10" s="12"/>
    </row>
    <row r="11" s="4" customFormat="1" ht="16" customHeight="1" spans="1:10">
      <c r="A11" s="12">
        <v>6</v>
      </c>
      <c r="B11" s="12" t="s">
        <v>28</v>
      </c>
      <c r="C11" s="12"/>
      <c r="D11" s="13" t="s">
        <v>70</v>
      </c>
      <c r="E11" s="13">
        <v>2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15.6</v>
      </c>
      <c r="J11" s="12"/>
    </row>
    <row r="12" s="4" customFormat="1" ht="16" customHeight="1" spans="1:10">
      <c r="A12" s="12">
        <v>7</v>
      </c>
      <c r="B12" s="17" t="s">
        <v>171</v>
      </c>
      <c r="C12" s="17"/>
      <c r="D12" s="18" t="s">
        <v>172</v>
      </c>
      <c r="E12" s="18">
        <v>9</v>
      </c>
      <c r="F12" s="14">
        <f t="shared" si="0"/>
        <v>2.94117647058824</v>
      </c>
      <c r="G12" s="15">
        <f t="shared" si="1"/>
        <v>0.85</v>
      </c>
      <c r="H12" s="19">
        <v>2.5</v>
      </c>
      <c r="I12" s="16">
        <f t="shared" si="2"/>
        <v>22.5</v>
      </c>
      <c r="J12" s="17"/>
    </row>
    <row r="13" s="4" customFormat="1" ht="16" customHeight="1" spans="1:10">
      <c r="A13" s="12">
        <v>8</v>
      </c>
      <c r="B13" s="17" t="s">
        <v>270</v>
      </c>
      <c r="C13" s="17"/>
      <c r="D13" s="18" t="s">
        <v>70</v>
      </c>
      <c r="E13" s="18">
        <v>7.7</v>
      </c>
      <c r="F13" s="14">
        <f t="shared" si="0"/>
        <v>11.5294117647059</v>
      </c>
      <c r="G13" s="15">
        <f t="shared" si="1"/>
        <v>0.85</v>
      </c>
      <c r="H13" s="19">
        <v>9.8</v>
      </c>
      <c r="I13" s="16">
        <f t="shared" si="2"/>
        <v>75.46</v>
      </c>
      <c r="J13" s="17"/>
    </row>
    <row r="14" s="4" customFormat="1" ht="16" customHeight="1" spans="1:10">
      <c r="A14" s="12">
        <v>9</v>
      </c>
      <c r="B14" s="17" t="s">
        <v>29</v>
      </c>
      <c r="C14" s="17"/>
      <c r="D14" s="18" t="s">
        <v>70</v>
      </c>
      <c r="E14" s="18">
        <v>2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7.6</v>
      </c>
      <c r="J14" s="17"/>
    </row>
    <row r="15" s="4" customFormat="1" ht="16" customHeight="1" spans="1:10">
      <c r="A15" s="12">
        <v>10</v>
      </c>
      <c r="B15" s="17" t="s">
        <v>83</v>
      </c>
      <c r="C15" s="17"/>
      <c r="D15" s="18" t="s">
        <v>70</v>
      </c>
      <c r="E15" s="18">
        <v>12</v>
      </c>
      <c r="F15" s="14">
        <f t="shared" si="0"/>
        <v>3.29411764705882</v>
      </c>
      <c r="G15" s="15">
        <f t="shared" si="1"/>
        <v>0.85</v>
      </c>
      <c r="H15" s="19">
        <v>2.8</v>
      </c>
      <c r="I15" s="16">
        <f t="shared" si="2"/>
        <v>33.6</v>
      </c>
      <c r="J15" s="17"/>
    </row>
    <row r="16" s="4" customFormat="1" ht="16" customHeight="1" spans="1:10">
      <c r="A16" s="12">
        <v>11</v>
      </c>
      <c r="B16" s="17" t="s">
        <v>305</v>
      </c>
      <c r="C16" s="17"/>
      <c r="D16" s="18" t="s">
        <v>70</v>
      </c>
      <c r="E16" s="18">
        <v>5.3</v>
      </c>
      <c r="F16" s="14">
        <f t="shared" si="0"/>
        <v>5.29411764705882</v>
      </c>
      <c r="G16" s="15">
        <f t="shared" si="1"/>
        <v>0.85</v>
      </c>
      <c r="H16" s="19">
        <v>4.5</v>
      </c>
      <c r="I16" s="16">
        <f t="shared" si="2"/>
        <v>23.85</v>
      </c>
      <c r="J16" s="17"/>
    </row>
    <row r="17" s="4" customFormat="1" ht="16" customHeight="1" spans="1:10">
      <c r="A17" s="12">
        <v>12</v>
      </c>
      <c r="B17" s="12" t="s">
        <v>96</v>
      </c>
      <c r="C17" s="12"/>
      <c r="D17" s="17" t="s">
        <v>70</v>
      </c>
      <c r="E17" s="13">
        <v>8</v>
      </c>
      <c r="F17" s="14">
        <f t="shared" si="0"/>
        <v>28.2352941176471</v>
      </c>
      <c r="G17" s="15">
        <f t="shared" si="1"/>
        <v>0.85</v>
      </c>
      <c r="H17" s="19">
        <v>24</v>
      </c>
      <c r="I17" s="16">
        <f t="shared" si="2"/>
        <v>192</v>
      </c>
      <c r="J17" s="12"/>
    </row>
    <row r="18" s="4" customFormat="1" ht="16" customHeight="1" spans="1:10">
      <c r="A18" s="12">
        <v>13</v>
      </c>
      <c r="B18" s="12" t="s">
        <v>331</v>
      </c>
      <c r="C18" s="12" t="s">
        <v>332</v>
      </c>
      <c r="D18" s="12" t="s">
        <v>15</v>
      </c>
      <c r="E18" s="13">
        <v>5</v>
      </c>
      <c r="F18" s="14">
        <f t="shared" si="0"/>
        <v>23.5294117647059</v>
      </c>
      <c r="G18" s="15">
        <f t="shared" si="1"/>
        <v>0.85</v>
      </c>
      <c r="H18" s="19">
        <v>20</v>
      </c>
      <c r="I18" s="16">
        <f t="shared" si="2"/>
        <v>100</v>
      </c>
      <c r="J18" s="12"/>
    </row>
    <row r="19" s="4" customFormat="1" ht="13.5" spans="1:10">
      <c r="A19" s="12">
        <v>14</v>
      </c>
      <c r="B19" s="27" t="s">
        <v>266</v>
      </c>
      <c r="C19" s="12" t="s">
        <v>267</v>
      </c>
      <c r="D19" s="12" t="s">
        <v>60</v>
      </c>
      <c r="E19" s="13">
        <v>110</v>
      </c>
      <c r="F19" s="14">
        <f t="shared" si="0"/>
        <v>4.11764705882353</v>
      </c>
      <c r="G19" s="15">
        <f t="shared" si="1"/>
        <v>0.85</v>
      </c>
      <c r="H19" s="19">
        <v>3.5</v>
      </c>
      <c r="I19" s="16">
        <f t="shared" si="2"/>
        <v>385</v>
      </c>
      <c r="J19" s="12"/>
    </row>
    <row r="20" s="4" customFormat="1" customHeight="1" spans="1:10">
      <c r="A20" s="12">
        <v>15</v>
      </c>
      <c r="B20" s="14"/>
      <c r="C20" s="14"/>
      <c r="D20" s="14"/>
      <c r="E20" s="13"/>
      <c r="F20" s="14"/>
      <c r="G20" s="15"/>
      <c r="H20" s="19"/>
      <c r="I20" s="16"/>
      <c r="J20" s="14"/>
    </row>
    <row r="21" s="4" customFormat="1" customHeight="1" spans="1:10">
      <c r="A21" s="12">
        <v>16</v>
      </c>
      <c r="B21" s="14"/>
      <c r="C21" s="14"/>
      <c r="D21" s="14"/>
      <c r="E21" s="13"/>
      <c r="F21" s="14"/>
      <c r="G21" s="15"/>
      <c r="H21" s="19"/>
      <c r="I21" s="16"/>
      <c r="J21" s="14"/>
    </row>
    <row r="22" s="4" customFormat="1" customHeight="1" spans="1:10">
      <c r="A22" s="12">
        <v>17</v>
      </c>
      <c r="B22" s="14"/>
      <c r="C22" s="14"/>
      <c r="D22" s="14"/>
      <c r="E22" s="13"/>
      <c r="F22" s="14"/>
      <c r="G22" s="15"/>
      <c r="H22" s="19"/>
      <c r="I22" s="16"/>
      <c r="J22" s="14"/>
    </row>
    <row r="23" s="4" customFormat="1" customHeight="1" spans="1:10">
      <c r="A23" s="12">
        <v>18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201</v>
      </c>
      <c r="B34" s="20">
        <f>SUM(I6:I33)</f>
        <v>1017.61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62</v>
      </c>
      <c r="B35" s="23">
        <f>B34</f>
        <v>1017.61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63</v>
      </c>
      <c r="E36" s="5"/>
    </row>
    <row r="38" customHeight="1" spans="8:8">
      <c r="H38" s="4">
        <f>B34</f>
        <v>1017.61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20" workbookViewId="0">
      <selection activeCell="L27" sqref="L26:L27"/>
    </sheetView>
  </sheetViews>
  <sheetFormatPr defaultColWidth="11" defaultRowHeight="18" customHeight="1"/>
  <cols>
    <col min="1" max="1" width="9.25" style="4" customWidth="1"/>
    <col min="2" max="2" width="22.75" style="4" customWidth="1"/>
    <col min="3" max="3" width="11.12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41" width="11.6666666666667" style="4" customWidth="1"/>
    <col min="16342" max="16342" width="11.6666666666667" style="4"/>
    <col min="16343" max="16348" width="11" style="4"/>
    <col min="1634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163</v>
      </c>
      <c r="B3" s="4" t="s">
        <v>164</v>
      </c>
      <c r="E3" s="5"/>
    </row>
    <row r="4" s="4" customFormat="1" customHeight="1" spans="1:10">
      <c r="A4" s="4" t="s">
        <v>165</v>
      </c>
      <c r="B4" s="9">
        <v>45138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3</v>
      </c>
      <c r="B5" s="12" t="s">
        <v>4</v>
      </c>
      <c r="C5" s="12" t="s">
        <v>5</v>
      </c>
      <c r="D5" s="12" t="s">
        <v>6</v>
      </c>
      <c r="E5" s="13" t="s">
        <v>7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10</v>
      </c>
    </row>
    <row r="6" s="4" customFormat="1" ht="16" customHeight="1" spans="1:10">
      <c r="A6" s="12">
        <v>1</v>
      </c>
      <c r="B6" s="12" t="s">
        <v>166</v>
      </c>
      <c r="C6" s="12"/>
      <c r="D6" s="13" t="s">
        <v>70</v>
      </c>
      <c r="E6" s="13">
        <v>4</v>
      </c>
      <c r="F6" s="14">
        <f t="shared" ref="F6:F19" si="0">H6/0.85</f>
        <v>3.52941176470588</v>
      </c>
      <c r="G6" s="15">
        <f t="shared" ref="G6:G19" si="1">H6/F6</f>
        <v>0.85</v>
      </c>
      <c r="H6" s="16">
        <v>3</v>
      </c>
      <c r="I6" s="16">
        <f t="shared" ref="I6:I19" si="2">E6*H6</f>
        <v>12</v>
      </c>
      <c r="J6" s="12"/>
    </row>
    <row r="7" s="4" customFormat="1" ht="16" customHeight="1" spans="1:10">
      <c r="A7" s="12">
        <v>2</v>
      </c>
      <c r="B7" s="12" t="s">
        <v>73</v>
      </c>
      <c r="C7" s="12"/>
      <c r="D7" s="13" t="s">
        <v>70</v>
      </c>
      <c r="E7" s="13">
        <v>3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10.5</v>
      </c>
      <c r="J7" s="12"/>
    </row>
    <row r="8" s="4" customFormat="1" ht="16" customHeight="1" spans="1:10">
      <c r="A8" s="12">
        <v>3</v>
      </c>
      <c r="B8" s="12" t="s">
        <v>75</v>
      </c>
      <c r="C8" s="12"/>
      <c r="D8" s="13" t="s">
        <v>70</v>
      </c>
      <c r="E8" s="13">
        <v>4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14</v>
      </c>
      <c r="J8" s="12"/>
    </row>
    <row r="9" s="4" customFormat="1" ht="16" customHeight="1" spans="1:10">
      <c r="A9" s="12">
        <v>4</v>
      </c>
      <c r="B9" s="17" t="s">
        <v>168</v>
      </c>
      <c r="C9" s="17"/>
      <c r="D9" s="13" t="s">
        <v>70</v>
      </c>
      <c r="E9" s="13">
        <v>4</v>
      </c>
      <c r="F9" s="14">
        <f t="shared" si="0"/>
        <v>9.17647058823529</v>
      </c>
      <c r="G9" s="15">
        <f t="shared" si="1"/>
        <v>0.85</v>
      </c>
      <c r="H9" s="16">
        <v>7.8</v>
      </c>
      <c r="I9" s="16">
        <f t="shared" si="2"/>
        <v>31.2</v>
      </c>
      <c r="J9" s="12"/>
    </row>
    <row r="10" s="4" customFormat="1" ht="16" customHeight="1" spans="1:10">
      <c r="A10" s="12">
        <v>5</v>
      </c>
      <c r="B10" s="12" t="s">
        <v>340</v>
      </c>
      <c r="C10" s="12"/>
      <c r="D10" s="13" t="s">
        <v>70</v>
      </c>
      <c r="E10" s="13">
        <v>12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93.6</v>
      </c>
      <c r="J10" s="12"/>
    </row>
    <row r="11" s="4" customFormat="1" ht="16" customHeight="1" spans="1:10">
      <c r="A11" s="12">
        <v>6</v>
      </c>
      <c r="B11" s="12" t="s">
        <v>28</v>
      </c>
      <c r="C11" s="12"/>
      <c r="D11" s="13" t="s">
        <v>70</v>
      </c>
      <c r="E11" s="13">
        <v>2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15.6</v>
      </c>
      <c r="J11" s="12"/>
    </row>
    <row r="12" s="4" customFormat="1" ht="16" customHeight="1" spans="1:10">
      <c r="A12" s="12">
        <v>7</v>
      </c>
      <c r="B12" s="17" t="s">
        <v>171</v>
      </c>
      <c r="C12" s="17"/>
      <c r="D12" s="18" t="s">
        <v>172</v>
      </c>
      <c r="E12" s="18">
        <v>7</v>
      </c>
      <c r="F12" s="14">
        <f t="shared" si="0"/>
        <v>2.94117647058824</v>
      </c>
      <c r="G12" s="15">
        <f t="shared" si="1"/>
        <v>0.85</v>
      </c>
      <c r="H12" s="19">
        <v>2.5</v>
      </c>
      <c r="I12" s="16">
        <f t="shared" si="2"/>
        <v>17.5</v>
      </c>
      <c r="J12" s="17"/>
    </row>
    <row r="13" s="4" customFormat="1" ht="16" customHeight="1" spans="1:10">
      <c r="A13" s="12">
        <v>8</v>
      </c>
      <c r="B13" s="17" t="s">
        <v>29</v>
      </c>
      <c r="C13" s="17"/>
      <c r="D13" s="18" t="s">
        <v>70</v>
      </c>
      <c r="E13" s="18">
        <v>2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7.6</v>
      </c>
      <c r="J13" s="17"/>
    </row>
    <row r="14" s="4" customFormat="1" ht="16" customHeight="1" spans="1:10">
      <c r="A14" s="12">
        <v>9</v>
      </c>
      <c r="B14" s="17" t="s">
        <v>208</v>
      </c>
      <c r="C14" s="17"/>
      <c r="D14" s="18" t="s">
        <v>70</v>
      </c>
      <c r="E14" s="18">
        <v>8</v>
      </c>
      <c r="F14" s="14">
        <f t="shared" si="0"/>
        <v>2.94117647058824</v>
      </c>
      <c r="G14" s="15">
        <f t="shared" si="1"/>
        <v>0.85</v>
      </c>
      <c r="H14" s="19">
        <v>2.5</v>
      </c>
      <c r="I14" s="16">
        <f t="shared" si="2"/>
        <v>20</v>
      </c>
      <c r="J14" s="17"/>
    </row>
    <row r="15" s="4" customFormat="1" ht="16" customHeight="1" spans="1:10">
      <c r="A15" s="12">
        <v>10</v>
      </c>
      <c r="B15" s="17" t="s">
        <v>296</v>
      </c>
      <c r="C15" s="17"/>
      <c r="D15" s="18" t="s">
        <v>70</v>
      </c>
      <c r="E15" s="18">
        <v>16</v>
      </c>
      <c r="F15" s="14">
        <f t="shared" si="0"/>
        <v>5.64705882352941</v>
      </c>
      <c r="G15" s="15">
        <f t="shared" si="1"/>
        <v>0.85</v>
      </c>
      <c r="H15" s="19">
        <v>4.8</v>
      </c>
      <c r="I15" s="16">
        <f t="shared" si="2"/>
        <v>76.8</v>
      </c>
      <c r="J15" s="17"/>
    </row>
    <row r="16" s="4" customFormat="1" ht="16" customHeight="1" spans="1:10">
      <c r="A16" s="12">
        <v>11</v>
      </c>
      <c r="B16" s="17" t="s">
        <v>341</v>
      </c>
      <c r="C16" s="17"/>
      <c r="D16" s="18" t="s">
        <v>70</v>
      </c>
      <c r="E16" s="18">
        <v>12</v>
      </c>
      <c r="F16" s="14">
        <f t="shared" si="0"/>
        <v>6.82352941176471</v>
      </c>
      <c r="G16" s="15">
        <f t="shared" si="1"/>
        <v>0.85</v>
      </c>
      <c r="H16" s="19">
        <v>5.8</v>
      </c>
      <c r="I16" s="16">
        <f t="shared" si="2"/>
        <v>69.6</v>
      </c>
      <c r="J16" s="17"/>
    </row>
    <row r="17" s="4" customFormat="1" ht="16" customHeight="1" spans="1:10">
      <c r="A17" s="12">
        <v>12</v>
      </c>
      <c r="B17" s="12" t="s">
        <v>271</v>
      </c>
      <c r="C17" s="12"/>
      <c r="D17" s="17" t="s">
        <v>70</v>
      </c>
      <c r="E17" s="13">
        <v>4.7</v>
      </c>
      <c r="F17" s="14">
        <f t="shared" si="0"/>
        <v>2.35294117647059</v>
      </c>
      <c r="G17" s="15">
        <f t="shared" si="1"/>
        <v>0.85</v>
      </c>
      <c r="H17" s="19">
        <v>2</v>
      </c>
      <c r="I17" s="16">
        <f t="shared" si="2"/>
        <v>9.4</v>
      </c>
      <c r="J17" s="12"/>
    </row>
    <row r="18" s="4" customFormat="1" ht="16" customHeight="1" spans="1:10">
      <c r="A18" s="12">
        <v>13</v>
      </c>
      <c r="B18" s="12" t="s">
        <v>223</v>
      </c>
      <c r="C18" s="12"/>
      <c r="D18" s="12" t="s">
        <v>70</v>
      </c>
      <c r="E18" s="13">
        <v>49.29</v>
      </c>
      <c r="F18" s="14">
        <f t="shared" si="0"/>
        <v>4.47058823529412</v>
      </c>
      <c r="G18" s="15">
        <f t="shared" si="1"/>
        <v>0.85</v>
      </c>
      <c r="H18" s="19">
        <v>3.8</v>
      </c>
      <c r="I18" s="16">
        <f t="shared" si="2"/>
        <v>187.302</v>
      </c>
      <c r="J18" s="12"/>
    </row>
    <row r="19" s="4" customFormat="1" customHeight="1" spans="1:10">
      <c r="A19" s="12">
        <v>14</v>
      </c>
      <c r="B19" s="14" t="s">
        <v>176</v>
      </c>
      <c r="C19" s="14"/>
      <c r="D19" s="14" t="s">
        <v>70</v>
      </c>
      <c r="E19" s="13">
        <v>12</v>
      </c>
      <c r="F19" s="14">
        <f t="shared" ref="F19:F27" si="3">H19/0.85</f>
        <v>17.6470588235294</v>
      </c>
      <c r="G19" s="15">
        <f t="shared" ref="G19:G27" si="4">H19/F19</f>
        <v>0.85</v>
      </c>
      <c r="H19" s="19">
        <v>15</v>
      </c>
      <c r="I19" s="16">
        <f t="shared" ref="I19:I27" si="5">E19*H19</f>
        <v>180</v>
      </c>
      <c r="J19" s="14"/>
    </row>
    <row r="20" s="4" customFormat="1" customHeight="1" spans="1:10">
      <c r="A20" s="12">
        <v>15</v>
      </c>
      <c r="B20" s="14" t="s">
        <v>96</v>
      </c>
      <c r="C20" s="14"/>
      <c r="D20" s="14" t="s">
        <v>70</v>
      </c>
      <c r="E20" s="13">
        <v>8</v>
      </c>
      <c r="F20" s="14">
        <f t="shared" si="3"/>
        <v>28.2352941176471</v>
      </c>
      <c r="G20" s="15">
        <f t="shared" si="4"/>
        <v>0.85</v>
      </c>
      <c r="H20" s="19">
        <v>24</v>
      </c>
      <c r="I20" s="16">
        <f t="shared" si="5"/>
        <v>192</v>
      </c>
      <c r="J20" s="14"/>
    </row>
    <row r="21" s="4" customFormat="1" customHeight="1" spans="1:10">
      <c r="A21" s="12">
        <v>16</v>
      </c>
      <c r="B21" s="14" t="s">
        <v>97</v>
      </c>
      <c r="C21" s="14"/>
      <c r="D21" s="14" t="s">
        <v>70</v>
      </c>
      <c r="E21" s="13">
        <v>5</v>
      </c>
      <c r="F21" s="14">
        <f t="shared" si="3"/>
        <v>17.6470588235294</v>
      </c>
      <c r="G21" s="15">
        <f t="shared" si="4"/>
        <v>0.85</v>
      </c>
      <c r="H21" s="19">
        <v>15</v>
      </c>
      <c r="I21" s="16">
        <f t="shared" si="5"/>
        <v>75</v>
      </c>
      <c r="J21" s="14"/>
    </row>
    <row r="22" s="4" customFormat="1" customHeight="1" spans="1:10">
      <c r="A22" s="12">
        <v>17</v>
      </c>
      <c r="B22" s="14" t="s">
        <v>102</v>
      </c>
      <c r="C22" s="14" t="s">
        <v>226</v>
      </c>
      <c r="D22" s="14" t="s">
        <v>101</v>
      </c>
      <c r="E22" s="13">
        <v>3</v>
      </c>
      <c r="F22" s="14">
        <f t="shared" si="3"/>
        <v>42.8235294117647</v>
      </c>
      <c r="G22" s="15">
        <f t="shared" si="4"/>
        <v>0.85</v>
      </c>
      <c r="H22" s="19">
        <v>36.4</v>
      </c>
      <c r="I22" s="16">
        <f t="shared" si="5"/>
        <v>109.2</v>
      </c>
      <c r="J22" s="14"/>
    </row>
    <row r="23" s="4" customFormat="1" customHeight="1" spans="1:10">
      <c r="A23" s="12">
        <v>18</v>
      </c>
      <c r="B23" s="14" t="s">
        <v>342</v>
      </c>
      <c r="C23" s="14"/>
      <c r="D23" s="14" t="s">
        <v>101</v>
      </c>
      <c r="E23" s="13">
        <v>7</v>
      </c>
      <c r="F23" s="14">
        <f t="shared" si="3"/>
        <v>21.1764705882353</v>
      </c>
      <c r="G23" s="15">
        <f t="shared" si="4"/>
        <v>0.85</v>
      </c>
      <c r="H23" s="19">
        <v>18</v>
      </c>
      <c r="I23" s="16">
        <f t="shared" si="5"/>
        <v>126</v>
      </c>
      <c r="J23" s="14"/>
    </row>
    <row r="24" s="4" customFormat="1" customHeight="1" spans="1:10">
      <c r="A24" s="12">
        <v>19</v>
      </c>
      <c r="B24" s="14" t="s">
        <v>149</v>
      </c>
      <c r="C24" s="14" t="s">
        <v>150</v>
      </c>
      <c r="D24" s="14" t="s">
        <v>101</v>
      </c>
      <c r="E24" s="13">
        <v>10</v>
      </c>
      <c r="F24" s="14">
        <f t="shared" si="3"/>
        <v>2.11764705882353</v>
      </c>
      <c r="G24" s="15">
        <f t="shared" si="4"/>
        <v>0.85</v>
      </c>
      <c r="H24" s="19">
        <v>1.8</v>
      </c>
      <c r="I24" s="16">
        <f t="shared" si="5"/>
        <v>18</v>
      </c>
      <c r="J24" s="14"/>
    </row>
    <row r="25" s="4" customFormat="1" customHeight="1" spans="1:10">
      <c r="A25" s="12">
        <v>20</v>
      </c>
      <c r="B25" s="14" t="s">
        <v>154</v>
      </c>
      <c r="C25" s="14"/>
      <c r="D25" s="14" t="s">
        <v>70</v>
      </c>
      <c r="E25" s="13">
        <v>5</v>
      </c>
      <c r="F25" s="14">
        <f t="shared" si="3"/>
        <v>103.529411764706</v>
      </c>
      <c r="G25" s="15">
        <f t="shared" si="4"/>
        <v>0.85</v>
      </c>
      <c r="H25" s="19">
        <v>88</v>
      </c>
      <c r="I25" s="16">
        <f t="shared" si="5"/>
        <v>440</v>
      </c>
      <c r="J25" s="14"/>
    </row>
    <row r="26" s="4" customFormat="1" customHeight="1" spans="1:10">
      <c r="A26" s="12">
        <v>21</v>
      </c>
      <c r="B26" s="14" t="s">
        <v>266</v>
      </c>
      <c r="C26" s="14" t="s">
        <v>267</v>
      </c>
      <c r="D26" s="14" t="s">
        <v>60</v>
      </c>
      <c r="E26" s="13">
        <v>35</v>
      </c>
      <c r="F26" s="14">
        <f t="shared" si="3"/>
        <v>4.11764705882353</v>
      </c>
      <c r="G26" s="15">
        <f t="shared" si="4"/>
        <v>0.85</v>
      </c>
      <c r="H26" s="19">
        <v>3.5</v>
      </c>
      <c r="I26" s="16">
        <f t="shared" si="5"/>
        <v>122.5</v>
      </c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 t="s">
        <v>201</v>
      </c>
      <c r="B32" s="20">
        <f>SUM(I6:I31)</f>
        <v>1827.802</v>
      </c>
      <c r="C32" s="21"/>
      <c r="D32" s="21"/>
      <c r="E32" s="22"/>
      <c r="F32" s="21"/>
      <c r="G32" s="21"/>
      <c r="H32" s="21"/>
      <c r="I32" s="21"/>
      <c r="J32" s="25"/>
    </row>
    <row r="33" s="4" customFormat="1" customHeight="1" spans="1:10">
      <c r="A33" s="12" t="s">
        <v>62</v>
      </c>
      <c r="B33" s="23">
        <f>B32</f>
        <v>1827.802</v>
      </c>
      <c r="C33" s="24"/>
      <c r="D33" s="24"/>
      <c r="E33" s="22"/>
      <c r="F33" s="24"/>
      <c r="G33" s="24"/>
      <c r="H33" s="24"/>
      <c r="I33" s="24"/>
      <c r="J33" s="26"/>
    </row>
    <row r="34" s="4" customFormat="1" customHeight="1" spans="1:5">
      <c r="A34" s="4" t="s">
        <v>63</v>
      </c>
      <c r="E34" s="5"/>
    </row>
    <row r="37" customHeight="1" spans="9:9">
      <c r="I37" s="4">
        <f>B32</f>
        <v>1827.802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zoomScale="90" zoomScaleNormal="90" workbookViewId="0">
      <selection activeCell="H10" sqref="H9:H10"/>
    </sheetView>
  </sheetViews>
  <sheetFormatPr defaultColWidth="9" defaultRowHeight="13.5" outlineLevelCol="1"/>
  <cols>
    <col min="1" max="3" width="10.375"/>
    <col min="4" max="4" width="10.8333333333333" customWidth="1"/>
    <col min="5" max="5" width="12.625"/>
  </cols>
  <sheetData>
    <row r="1" spans="1:1">
      <c r="A1" t="s">
        <v>343</v>
      </c>
    </row>
    <row r="2" spans="1:2">
      <c r="A2" s="1">
        <v>45106</v>
      </c>
      <c r="B2" s="2">
        <f>'6.29'!B49</f>
        <v>1036.2</v>
      </c>
    </row>
    <row r="3" spans="1:2">
      <c r="A3" s="3">
        <v>45108</v>
      </c>
      <c r="B3">
        <f>'1'!B71</f>
        <v>5901.4</v>
      </c>
    </row>
    <row r="4" spans="1:2">
      <c r="A4" s="3">
        <v>45109</v>
      </c>
      <c r="B4">
        <v>0</v>
      </c>
    </row>
    <row r="5" spans="1:2">
      <c r="A5" s="3">
        <v>45110</v>
      </c>
      <c r="B5">
        <f>'3'!B40</f>
        <v>2898.8</v>
      </c>
    </row>
    <row r="6" spans="1:2">
      <c r="A6" s="3">
        <v>45111</v>
      </c>
      <c r="B6">
        <f>'4'!B35</f>
        <v>1435.2</v>
      </c>
    </row>
    <row r="7" spans="1:2">
      <c r="A7" s="3">
        <v>45112</v>
      </c>
      <c r="B7">
        <f>'5'!B32</f>
        <v>2590.5</v>
      </c>
    </row>
    <row r="8" spans="1:2">
      <c r="A8" s="3">
        <v>45113</v>
      </c>
      <c r="B8">
        <f>'6'!B35</f>
        <v>1376.428</v>
      </c>
    </row>
    <row r="9" spans="1:2">
      <c r="A9" s="3">
        <v>45114</v>
      </c>
      <c r="B9">
        <f>'7'!B33</f>
        <v>2168.52</v>
      </c>
    </row>
    <row r="10" spans="1:2">
      <c r="A10" s="3">
        <v>45115</v>
      </c>
      <c r="B10">
        <f>'8'!B33</f>
        <v>86.4</v>
      </c>
    </row>
    <row r="11" spans="1:2">
      <c r="A11" s="3">
        <v>45116</v>
      </c>
      <c r="B11">
        <v>0</v>
      </c>
    </row>
    <row r="12" spans="1:2">
      <c r="A12" s="3">
        <v>45117</v>
      </c>
      <c r="B12">
        <f>'10'!B34</f>
        <v>1210.55</v>
      </c>
    </row>
    <row r="13" spans="1:2">
      <c r="A13" s="3">
        <v>45118</v>
      </c>
      <c r="B13">
        <f>'11'!B40</f>
        <v>2221.71</v>
      </c>
    </row>
    <row r="14" spans="1:2">
      <c r="A14" s="3">
        <v>45119</v>
      </c>
      <c r="B14">
        <f>'12'!B36</f>
        <v>2649.93</v>
      </c>
    </row>
    <row r="15" spans="1:2">
      <c r="A15" s="3">
        <v>45120</v>
      </c>
      <c r="B15">
        <f>'13'!B32</f>
        <v>2211.3</v>
      </c>
    </row>
    <row r="16" spans="1:2">
      <c r="A16" s="3">
        <v>45121</v>
      </c>
      <c r="B16">
        <f>'14'!B32</f>
        <v>978.6</v>
      </c>
    </row>
    <row r="17" spans="1:2">
      <c r="A17" s="3">
        <v>45122</v>
      </c>
      <c r="B17">
        <v>0</v>
      </c>
    </row>
    <row r="18" spans="1:2">
      <c r="A18" s="3">
        <v>45123</v>
      </c>
      <c r="B18">
        <v>0</v>
      </c>
    </row>
    <row r="19" spans="1:2">
      <c r="A19" s="3">
        <v>45124</v>
      </c>
      <c r="B19">
        <f>'17'!B33</f>
        <v>2027.1</v>
      </c>
    </row>
    <row r="20" spans="1:2">
      <c r="A20" s="3">
        <v>45125</v>
      </c>
      <c r="B20">
        <f>'18'!B32</f>
        <v>1810.042</v>
      </c>
    </row>
    <row r="21" spans="1:2">
      <c r="A21" s="3">
        <v>45126</v>
      </c>
      <c r="B21">
        <f>'19'!B34</f>
        <v>1065.24</v>
      </c>
    </row>
    <row r="22" spans="1:2">
      <c r="A22" s="3">
        <v>45127</v>
      </c>
      <c r="B22">
        <f>'20'!B33</f>
        <v>929.6</v>
      </c>
    </row>
    <row r="23" spans="1:2">
      <c r="A23" s="3">
        <v>45128</v>
      </c>
      <c r="B23">
        <f>'21'!B31</f>
        <v>1094.604</v>
      </c>
    </row>
    <row r="24" spans="1:2">
      <c r="A24" s="3">
        <v>45129</v>
      </c>
      <c r="B24">
        <v>0</v>
      </c>
    </row>
    <row r="25" spans="1:2">
      <c r="A25" s="3">
        <v>45130</v>
      </c>
      <c r="B25">
        <v>0</v>
      </c>
    </row>
    <row r="26" spans="1:2">
      <c r="A26" s="3">
        <v>45131</v>
      </c>
      <c r="B26">
        <f>'24'!B30</f>
        <v>1793.6</v>
      </c>
    </row>
    <row r="27" spans="1:2">
      <c r="A27" s="3">
        <v>45132</v>
      </c>
      <c r="B27">
        <f>'25'!B31</f>
        <v>2647.8</v>
      </c>
    </row>
    <row r="28" spans="1:2">
      <c r="A28" s="3">
        <v>45133</v>
      </c>
      <c r="B28">
        <f>'26'!B34</f>
        <v>1079.8</v>
      </c>
    </row>
    <row r="29" spans="1:2">
      <c r="A29" s="3">
        <v>45134</v>
      </c>
      <c r="B29">
        <f>'27'!B34</f>
        <v>1564</v>
      </c>
    </row>
    <row r="30" spans="1:2">
      <c r="A30" s="3">
        <v>45135</v>
      </c>
      <c r="B30">
        <f>'28'!B34</f>
        <v>1017.61</v>
      </c>
    </row>
    <row r="31" spans="1:2">
      <c r="A31" s="3">
        <v>45136</v>
      </c>
      <c r="B31">
        <v>0</v>
      </c>
    </row>
    <row r="32" spans="1:2">
      <c r="A32" s="3">
        <v>45137</v>
      </c>
      <c r="B32">
        <v>0</v>
      </c>
    </row>
    <row r="33" spans="1:2">
      <c r="A33" s="3">
        <v>45138</v>
      </c>
      <c r="B33">
        <f>'31'!B32</f>
        <v>1827.802</v>
      </c>
    </row>
    <row r="34" spans="1:2">
      <c r="A34" t="s">
        <v>344</v>
      </c>
      <c r="B34">
        <f>SUM(B2:B33)</f>
        <v>43622.736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6.29</vt:lpstr>
      <vt:lpstr>1</vt:lpstr>
      <vt:lpstr>3</vt:lpstr>
      <vt:lpstr>4</vt:lpstr>
      <vt:lpstr>5</vt:lpstr>
      <vt:lpstr>6</vt:lpstr>
      <vt:lpstr>7</vt:lpstr>
      <vt:lpstr>8</vt:lpstr>
      <vt:lpstr>10</vt:lpstr>
      <vt:lpstr>11</vt:lpstr>
      <vt:lpstr>12</vt:lpstr>
      <vt:lpstr>13</vt:lpstr>
      <vt:lpstr>14</vt:lpstr>
      <vt:lpstr>17</vt:lpstr>
      <vt:lpstr>18</vt:lpstr>
      <vt:lpstr>19</vt:lpstr>
      <vt:lpstr>20</vt:lpstr>
      <vt:lpstr>21</vt:lpstr>
      <vt:lpstr>24</vt:lpstr>
      <vt:lpstr>25</vt:lpstr>
      <vt:lpstr>26</vt:lpstr>
      <vt:lpstr>27</vt:lpstr>
      <vt:lpstr>28</vt:lpstr>
      <vt:lpstr>31</vt:lpstr>
      <vt:lpstr>7月合计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2025-02-09T09:18:51Z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