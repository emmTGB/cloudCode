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0490" windowHeight="7695" firstSheet="5" activeTab="22" tabRatio="928"/>
  </bookViews>
  <sheets>
    <sheet name="1" sheetId="1" r:id="rId1"/>
    <sheet name="2" sheetId="2" r:id="rId2"/>
    <sheet name="3" sheetId="3" r:id="rId3"/>
    <sheet name="6" sheetId="4" r:id="rId4"/>
    <sheet name="7" sheetId="5" r:id="rId5"/>
    <sheet name="8" sheetId="6" r:id="rId6"/>
    <sheet name="9" sheetId="7" r:id="rId7"/>
    <sheet name="10" sheetId="8" r:id="rId8"/>
    <sheet name="13" sheetId="9" r:id="rId9"/>
    <sheet name="14" sheetId="10" r:id="rId10"/>
    <sheet name="15" sheetId="11" r:id="rId11"/>
    <sheet name="16" sheetId="12" r:id="rId12"/>
    <sheet name="17" sheetId="13" r:id="rId13"/>
    <sheet name="20." sheetId="14" r:id="rId14"/>
    <sheet name="21." sheetId="15" r:id="rId15"/>
    <sheet name="22" sheetId="16" r:id="rId16"/>
    <sheet name="23" sheetId="17" r:id="rId17"/>
    <sheet name="24" sheetId="18" r:id="rId18"/>
    <sheet name="27" sheetId="19" r:id="rId19"/>
    <sheet name="28" sheetId="20" r:id="rId20"/>
    <sheet name="29" sheetId="21" r:id="rId21"/>
    <sheet name="30" sheetId="22" r:id="rId22"/>
    <sheet name="11月合计" sheetId="23" r:id="rId23"/>
  </sheets>
  <definedNames>
    <definedName name="_xlnm.Print_Area" localSheetId="1">'2'!$A$1:$J$34</definedName>
    <definedName name="_xlnm.Print_Area" localSheetId="3">'6'!$A$1:$J$34</definedName>
    <definedName name="_xlnm.Print_Area" localSheetId="4">'7'!$A$1:$J$36</definedName>
    <definedName name="_xlnm.Print_Area" localSheetId="5">'8'!$A$1:$J$36</definedName>
    <definedName name="_xlnm.Print_Area" localSheetId="8">'13'!$A$1:$J$36</definedName>
    <definedName name="_xlnm.Print_Area" localSheetId="9">'14'!$A$1:$J$35</definedName>
    <definedName name="_xlnm.Print_Area" localSheetId="10">'15'!$A$1:$J$36</definedName>
    <definedName name="_xlnm.Print_Area" localSheetId="14">'21.'!$A$1:$J$36</definedName>
    <definedName name="_xlnm.Print_Area" localSheetId="13">'20.'!$A$1:$J$36</definedName>
    <definedName name="_xlnm.Print_Area" localSheetId="17">'24'!$A$1:$J$36</definedName>
    <definedName name="_xlnm.Print_Area" localSheetId="18">'27'!$A$1:$J$36</definedName>
    <definedName name="_xlnm.Print_Area" localSheetId="6">'9'!$A$1:$J$35</definedName>
    <definedName name="_xlnm.Print_Area" localSheetId="15">'22'!$A$1:$J$35</definedName>
    <definedName name="_xlnm.Print_Area" localSheetId="16">'23'!$A$1:$J$35</definedName>
    <definedName name="_xlnm.Print_Area" localSheetId="21">'30'!$A$1:$J$35</definedName>
    <definedName name="_xlnm.Print_Area" localSheetId="2">'3'!$A$1:$J$36</definedName>
    <definedName name="_xlnm.Print_Area" localSheetId="7">'10'!$A$1:$J$35</definedName>
    <definedName name="_xlnm.Print_Area" localSheetId="11">'16'!$A$1:$J$35</definedName>
    <definedName name="_xlnm.Print_Area" localSheetId="12">'17'!$A$1:$J$36</definedName>
    <definedName name="_xlnm.Print_Area" localSheetId="20">'29'!$A$1:$J$33</definedName>
    <definedName name="_xlnm.Print_Area" localSheetId="0">'1'!$A$1:$J$34</definedName>
    <definedName name="_xlnm.Print_Area" localSheetId="19">'28'!$A$1:$J$35</definedName>
  </definedNames>
  <calcPr calcId="191029"/>
</workbook>
</file>

<file path=xl/sharedStrings.xml><?xml version="1.0" encoding="utf-8"?>
<sst xmlns="http://schemas.openxmlformats.org/spreadsheetml/2006/main" uniqueCount="207" count="207">
  <si>
    <t>武汉康恩农贸发展有限公司送货单</t>
  </si>
  <si>
    <t>收货单位：</t>
  </si>
  <si>
    <t>汉南数智化检测分公司</t>
  </si>
  <si>
    <t>配送日期：</t>
  </si>
  <si>
    <t>序号</t>
  </si>
  <si>
    <t>名称</t>
  </si>
  <si>
    <t>规格</t>
  </si>
  <si>
    <t>单位</t>
  </si>
  <si>
    <t>数量</t>
  </si>
  <si>
    <t>超市价格</t>
  </si>
  <si>
    <t>折扣率</t>
  </si>
  <si>
    <t>折后价</t>
  </si>
  <si>
    <t>折后金额</t>
  </si>
  <si>
    <t>备注</t>
  </si>
  <si>
    <t>（新鲜）河粉</t>
  </si>
  <si>
    <t>斤</t>
  </si>
  <si>
    <t>饺子皮</t>
  </si>
  <si>
    <t>热干面（熟）</t>
  </si>
  <si>
    <t>生面窝浆</t>
  </si>
  <si>
    <t>黄豆芽</t>
  </si>
  <si>
    <t>大土豆</t>
  </si>
  <si>
    <t>胡萝卜</t>
  </si>
  <si>
    <t>甜玉米棒</t>
  </si>
  <si>
    <t>个</t>
  </si>
  <si>
    <t>净莴苣</t>
  </si>
  <si>
    <t>平菇</t>
  </si>
  <si>
    <t>熟鹌鹑蛋</t>
  </si>
  <si>
    <t>【鲜】精品五花</t>
  </si>
  <si>
    <t>【鲜】五花肉沫</t>
  </si>
  <si>
    <t>【鲜】猪通排骨</t>
  </si>
  <si>
    <t>金龙鱼玉米油</t>
  </si>
  <si>
    <t>5L*4壶/件</t>
  </si>
  <si>
    <t>件</t>
  </si>
  <si>
    <t>正和珍珠糯米</t>
  </si>
  <si>
    <t>50斤/袋</t>
  </si>
  <si>
    <t>1911老酸奶</t>
  </si>
  <si>
    <t>杯</t>
  </si>
  <si>
    <t>供货合计:</t>
  </si>
  <si>
    <t>金额大写：</t>
  </si>
  <si>
    <t>制表人 ：樊君丽                 收货人：                送货人：</t>
  </si>
  <si>
    <t>生姜</t>
  </si>
  <si>
    <t>小葱</t>
  </si>
  <si>
    <t>板栗米</t>
  </si>
  <si>
    <t>白萝卜</t>
  </si>
  <si>
    <t>有机花菜</t>
  </si>
  <si>
    <t>油麦菜</t>
  </si>
  <si>
    <t>嫩豆腐</t>
  </si>
  <si>
    <t>【鲜】净三黄鸡</t>
  </si>
  <si>
    <t>【鲜】猪脊骨</t>
  </si>
  <si>
    <t>奥利客烘焙调理奶油</t>
  </si>
  <si>
    <t>907g/12瓶/件</t>
  </si>
  <si>
    <t>瓶</t>
  </si>
  <si>
    <t>糯米粉</t>
  </si>
  <si>
    <t>袋</t>
  </si>
  <si>
    <t>食用小苏打</t>
  </si>
  <si>
    <t>140g*50袋/件</t>
  </si>
  <si>
    <t>合鑫泰东北珍珠香米</t>
  </si>
  <si>
    <t>25kg/包</t>
  </si>
  <si>
    <t>干细粉</t>
  </si>
  <si>
    <t>散称</t>
  </si>
  <si>
    <t>馄饨皮</t>
  </si>
  <si>
    <t>白豆角</t>
  </si>
  <si>
    <t>白糯玉米棒（带叶）</t>
  </si>
  <si>
    <t>红椒</t>
  </si>
  <si>
    <t>芜湖青椒</t>
  </si>
  <si>
    <t>冬瓜</t>
  </si>
  <si>
    <t>平包菜</t>
  </si>
  <si>
    <t>红壳鸡蛋</t>
  </si>
  <si>
    <t>12板/件</t>
  </si>
  <si>
    <t>【鲜】猪瘦肉片</t>
  </si>
  <si>
    <t>【鲜】猪五花肉片</t>
  </si>
  <si>
    <t>大圆皮</t>
  </si>
  <si>
    <t>蒜米</t>
  </si>
  <si>
    <t>新鲜毛豆米</t>
  </si>
  <si>
    <t>西红柿</t>
  </si>
  <si>
    <t>金针菇</t>
  </si>
  <si>
    <t>大白菜</t>
  </si>
  <si>
    <t>净鳝鱼</t>
  </si>
  <si>
    <t>皖顺福小米椒</t>
  </si>
  <si>
    <t>2kg*6袋/件</t>
  </si>
  <si>
    <t>卤牛肉</t>
  </si>
  <si>
    <t>大红薯</t>
  </si>
  <si>
    <t>西芹</t>
  </si>
  <si>
    <t>净芋头</t>
  </si>
  <si>
    <t>（去皮，小）</t>
  </si>
  <si>
    <t>鲜香菇</t>
  </si>
  <si>
    <t>韭菜</t>
  </si>
  <si>
    <t>【鲜】净麻鸭</t>
  </si>
  <si>
    <t>光明健能酸奶180g</t>
  </si>
  <si>
    <t>180g</t>
  </si>
  <si>
    <t>铁棍山药</t>
  </si>
  <si>
    <t>上海青（小颗）</t>
  </si>
  <si>
    <t>薄干子</t>
  </si>
  <si>
    <t>【鲜】猪后腿肉</t>
  </si>
  <si>
    <t>爆浆糍粑</t>
  </si>
  <si>
    <t>300克</t>
  </si>
  <si>
    <t>李锦记蒸鱼豉油1.9L</t>
  </si>
  <si>
    <t>1.9L*6瓶/件</t>
  </si>
  <si>
    <t>海天金标生抽1.9L</t>
  </si>
  <si>
    <t>1.9L*6壶/件</t>
  </si>
  <si>
    <t>箱</t>
  </si>
  <si>
    <t>新鲜红小米椒</t>
  </si>
  <si>
    <t>大藕</t>
  </si>
  <si>
    <t>黄瓜</t>
  </si>
  <si>
    <t>老南瓜</t>
  </si>
  <si>
    <t>生菜</t>
  </si>
  <si>
    <t>薄千张</t>
  </si>
  <si>
    <t>【鲜】猪瘦肉丝</t>
  </si>
  <si>
    <t>【鲜】猪血</t>
  </si>
  <si>
    <t>糖桂花酱265g</t>
  </si>
  <si>
    <t>265g/瓶</t>
  </si>
  <si>
    <t>鑫怡久久海带丝</t>
  </si>
  <si>
    <t>19斤/件</t>
  </si>
  <si>
    <t>卤牛肚</t>
  </si>
  <si>
    <t>西兰花</t>
  </si>
  <si>
    <t>口蘑</t>
  </si>
  <si>
    <t>细土芹</t>
  </si>
  <si>
    <t>面筋</t>
  </si>
  <si>
    <t>【鲜】净大草鱼</t>
  </si>
  <si>
    <t>思念白糯小汤圆（无馅）</t>
  </si>
  <si>
    <t>500g*20包/件</t>
  </si>
  <si>
    <t>安琪油条脆皮粉</t>
  </si>
  <si>
    <t>南德调味料</t>
  </si>
  <si>
    <t>150g*46袋</t>
  </si>
  <si>
    <t>孝感米酒900g</t>
  </si>
  <si>
    <t>900g*6瓶/件</t>
  </si>
  <si>
    <t>烧麦皮</t>
  </si>
  <si>
    <t>四季豆</t>
  </si>
  <si>
    <t>【鲜】净牛蛙</t>
  </si>
  <si>
    <t>劲宝超级生粉</t>
  </si>
  <si>
    <t>5kg</t>
  </si>
  <si>
    <t>云鹤精制碘盐</t>
  </si>
  <si>
    <t>500g*50袋/件</t>
  </si>
  <si>
    <t>永超榨菜</t>
  </si>
  <si>
    <t>8斤</t>
  </si>
  <si>
    <t>紫长茄子（细长）</t>
  </si>
  <si>
    <t>笋瓜</t>
  </si>
  <si>
    <t>【鲜】猪脚</t>
  </si>
  <si>
    <t>水塔陈醋</t>
  </si>
  <si>
    <t>鑫海贸紫菜50g</t>
  </si>
  <si>
    <t>50g*48包</t>
  </si>
  <si>
    <t>包</t>
  </si>
  <si>
    <t>厚干子</t>
  </si>
  <si>
    <t>虾皮</t>
  </si>
  <si>
    <t>大桥鸡精900g</t>
  </si>
  <si>
    <t>900g*10袋/件</t>
  </si>
  <si>
    <t>青豆角</t>
  </si>
  <si>
    <t>海天精制蚝油6kg</t>
  </si>
  <si>
    <t>6kg*2桶</t>
  </si>
  <si>
    <t>桶</t>
  </si>
  <si>
    <t>上海青（大颗）</t>
  </si>
  <si>
    <t>华英鸭血</t>
  </si>
  <si>
    <t>300g</t>
  </si>
  <si>
    <t>盒</t>
  </si>
  <si>
    <t>鲜羊肉（纯肉去骨）</t>
  </si>
  <si>
    <t>干黑木耳</t>
  </si>
  <si>
    <t>红豆</t>
  </si>
  <si>
    <t>黑豆</t>
  </si>
  <si>
    <t>蒜苗</t>
  </si>
  <si>
    <t>菠菜</t>
  </si>
  <si>
    <t>香菜</t>
  </si>
  <si>
    <t>香蕉</t>
  </si>
  <si>
    <t>干红枣片</t>
  </si>
  <si>
    <t>干辣椒节</t>
  </si>
  <si>
    <t>五色糙米</t>
  </si>
  <si>
    <t>惠万家烟鸭胸</t>
  </si>
  <si>
    <t>5公斤/件/（32个）</t>
  </si>
  <si>
    <t>红皮洋葱</t>
  </si>
  <si>
    <t>青杭椒</t>
  </si>
  <si>
    <t>公螃蟹（4两）</t>
  </si>
  <si>
    <t>只</t>
  </si>
  <si>
    <t>神舟雪花鸡柳</t>
  </si>
  <si>
    <t>900g/袋</t>
  </si>
  <si>
    <t>芝麻酱</t>
  </si>
  <si>
    <t>云南蜜桔</t>
  </si>
  <si>
    <t>清水笋丝</t>
  </si>
  <si>
    <t>2.5kg*6包/件</t>
  </si>
  <si>
    <t>坛坛乡剁椒1.15kg</t>
  </si>
  <si>
    <t>1.15kg*6瓶/件</t>
  </si>
  <si>
    <t>卤牛骨头</t>
  </si>
  <si>
    <t>青椒</t>
  </si>
  <si>
    <t>小白菜</t>
  </si>
  <si>
    <t>【鲜】基围虾</t>
  </si>
  <si>
    <t>鑫石羊郫县豆瓣酱1kg</t>
  </si>
  <si>
    <t>1kg*8桶/件</t>
  </si>
  <si>
    <t>紫薯</t>
  </si>
  <si>
    <t>【鲜】净黄骨鱼</t>
  </si>
  <si>
    <t>苏北大米</t>
  </si>
  <si>
    <t>20kg/袋</t>
  </si>
  <si>
    <t>燕麦片</t>
  </si>
  <si>
    <t>顺发鸡翅中</t>
  </si>
  <si>
    <t>1kg*10袋/件</t>
  </si>
  <si>
    <t>福达坊芝麻香油</t>
  </si>
  <si>
    <t>360ml*12瓶</t>
  </si>
  <si>
    <t>干莲子米（去芯）</t>
  </si>
  <si>
    <t>卤香干</t>
  </si>
  <si>
    <t>橙子</t>
  </si>
  <si>
    <t>【鲜】筒子骨</t>
  </si>
  <si>
    <t>安卓中号蛋挞皮 20g*60个*5袋/件</t>
  </si>
  <si>
    <t>白芝麻</t>
  </si>
  <si>
    <t>鑫怡久久海带头</t>
  </si>
  <si>
    <t>9KG/件</t>
  </si>
  <si>
    <t>红米</t>
  </si>
  <si>
    <t>39号食堂</t>
  </si>
  <si>
    <t>日期</t>
  </si>
  <si>
    <t>单1</t>
  </si>
  <si>
    <t>合计</t>
  </si>
</sst>
</file>

<file path=xl/styles.xml><?xml version="1.0" encoding="utf-8"?>
<styleSheet xmlns="http://schemas.openxmlformats.org/spreadsheetml/2006/main">
  <numFmts count="6">
    <numFmt numFmtId="0" formatCode="General"/>
    <numFmt numFmtId="14" formatCode="yyyy/m/d"/>
    <numFmt numFmtId="164" formatCode="0.0_ "/>
    <numFmt numFmtId="9" formatCode="0%"/>
    <numFmt numFmtId="165" formatCode="0.00_ "/>
    <numFmt numFmtId="166" formatCode="[DBNum2][$RMB]General;[Red][DBNum2][$RMB]General"/>
  </numFmts>
  <fonts count="5">
    <font>
      <name val="宋体"/>
      <sz val="11"/>
    </font>
    <font>
      <name val="宋体"/>
      <charset val="134"/>
      <sz val="11"/>
      <color rgb="FF000000"/>
    </font>
    <font>
      <name val="宋体"/>
      <charset val="134"/>
      <sz val="16"/>
      <color rgb="FF000000"/>
    </font>
    <font>
      <name val="宋体"/>
      <charset val="134"/>
      <sz val="11"/>
    </font>
    <font>
      <name val="宋体"/>
      <charset val="134"/>
      <sz val="11"/>
      <color rgb="FF000000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14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165" fontId="3" fillId="0" borderId="1" xfId="0" applyNumberFormat="1" applyFont="1" applyFill="1" applyBorder="1" applyAlignment="1">
      <alignment horizontal="center" vertical="center"/>
    </xf>
    <xf numFmtId="164" fontId="1" fillId="0" borderId="2" xfId="0" applyNumberFormat="1" applyFont="1" applyFill="1" applyBorder="1" applyAlignment="1">
      <alignment horizontal="center" vertical="center"/>
    </xf>
    <xf numFmtId="164" fontId="1" fillId="0" borderId="3" xfId="0" applyNumberFormat="1" applyFont="1" applyFill="1" applyBorder="1" applyAlignment="1">
      <alignment horizontal="center" vertical="center"/>
    </xf>
    <xf numFmtId="164" fontId="1" fillId="0" borderId="4" xfId="0" applyNumberFormat="1" applyFont="1" applyFill="1" applyBorder="1" applyAlignment="1">
      <alignment horizontal="center" vertical="center"/>
    </xf>
    <xf numFmtId="166" fontId="1" fillId="0" borderId="2" xfId="0" applyNumberFormat="1" applyFont="1" applyFill="1" applyBorder="1" applyAlignment="1">
      <alignment horizontal="center" vertical="center"/>
    </xf>
    <xf numFmtId="166" fontId="1" fillId="0" borderId="3" xfId="0" applyNumberFormat="1" applyFont="1" applyFill="1" applyBorder="1" applyAlignment="1">
      <alignment horizontal="center" vertical="center"/>
    </xf>
    <xf numFmtId="166" fontId="1" fillId="0" borderId="4" xfId="0" applyNumberFormat="1" applyFont="1" applyFill="1" applyBorder="1" applyAlignment="1">
      <alignment horizontal="center" vertical="center"/>
    </xf>
    <xf numFmtId="0" fontId="1" fillId="0" borderId="0" xfId="0" applyNumberFormat="1" applyFont="1" applyFill="1">
      <alignment vertical="center"/>
    </xf>
    <xf numFmtId="0" fontId="2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4" fillId="0" borderId="0" xfId="0" applyAlignment="1">
      <alignment horizontal="center" vertical="center"/>
    </xf>
    <xf numFmtId="14" fontId="4" fillId="0" borderId="0" xfId="0" applyNumberFormat="1">
      <alignment vertical="center"/>
    </xf>
  </cellXfs>
  <cellStyles count="1">
    <cellStyle name="常规" xfId="0" builtinId="0"/>
  </cellStyles>
  <dxfs count="6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www.wps.cn/officeDocument/2020/cellImage" Target="cellimages.xml"/><Relationship Id="rId25" Type="http://schemas.openxmlformats.org/officeDocument/2006/relationships/sharedStrings" Target="sharedStrings.xml"/><Relationship Id="rId26" Type="http://schemas.openxmlformats.org/officeDocument/2006/relationships/styles" Target="styles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34"/>
  <sheetViews>
    <sheetView workbookViewId="0" topLeftCell="A15">
      <selection activeCell="I15" sqref="I1:I1048576"/>
    </sheetView>
  </sheetViews>
  <sheetFormatPr defaultRowHeight="18.0" customHeight="1" defaultColWidth="11"/>
  <cols>
    <col min="1" max="1" customWidth="1" width="9.125" style="1"/>
    <col min="2" max="2" customWidth="1" width="19.25" style="1"/>
    <col min="3" max="3" customWidth="1" width="11.375" style="1"/>
    <col min="4" max="4" customWidth="1" width="5.9414062" style="1"/>
    <col min="5" max="5" customWidth="1" width="5.25" style="1"/>
    <col min="6" max="6" customWidth="1" width="8.0" style="1"/>
    <col min="7" max="7" customWidth="1" width="6.625" style="1"/>
    <col min="8" max="8" customWidth="1" width="7.875" style="1"/>
    <col min="9" max="9" customWidth="1" width="8.625" style="1"/>
    <col min="10" max="10" customWidth="1" width="7.375" style="1"/>
    <col min="11" max="16326" customWidth="1" width="11.6640625" style="1"/>
    <col min="16327" max="16327" customWidth="0" width="11.6640625" style="1"/>
    <col min="16328" max="16333" customWidth="0" width="11.0" style="1"/>
    <col min="16334" max="16384" customWidth="0" width="11.0" style="2"/>
  </cols>
  <sheetData>
    <row r="1" spans="8:8" s="1" ht="24.0" customFormat="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8:8" s="1" ht="8.0" customFormat="1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spans="8:8" s="1" ht="18.0" customFormat="1" customHeight="1">
      <c r="A3" s="1" t="s">
        <v>1</v>
      </c>
      <c r="B3" s="1" t="s">
        <v>2</v>
      </c>
    </row>
    <row r="4" spans="8:8" s="1" ht="18.0" customFormat="1" customHeight="1">
      <c r="A4" s="1" t="s">
        <v>3</v>
      </c>
      <c r="B4" s="4">
        <v>45231.0</v>
      </c>
      <c r="C4" s="4"/>
      <c r="D4" s="5"/>
      <c r="E4" s="5"/>
      <c r="F4" s="5"/>
      <c r="G4" s="5"/>
      <c r="H4" s="4"/>
      <c r="I4" s="4"/>
      <c r="J4" s="4"/>
    </row>
    <row r="5" spans="8:8" s="1" ht="18.0" customFormat="1" customHeight="1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</row>
    <row r="6" spans="8:8" s="1" ht="16.0" customFormat="1" customHeight="1">
      <c r="A6" s="6">
        <v>1.0</v>
      </c>
      <c r="B6" s="6" t="s">
        <v>14</v>
      </c>
      <c r="C6" s="6"/>
      <c r="D6" s="7" t="s">
        <v>15</v>
      </c>
      <c r="E6" s="7">
        <v>7.0</v>
      </c>
      <c r="F6" s="8">
        <f t="shared" si="0" ref="F6:F12">H6/0.85</f>
        <v>3.5294117647058822</v>
      </c>
      <c r="G6" s="9">
        <f t="shared" si="1" ref="G6:G12">H6/F6</f>
        <v>0.85</v>
      </c>
      <c r="H6" s="10">
        <v>3.0</v>
      </c>
      <c r="I6" s="10">
        <f t="shared" si="2" ref="I6:I12">E6*H6</f>
        <v>21.0</v>
      </c>
      <c r="J6" s="6"/>
    </row>
    <row r="7" spans="8:8" s="1" ht="16.0" customFormat="1" customHeight="1">
      <c r="A7" s="6">
        <v>2.0</v>
      </c>
      <c r="B7" s="6" t="s">
        <v>16</v>
      </c>
      <c r="C7" s="6"/>
      <c r="D7" s="7" t="s">
        <v>15</v>
      </c>
      <c r="E7" s="7">
        <v>5.0</v>
      </c>
      <c r="F7" s="8">
        <f t="shared" si="0"/>
        <v>4.11764705882353</v>
      </c>
      <c r="G7" s="9">
        <f t="shared" si="1"/>
        <v>0.8499999999999999</v>
      </c>
      <c r="H7" s="10">
        <v>3.5</v>
      </c>
      <c r="I7" s="10">
        <f t="shared" si="2"/>
        <v>17.5</v>
      </c>
      <c r="J7" s="6"/>
    </row>
    <row r="8" spans="8:8" s="1" ht="16.0" customFormat="1" customHeight="1">
      <c r="A8" s="6">
        <v>3.0</v>
      </c>
      <c r="B8" s="6" t="s">
        <v>17</v>
      </c>
      <c r="C8" s="6"/>
      <c r="D8" s="7" t="s">
        <v>15</v>
      </c>
      <c r="E8" s="7">
        <v>5.0</v>
      </c>
      <c r="F8" s="8">
        <f t="shared" si="0"/>
        <v>4.11764705882353</v>
      </c>
      <c r="G8" s="9">
        <f t="shared" si="1"/>
        <v>0.8499999999999999</v>
      </c>
      <c r="H8" s="10">
        <v>3.5</v>
      </c>
      <c r="I8" s="10">
        <f t="shared" si="2"/>
        <v>17.5</v>
      </c>
      <c r="J8" s="6"/>
    </row>
    <row r="9" spans="8:8" s="1" ht="16.0" customFormat="1" customHeight="1">
      <c r="A9" s="6">
        <v>4.0</v>
      </c>
      <c r="B9" s="11" t="s">
        <v>18</v>
      </c>
      <c r="C9" s="11"/>
      <c r="D9" s="7" t="s">
        <v>15</v>
      </c>
      <c r="E9" s="7">
        <v>4.0</v>
      </c>
      <c r="F9" s="8">
        <f t="shared" si="0"/>
        <v>7.0588235294117645</v>
      </c>
      <c r="G9" s="9">
        <f t="shared" si="1"/>
        <v>0.85</v>
      </c>
      <c r="H9" s="10">
        <v>6.0</v>
      </c>
      <c r="I9" s="10">
        <f t="shared" si="2"/>
        <v>24.0</v>
      </c>
      <c r="J9" s="6"/>
    </row>
    <row r="10" spans="8:8" s="1" ht="16.0" customFormat="1" customHeight="1">
      <c r="A10" s="6">
        <v>5.0</v>
      </c>
      <c r="B10" s="11" t="s">
        <v>19</v>
      </c>
      <c r="C10" s="11"/>
      <c r="D10" s="7" t="s">
        <v>15</v>
      </c>
      <c r="E10" s="7">
        <v>13.0</v>
      </c>
      <c r="F10" s="8">
        <f t="shared" si="0"/>
        <v>2.9411764705882355</v>
      </c>
      <c r="G10" s="9">
        <f t="shared" si="1"/>
        <v>0.85</v>
      </c>
      <c r="H10" s="10">
        <v>2.5</v>
      </c>
      <c r="I10" s="10">
        <f t="shared" si="2"/>
        <v>32.5</v>
      </c>
      <c r="J10" s="6"/>
    </row>
    <row r="11" spans="8:8" s="1" ht="16.0" customFormat="1" customHeight="1">
      <c r="A11" s="6">
        <v>6.0</v>
      </c>
      <c r="B11" s="6" t="s">
        <v>20</v>
      </c>
      <c r="C11" s="6"/>
      <c r="D11" s="7" t="s">
        <v>15</v>
      </c>
      <c r="E11" s="7">
        <v>18.0</v>
      </c>
      <c r="F11" s="8">
        <f t="shared" si="0"/>
        <v>4.11764705882353</v>
      </c>
      <c r="G11" s="9">
        <f t="shared" si="1"/>
        <v>0.8499999999999999</v>
      </c>
      <c r="H11" s="10">
        <v>3.5</v>
      </c>
      <c r="I11" s="10">
        <f t="shared" si="2"/>
        <v>63.0</v>
      </c>
      <c r="J11" s="6"/>
    </row>
    <row r="12" spans="8:8" s="1" ht="16.0" customFormat="1" customHeight="1">
      <c r="A12" s="6">
        <v>7.0</v>
      </c>
      <c r="B12" s="6" t="s">
        <v>21</v>
      </c>
      <c r="C12" s="6"/>
      <c r="D12" s="7" t="s">
        <v>15</v>
      </c>
      <c r="E12" s="7">
        <v>4.0</v>
      </c>
      <c r="F12" s="8">
        <f t="shared" si="0"/>
        <v>2.9411764705882355</v>
      </c>
      <c r="G12" s="9">
        <f t="shared" si="1"/>
        <v>0.85</v>
      </c>
      <c r="H12" s="10">
        <v>2.5</v>
      </c>
      <c r="I12" s="10">
        <f t="shared" si="2"/>
        <v>10.0</v>
      </c>
      <c r="J12" s="6"/>
    </row>
    <row r="13" spans="8:8" s="1" ht="16.0" customFormat="1" customHeight="1">
      <c r="A13" s="6">
        <v>8.0</v>
      </c>
      <c r="B13" s="6" t="s">
        <v>22</v>
      </c>
      <c r="C13" s="6"/>
      <c r="D13" s="7" t="s">
        <v>23</v>
      </c>
      <c r="E13" s="7">
        <v>16.0</v>
      </c>
      <c r="F13" s="8">
        <f t="shared" si="3" ref="F13:F23">H13/0.85</f>
        <v>3.5294117647058822</v>
      </c>
      <c r="G13" s="9">
        <f t="shared" si="4" ref="G13:G23">H13/F13</f>
        <v>0.85</v>
      </c>
      <c r="H13" s="10">
        <v>3.0</v>
      </c>
      <c r="I13" s="10">
        <f t="shared" si="5" ref="I13:I23">E13*H13</f>
        <v>48.0</v>
      </c>
      <c r="J13" s="6"/>
    </row>
    <row r="14" spans="8:8" s="1" ht="16.0" customFormat="1" customHeight="1">
      <c r="A14" s="6">
        <v>9.0</v>
      </c>
      <c r="B14" s="11" t="s">
        <v>24</v>
      </c>
      <c r="C14" s="11"/>
      <c r="D14" s="12" t="s">
        <v>15</v>
      </c>
      <c r="E14" s="12">
        <v>14.0</v>
      </c>
      <c r="F14" s="8">
        <f t="shared" si="3"/>
        <v>6.823529411764706</v>
      </c>
      <c r="G14" s="9">
        <f t="shared" si="4"/>
        <v>0.85</v>
      </c>
      <c r="H14" s="10">
        <v>5.8</v>
      </c>
      <c r="I14" s="10">
        <f t="shared" si="5"/>
        <v>81.2</v>
      </c>
      <c r="J14" s="11"/>
    </row>
    <row r="15" spans="8:8" s="1" ht="16.0" customFormat="1" customHeight="1">
      <c r="A15" s="6">
        <v>10.0</v>
      </c>
      <c r="B15" s="11" t="s">
        <v>25</v>
      </c>
      <c r="C15" s="11"/>
      <c r="D15" s="12" t="s">
        <v>15</v>
      </c>
      <c r="E15" s="12">
        <v>5.0</v>
      </c>
      <c r="F15" s="8">
        <f t="shared" si="3"/>
        <v>9.176470588235293</v>
      </c>
      <c r="G15" s="9">
        <f t="shared" si="4"/>
        <v>0.8500000000000001</v>
      </c>
      <c r="H15" s="10">
        <v>7.8</v>
      </c>
      <c r="I15" s="10">
        <f t="shared" si="5"/>
        <v>39.0</v>
      </c>
      <c r="J15" s="11"/>
    </row>
    <row r="16" spans="8:8" s="1" ht="16.0" customFormat="1" customHeight="1">
      <c r="A16" s="6">
        <v>11.0</v>
      </c>
      <c r="B16" s="11" t="s">
        <v>26</v>
      </c>
      <c r="C16" s="11"/>
      <c r="D16" s="12" t="s">
        <v>15</v>
      </c>
      <c r="E16" s="12">
        <v>3.0</v>
      </c>
      <c r="F16" s="8">
        <f t="shared" si="3"/>
        <v>16.23529411764706</v>
      </c>
      <c r="G16" s="9">
        <f t="shared" si="4"/>
        <v>0.8499999999999999</v>
      </c>
      <c r="H16" s="10">
        <v>13.8</v>
      </c>
      <c r="I16" s="10">
        <f t="shared" si="5"/>
        <v>41.400000000000006</v>
      </c>
      <c r="J16" s="11"/>
    </row>
    <row r="17" spans="8:8" s="1" ht="16.0" customFormat="1" customHeight="1">
      <c r="A17" s="6">
        <v>12.0</v>
      </c>
      <c r="B17" s="11" t="s">
        <v>27</v>
      </c>
      <c r="C17" s="11"/>
      <c r="D17" s="12" t="s">
        <v>15</v>
      </c>
      <c r="E17" s="12">
        <v>15.0</v>
      </c>
      <c r="F17" s="8">
        <f t="shared" si="3"/>
        <v>22.941176470588236</v>
      </c>
      <c r="G17" s="9">
        <f t="shared" si="4"/>
        <v>0.85</v>
      </c>
      <c r="H17" s="10">
        <v>19.5</v>
      </c>
      <c r="I17" s="10">
        <f t="shared" si="5"/>
        <v>292.5</v>
      </c>
      <c r="J17" s="11"/>
    </row>
    <row r="18" spans="8:8" s="1" ht="16.0" customFormat="1" customHeight="1">
      <c r="A18" s="6">
        <v>13.0</v>
      </c>
      <c r="B18" s="11" t="s">
        <v>28</v>
      </c>
      <c r="C18" s="11"/>
      <c r="D18" s="12" t="s">
        <v>15</v>
      </c>
      <c r="E18" s="12">
        <v>2.0</v>
      </c>
      <c r="F18" s="8">
        <f t="shared" si="3"/>
        <v>16.23529411764706</v>
      </c>
      <c r="G18" s="9">
        <f t="shared" si="4"/>
        <v>0.8499999999999999</v>
      </c>
      <c r="H18" s="10">
        <v>13.8</v>
      </c>
      <c r="I18" s="10">
        <f t="shared" si="5"/>
        <v>27.6</v>
      </c>
      <c r="J18" s="11"/>
    </row>
    <row r="19" spans="8:8" s="1" ht="16.0" customFormat="1" customHeight="1">
      <c r="A19" s="6">
        <v>14.0</v>
      </c>
      <c r="B19" s="13" t="s">
        <v>29</v>
      </c>
      <c r="C19" s="6"/>
      <c r="D19" s="7" t="s">
        <v>15</v>
      </c>
      <c r="E19" s="7">
        <v>12.0</v>
      </c>
      <c r="F19" s="8">
        <f t="shared" si="3"/>
        <v>32.94117647058824</v>
      </c>
      <c r="G19" s="9">
        <f t="shared" si="4"/>
        <v>0.8499999999999999</v>
      </c>
      <c r="H19" s="10">
        <v>28.0</v>
      </c>
      <c r="I19" s="10">
        <f t="shared" si="5"/>
        <v>336.0</v>
      </c>
      <c r="J19" s="6"/>
    </row>
    <row r="20" spans="8:8" s="1" ht="16.0" customFormat="1" customHeight="1">
      <c r="A20" s="6">
        <v>15.0</v>
      </c>
      <c r="B20" s="11" t="s">
        <v>30</v>
      </c>
      <c r="C20" s="11" t="s">
        <v>31</v>
      </c>
      <c r="D20" s="12" t="s">
        <v>32</v>
      </c>
      <c r="E20" s="12">
        <v>2.0</v>
      </c>
      <c r="F20" s="8">
        <f t="shared" si="3"/>
        <v>411.7647058823529</v>
      </c>
      <c r="G20" s="9">
        <f t="shared" si="4"/>
        <v>0.85</v>
      </c>
      <c r="H20" s="10">
        <v>350.0</v>
      </c>
      <c r="I20" s="10">
        <f t="shared" si="5"/>
        <v>700.0</v>
      </c>
      <c r="J20" s="11"/>
    </row>
    <row r="21" spans="8:8" s="1" ht="16.0" customFormat="1" customHeight="1">
      <c r="A21" s="6">
        <v>16.0</v>
      </c>
      <c r="B21" s="11" t="s">
        <v>33</v>
      </c>
      <c r="C21" s="11" t="s">
        <v>34</v>
      </c>
      <c r="D21" s="12" t="s">
        <v>15</v>
      </c>
      <c r="E21" s="12">
        <v>4.0</v>
      </c>
      <c r="F21" s="8">
        <f t="shared" si="3"/>
        <v>5.764705882352942</v>
      </c>
      <c r="G21" s="9">
        <f t="shared" si="4"/>
        <v>0.85</v>
      </c>
      <c r="H21" s="10">
        <v>4.9</v>
      </c>
      <c r="I21" s="10">
        <f t="shared" si="5"/>
        <v>19.6</v>
      </c>
      <c r="J21" s="11"/>
    </row>
    <row r="22" spans="8:8" s="1" ht="16.0" customFormat="1" customHeight="1">
      <c r="A22" s="6">
        <v>17.0</v>
      </c>
      <c r="B22" s="11" t="s">
        <v>35</v>
      </c>
      <c r="C22" s="11"/>
      <c r="D22" s="12" t="s">
        <v>36</v>
      </c>
      <c r="E22" s="12">
        <v>50.0</v>
      </c>
      <c r="F22" s="8">
        <f t="shared" si="3"/>
        <v>4.11764705882353</v>
      </c>
      <c r="G22" s="9">
        <f t="shared" si="4"/>
        <v>0.8499999999999999</v>
      </c>
      <c r="H22" s="10">
        <v>3.5</v>
      </c>
      <c r="I22" s="10">
        <f t="shared" si="5"/>
        <v>175.0</v>
      </c>
      <c r="J22" s="11"/>
    </row>
    <row r="23" spans="8:8" s="1" ht="16.0" customFormat="1" customHeight="1">
      <c r="A23" s="6">
        <v>18.0</v>
      </c>
      <c r="B23" s="11"/>
      <c r="C23" s="11"/>
      <c r="D23" s="12"/>
      <c r="E23" s="12"/>
      <c r="F23" s="8"/>
      <c r="G23" s="9"/>
      <c r="H23" s="14"/>
      <c r="I23" s="10"/>
      <c r="J23" s="11"/>
    </row>
    <row r="24" spans="8:8" s="1" ht="16.0" customFormat="1" customHeight="1">
      <c r="A24" s="6">
        <v>19.0</v>
      </c>
      <c r="B24" s="11"/>
      <c r="C24" s="11"/>
      <c r="D24" s="12"/>
      <c r="E24" s="12"/>
      <c r="F24" s="8"/>
      <c r="G24" s="9"/>
      <c r="H24" s="14"/>
      <c r="I24" s="10"/>
      <c r="J24" s="11"/>
    </row>
    <row r="25" spans="8:8" s="1" ht="16.0" customFormat="1" customHeight="1">
      <c r="A25" s="6">
        <v>20.0</v>
      </c>
      <c r="B25" s="6"/>
      <c r="C25" s="6"/>
      <c r="D25" s="7"/>
      <c r="E25" s="7"/>
      <c r="F25" s="8"/>
      <c r="G25" s="9"/>
      <c r="H25" s="10"/>
      <c r="I25" s="10"/>
      <c r="J25" s="6"/>
    </row>
    <row r="26" spans="8:8" s="1" ht="16.0" customFormat="1" customHeight="1">
      <c r="A26" s="6">
        <v>21.0</v>
      </c>
      <c r="B26" s="11"/>
      <c r="C26" s="11"/>
      <c r="D26" s="7"/>
      <c r="E26" s="7"/>
      <c r="F26" s="8"/>
      <c r="G26" s="9"/>
      <c r="H26" s="10"/>
      <c r="I26" s="10"/>
      <c r="J26" s="6"/>
    </row>
    <row r="27" spans="8:8" s="1" ht="16.0" customFormat="1" customHeight="1">
      <c r="A27" s="6">
        <v>22.0</v>
      </c>
      <c r="B27" s="11"/>
      <c r="C27" s="11"/>
      <c r="D27" s="11"/>
      <c r="E27" s="12"/>
      <c r="F27" s="8"/>
      <c r="G27" s="9"/>
      <c r="H27" s="10"/>
      <c r="I27" s="10"/>
      <c r="J27" s="11"/>
    </row>
    <row r="28" spans="8:8" s="1" ht="16.0" customFormat="1" customHeight="1">
      <c r="A28" s="6">
        <v>23.0</v>
      </c>
      <c r="B28" s="6"/>
      <c r="C28" s="6"/>
      <c r="D28" s="11"/>
      <c r="E28" s="7"/>
      <c r="F28" s="8"/>
      <c r="G28" s="9"/>
      <c r="H28" s="10"/>
      <c r="I28" s="10"/>
      <c r="J28" s="6"/>
    </row>
    <row r="29" spans="8:8" s="1" ht="16.0" customFormat="1" customHeight="1">
      <c r="A29" s="6">
        <v>24.0</v>
      </c>
      <c r="B29" s="13"/>
      <c r="C29" s="6"/>
      <c r="D29" s="11"/>
      <c r="E29" s="7"/>
      <c r="F29" s="8"/>
      <c r="G29" s="9"/>
      <c r="H29" s="10"/>
      <c r="I29" s="10"/>
      <c r="J29" s="6"/>
    </row>
    <row r="30" spans="8:8" s="1" ht="16.0" customFormat="1" customHeight="1">
      <c r="A30" s="6">
        <v>25.0</v>
      </c>
      <c r="B30" s="6"/>
      <c r="C30" s="6"/>
      <c r="D30" s="6"/>
      <c r="E30" s="7"/>
      <c r="F30" s="8"/>
      <c r="G30" s="9"/>
      <c r="H30" s="10"/>
      <c r="I30" s="10"/>
      <c r="J30" s="6"/>
    </row>
    <row r="31" spans="8:8" s="1" ht="16.0" customFormat="1" customHeight="1">
      <c r="A31" s="6">
        <v>26.0</v>
      </c>
      <c r="B31" s="6"/>
      <c r="C31" s="6"/>
      <c r="D31" s="6"/>
      <c r="E31" s="7"/>
      <c r="F31" s="8"/>
      <c r="G31" s="9"/>
      <c r="H31" s="10"/>
      <c r="I31" s="10"/>
      <c r="J31" s="6"/>
    </row>
    <row r="32" spans="8:8" s="1" ht="18.0" customFormat="1" customHeight="1">
      <c r="A32" s="6" t="s">
        <v>37</v>
      </c>
      <c r="B32" s="15">
        <f>SUM(I6:I31)</f>
        <v>1945.8</v>
      </c>
      <c r="C32" s="16"/>
      <c r="D32" s="16"/>
      <c r="E32" s="16"/>
      <c r="F32" s="16"/>
      <c r="G32" s="16"/>
      <c r="H32" s="16"/>
      <c r="I32" s="16"/>
      <c r="J32" s="17"/>
    </row>
    <row r="33" spans="8:8" s="1" ht="18.0" customFormat="1" customHeight="1">
      <c r="A33" s="6" t="s">
        <v>38</v>
      </c>
      <c r="B33" s="18">
        <f>B32</f>
        <v>1945.8</v>
      </c>
      <c r="C33" s="19"/>
      <c r="D33" s="19"/>
      <c r="E33" s="19"/>
      <c r="F33" s="19"/>
      <c r="G33" s="19"/>
      <c r="H33" s="19"/>
      <c r="I33" s="19"/>
      <c r="J33" s="20"/>
    </row>
    <row r="34" spans="8:8" s="1" ht="18.0" customFormat="1" customHeight="1">
      <c r="A34" s="1" t="s">
        <v>39</v>
      </c>
    </row>
  </sheetData>
  <mergeCells count="4">
    <mergeCell ref="A1:J1"/>
    <mergeCell ref="B32:J32"/>
    <mergeCell ref="B33:J33"/>
    <mergeCell ref="A34:J34"/>
  </mergeCells>
  <conditionalFormatting sqref="B6:C25">
    <cfRule type="duplicateValues" priority="2" dxfId="0"/>
  </conditionalFormatting>
  <conditionalFormatting sqref="B6:B31">
    <cfRule type="duplicateValues" priority="1" dxfId="1"/>
  </conditionalFormatting>
  <pageMargins left="0.751388888888889" right="0.751388888888889" top="0.409027777777778" bottom="0.2125" header="0.5" footer="0.5"/>
  <pageSetup paperSize="9" scale="96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34"/>
  <sheetViews>
    <sheetView workbookViewId="0">
      <pane ySplit="5" topLeftCell="A23" state="frozen" activePane="bottomLeft"/>
      <selection pane="bottomLeft" activeCell="I2" sqref="I1:I1048576"/>
    </sheetView>
  </sheetViews>
  <sheetFormatPr defaultRowHeight="18.0" customHeight="1" defaultColWidth="11"/>
  <cols>
    <col min="1" max="1" customWidth="1" width="9.125" style="1"/>
    <col min="2" max="2" customWidth="1" width="19.25" style="1"/>
    <col min="3" max="3" customWidth="1" width="11.375" style="1"/>
    <col min="4" max="4" customWidth="1" width="5.9414062" style="1"/>
    <col min="5" max="5" customWidth="1" width="5.25" style="1"/>
    <col min="6" max="6" customWidth="1" width="8.0" style="1"/>
    <col min="7" max="7" customWidth="1" width="6.625" style="1"/>
    <col min="8" max="8" customWidth="1" width="7.875" style="1"/>
    <col min="9" max="9" customWidth="1" width="8.625" style="1"/>
    <col min="10" max="10" customWidth="1" width="7.375" style="1"/>
    <col min="11" max="16326" customWidth="1" width="11.6640625" style="1"/>
    <col min="16327" max="16327" customWidth="0" width="11.6640625" style="1"/>
    <col min="16328" max="16333" customWidth="0" width="11.0" style="1"/>
    <col min="16334" max="16384" customWidth="0" width="11.0" style="2"/>
  </cols>
  <sheetData>
    <row r="1" spans="8:8" s="1" ht="24.0" customFormat="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8:8" s="1" ht="8.0" customFormat="1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spans="8:8" s="1" ht="18.0" customFormat="1" customHeight="1">
      <c r="A3" s="1" t="s">
        <v>1</v>
      </c>
      <c r="B3" s="1" t="s">
        <v>2</v>
      </c>
    </row>
    <row r="4" spans="8:8" s="1" ht="18.0" customFormat="1" customHeight="1">
      <c r="A4" s="1" t="s">
        <v>3</v>
      </c>
      <c r="B4" s="4">
        <v>45232.0</v>
      </c>
      <c r="C4" s="4"/>
      <c r="D4" s="5"/>
      <c r="E4" s="5"/>
      <c r="F4" s="5"/>
      <c r="G4" s="5"/>
      <c r="H4" s="4"/>
      <c r="I4" s="4"/>
      <c r="J4" s="4"/>
    </row>
    <row r="5" spans="8:8" s="1" ht="18.0" customFormat="1" customHeight="1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</row>
    <row r="6" spans="8:8" s="1" ht="16.0" customFormat="1" customHeight="1">
      <c r="A6" s="6">
        <v>1.0</v>
      </c>
      <c r="B6" s="6" t="s">
        <v>16</v>
      </c>
      <c r="C6" s="6"/>
      <c r="D6" s="7" t="s">
        <v>15</v>
      </c>
      <c r="E6" s="7">
        <v>4.0</v>
      </c>
      <c r="F6" s="8">
        <f t="shared" si="0" ref="F6:F12">H6/0.85</f>
        <v>4.11764705882353</v>
      </c>
      <c r="G6" s="9">
        <f t="shared" si="1" ref="G6:G12">H6/F6</f>
        <v>0.8499999999999999</v>
      </c>
      <c r="H6" s="10">
        <v>3.5</v>
      </c>
      <c r="I6" s="10">
        <f t="shared" si="2" ref="I6:I12">E6*H6</f>
        <v>14.0</v>
      </c>
      <c r="J6" s="6"/>
    </row>
    <row r="7" spans="8:8" s="1" ht="16.0" customFormat="1" customHeight="1">
      <c r="A7" s="6">
        <v>2.0</v>
      </c>
      <c r="B7" s="6" t="s">
        <v>17</v>
      </c>
      <c r="C7" s="6"/>
      <c r="D7" s="7" t="s">
        <v>15</v>
      </c>
      <c r="E7" s="7">
        <v>2.0</v>
      </c>
      <c r="F7" s="8">
        <f t="shared" si="0"/>
        <v>4.11764705882353</v>
      </c>
      <c r="G7" s="9">
        <f t="shared" si="1"/>
        <v>0.8499999999999999</v>
      </c>
      <c r="H7" s="10">
        <v>3.5</v>
      </c>
      <c r="I7" s="10">
        <f t="shared" si="2"/>
        <v>7.0</v>
      </c>
      <c r="J7" s="6"/>
    </row>
    <row r="8" spans="8:8" s="1" ht="16.0" customFormat="1" customHeight="1">
      <c r="A8" s="6">
        <v>3.0</v>
      </c>
      <c r="B8" s="6" t="s">
        <v>40</v>
      </c>
      <c r="C8" s="6"/>
      <c r="D8" s="7" t="s">
        <v>15</v>
      </c>
      <c r="E8" s="7">
        <v>5.0</v>
      </c>
      <c r="F8" s="8">
        <f t="shared" si="0"/>
        <v>15.058823529411766</v>
      </c>
      <c r="G8" s="9">
        <f t="shared" si="1"/>
        <v>0.85</v>
      </c>
      <c r="H8" s="10">
        <v>12.8</v>
      </c>
      <c r="I8" s="10">
        <f t="shared" si="2"/>
        <v>64.0</v>
      </c>
      <c r="J8" s="6"/>
    </row>
    <row r="9" spans="8:8" s="1" ht="16.0" customFormat="1" customHeight="1">
      <c r="A9" s="6">
        <v>4.0</v>
      </c>
      <c r="B9" s="11" t="s">
        <v>41</v>
      </c>
      <c r="C9" s="11"/>
      <c r="D9" s="7" t="s">
        <v>15</v>
      </c>
      <c r="E9" s="7">
        <v>2.0</v>
      </c>
      <c r="F9" s="8">
        <f t="shared" si="0"/>
        <v>8.0</v>
      </c>
      <c r="G9" s="9">
        <f t="shared" si="1"/>
        <v>0.85</v>
      </c>
      <c r="H9" s="10">
        <v>6.8</v>
      </c>
      <c r="I9" s="10">
        <f t="shared" si="2"/>
        <v>13.6</v>
      </c>
      <c r="J9" s="6"/>
    </row>
    <row r="10" spans="8:8" s="1" ht="16.0" customFormat="1" customHeight="1">
      <c r="A10" s="6">
        <v>5.0</v>
      </c>
      <c r="B10" s="11" t="s">
        <v>42</v>
      </c>
      <c r="C10" s="11"/>
      <c r="D10" s="7" t="s">
        <v>15</v>
      </c>
      <c r="E10" s="7">
        <v>6.0</v>
      </c>
      <c r="F10" s="8">
        <f t="shared" si="0"/>
        <v>21.176470588235293</v>
      </c>
      <c r="G10" s="9">
        <f t="shared" si="1"/>
        <v>0.85</v>
      </c>
      <c r="H10" s="10">
        <v>18.0</v>
      </c>
      <c r="I10" s="10">
        <f t="shared" si="2"/>
        <v>108.0</v>
      </c>
      <c r="J10" s="6"/>
    </row>
    <row r="11" spans="8:8" s="1" ht="16.0" customFormat="1" customHeight="1">
      <c r="A11" s="6">
        <v>6.0</v>
      </c>
      <c r="B11" s="6" t="s">
        <v>43</v>
      </c>
      <c r="C11" s="6"/>
      <c r="D11" s="7" t="s">
        <v>15</v>
      </c>
      <c r="E11" s="7">
        <v>3.0</v>
      </c>
      <c r="F11" s="8">
        <f t="shared" si="0"/>
        <v>2.3529411764705883</v>
      </c>
      <c r="G11" s="9">
        <f t="shared" si="1"/>
        <v>0.85</v>
      </c>
      <c r="H11" s="10">
        <v>2.0</v>
      </c>
      <c r="I11" s="10">
        <f t="shared" si="2"/>
        <v>6.0</v>
      </c>
      <c r="J11" s="6"/>
    </row>
    <row r="12" spans="8:8" s="1" ht="16.0" customFormat="1" customHeight="1">
      <c r="A12" s="6">
        <v>7.0</v>
      </c>
      <c r="B12" s="6" t="s">
        <v>44</v>
      </c>
      <c r="C12" s="6"/>
      <c r="D12" s="7" t="s">
        <v>15</v>
      </c>
      <c r="E12" s="7">
        <v>15.0</v>
      </c>
      <c r="F12" s="8">
        <f t="shared" si="0"/>
        <v>5.294117647058823</v>
      </c>
      <c r="G12" s="9">
        <f t="shared" si="1"/>
        <v>0.85</v>
      </c>
      <c r="H12" s="10">
        <v>4.5</v>
      </c>
      <c r="I12" s="10">
        <f t="shared" si="2"/>
        <v>67.5</v>
      </c>
      <c r="J12" s="6"/>
    </row>
    <row r="13" spans="8:8" s="1" ht="16.0" customFormat="1" customHeight="1">
      <c r="A13" s="6">
        <v>8.0</v>
      </c>
      <c r="B13" s="6" t="s">
        <v>45</v>
      </c>
      <c r="C13" s="6"/>
      <c r="D13" s="7" t="s">
        <v>15</v>
      </c>
      <c r="E13" s="7">
        <v>13.0</v>
      </c>
      <c r="F13" s="8">
        <f t="shared" si="3" ref="F13:F22">H13/0.85</f>
        <v>5.294117647058823</v>
      </c>
      <c r="G13" s="9">
        <f t="shared" si="4" ref="G13:G22">H13/F13</f>
        <v>0.85</v>
      </c>
      <c r="H13" s="10">
        <v>4.5</v>
      </c>
      <c r="I13" s="10">
        <f t="shared" si="5" ref="I13:I22">E13*H13</f>
        <v>58.5</v>
      </c>
      <c r="J13" s="6"/>
    </row>
    <row r="14" spans="8:8" s="1" ht="16.0" customFormat="1" customHeight="1">
      <c r="A14" s="6">
        <v>9.0</v>
      </c>
      <c r="B14" s="11" t="s">
        <v>46</v>
      </c>
      <c r="C14" s="11"/>
      <c r="D14" s="12" t="s">
        <v>15</v>
      </c>
      <c r="E14" s="12">
        <v>18.0</v>
      </c>
      <c r="F14" s="8">
        <f t="shared" si="3"/>
        <v>4.11764705882353</v>
      </c>
      <c r="G14" s="9">
        <f t="shared" si="4"/>
        <v>0.8499999999999999</v>
      </c>
      <c r="H14" s="10">
        <v>3.5</v>
      </c>
      <c r="I14" s="10">
        <f t="shared" si="5"/>
        <v>63.0</v>
      </c>
      <c r="J14" s="11"/>
    </row>
    <row r="15" spans="8:8" s="1" ht="16.0" customFormat="1" customHeight="1">
      <c r="A15" s="6">
        <v>10.0</v>
      </c>
      <c r="B15" s="11" t="s">
        <v>47</v>
      </c>
      <c r="C15" s="11"/>
      <c r="D15" s="12" t="s">
        <v>15</v>
      </c>
      <c r="E15" s="12">
        <v>22.3</v>
      </c>
      <c r="F15" s="8">
        <f t="shared" si="3"/>
        <v>17.411764705882355</v>
      </c>
      <c r="G15" s="9">
        <f t="shared" si="4"/>
        <v>0.85</v>
      </c>
      <c r="H15" s="10">
        <v>14.8</v>
      </c>
      <c r="I15" s="10">
        <f t="shared" si="5"/>
        <v>330.04</v>
      </c>
      <c r="J15" s="11"/>
    </row>
    <row r="16" spans="8:8" s="1" ht="16.0" customFormat="1" customHeight="1">
      <c r="A16" s="6">
        <v>11.0</v>
      </c>
      <c r="B16" s="11" t="s">
        <v>48</v>
      </c>
      <c r="C16" s="11"/>
      <c r="D16" s="12" t="s">
        <v>15</v>
      </c>
      <c r="E16" s="12">
        <v>5.0</v>
      </c>
      <c r="F16" s="8">
        <f t="shared" si="3"/>
        <v>16.23529411764706</v>
      </c>
      <c r="G16" s="9">
        <f t="shared" si="4"/>
        <v>0.8499999999999999</v>
      </c>
      <c r="H16" s="10">
        <v>13.8</v>
      </c>
      <c r="I16" s="10">
        <f t="shared" si="5"/>
        <v>69.0</v>
      </c>
      <c r="J16" s="11"/>
    </row>
    <row r="17" spans="8:8" s="1" ht="16.0" customFormat="1" customHeight="1">
      <c r="A17" s="6">
        <v>12.0</v>
      </c>
      <c r="B17" s="11" t="s">
        <v>49</v>
      </c>
      <c r="C17" s="11" t="s">
        <v>50</v>
      </c>
      <c r="D17" s="12" t="s">
        <v>51</v>
      </c>
      <c r="E17" s="12">
        <v>15.0</v>
      </c>
      <c r="F17" s="8">
        <f t="shared" si="3"/>
        <v>25.88235294117647</v>
      </c>
      <c r="G17" s="9">
        <f t="shared" si="4"/>
        <v>0.85</v>
      </c>
      <c r="H17" s="10">
        <v>22.0</v>
      </c>
      <c r="I17" s="10">
        <f t="shared" si="5"/>
        <v>330.0</v>
      </c>
      <c r="J17" s="11"/>
    </row>
    <row r="18" spans="8:8" s="1" ht="16.0" customFormat="1" customHeight="1">
      <c r="A18" s="6">
        <v>13.0</v>
      </c>
      <c r="B18" s="11" t="s">
        <v>52</v>
      </c>
      <c r="C18" s="11"/>
      <c r="D18" s="12" t="s">
        <v>53</v>
      </c>
      <c r="E18" s="12">
        <v>7.0</v>
      </c>
      <c r="F18" s="8">
        <f t="shared" si="3"/>
        <v>11.529411764705884</v>
      </c>
      <c r="G18" s="9">
        <f t="shared" si="4"/>
        <v>0.85</v>
      </c>
      <c r="H18" s="10">
        <v>9.8</v>
      </c>
      <c r="I18" s="10">
        <f t="shared" si="5"/>
        <v>68.60000000000001</v>
      </c>
      <c r="J18" s="11"/>
    </row>
    <row r="19" spans="8:8" s="1" ht="16.0" customFormat="1" customHeight="1">
      <c r="A19" s="6">
        <v>14.0</v>
      </c>
      <c r="B19" s="6" t="s">
        <v>54</v>
      </c>
      <c r="C19" s="6" t="s">
        <v>55</v>
      </c>
      <c r="D19" s="7" t="s">
        <v>53</v>
      </c>
      <c r="E19" s="7">
        <v>5.0</v>
      </c>
      <c r="F19" s="8">
        <f t="shared" si="3"/>
        <v>3.2941176470588234</v>
      </c>
      <c r="G19" s="9">
        <f t="shared" si="4"/>
        <v>0.85</v>
      </c>
      <c r="H19" s="10">
        <v>2.8</v>
      </c>
      <c r="I19" s="10">
        <f t="shared" si="5"/>
        <v>14.0</v>
      </c>
      <c r="J19" s="6"/>
    </row>
    <row r="20" spans="8:8" s="1" ht="16.0" customFormat="1" customHeight="1">
      <c r="A20" s="6">
        <v>15.0</v>
      </c>
      <c r="B20" s="11" t="s">
        <v>56</v>
      </c>
      <c r="C20" s="11" t="s">
        <v>57</v>
      </c>
      <c r="D20" s="12" t="s">
        <v>53</v>
      </c>
      <c r="E20" s="12">
        <v>2.0</v>
      </c>
      <c r="F20" s="8">
        <f t="shared" si="3"/>
        <v>205.88235294117646</v>
      </c>
      <c r="G20" s="9">
        <f t="shared" si="4"/>
        <v>0.85</v>
      </c>
      <c r="H20" s="10">
        <v>175.0</v>
      </c>
      <c r="I20" s="10">
        <f t="shared" si="5"/>
        <v>350.0</v>
      </c>
      <c r="J20" s="11"/>
    </row>
    <row r="21" spans="8:8" s="1" ht="16.0" customFormat="1" customHeight="1">
      <c r="A21" s="6">
        <v>16.0</v>
      </c>
      <c r="B21" s="11" t="s">
        <v>35</v>
      </c>
      <c r="C21" s="11"/>
      <c r="D21" s="12" t="s">
        <v>36</v>
      </c>
      <c r="E21" s="12">
        <v>55.0</v>
      </c>
      <c r="F21" s="8">
        <f t="shared" si="3"/>
        <v>4.11764705882353</v>
      </c>
      <c r="G21" s="9">
        <f t="shared" si="4"/>
        <v>0.8499999999999999</v>
      </c>
      <c r="H21" s="10">
        <v>3.5</v>
      </c>
      <c r="I21" s="10">
        <f t="shared" si="5"/>
        <v>192.5</v>
      </c>
      <c r="J21" s="11"/>
    </row>
    <row r="22" spans="8:8" s="1" ht="16.0" customFormat="1" customHeight="1">
      <c r="A22" s="6">
        <v>17.0</v>
      </c>
      <c r="B22" s="11"/>
      <c r="C22" s="11"/>
      <c r="D22" s="11"/>
      <c r="E22" s="12"/>
      <c r="F22" s="8"/>
      <c r="G22" s="9"/>
      <c r="H22" s="14"/>
      <c r="I22" s="10"/>
      <c r="J22" s="11"/>
    </row>
    <row r="23" spans="8:8" s="1" ht="16.0" customFormat="1" customHeight="1">
      <c r="A23" s="6">
        <v>18.0</v>
      </c>
      <c r="B23" s="11"/>
      <c r="C23" s="11"/>
      <c r="D23" s="12"/>
      <c r="E23" s="12"/>
      <c r="F23" s="8"/>
      <c r="G23" s="9"/>
      <c r="H23" s="14"/>
      <c r="I23" s="10"/>
      <c r="J23" s="11"/>
    </row>
    <row r="24" spans="8:8" s="1" ht="16.0" customFormat="1" customHeight="1">
      <c r="A24" s="6">
        <v>19.0</v>
      </c>
      <c r="B24" s="11"/>
      <c r="C24" s="11"/>
      <c r="D24" s="12"/>
      <c r="E24" s="12"/>
      <c r="F24" s="8"/>
      <c r="G24" s="9"/>
      <c r="H24" s="14"/>
      <c r="I24" s="10"/>
      <c r="J24" s="11"/>
    </row>
    <row r="25" spans="8:8" s="1" ht="16.0" customFormat="1" customHeight="1">
      <c r="A25" s="6">
        <v>20.0</v>
      </c>
      <c r="B25" s="6"/>
      <c r="C25" s="6"/>
      <c r="D25" s="7"/>
      <c r="E25" s="7"/>
      <c r="F25" s="8"/>
      <c r="G25" s="9"/>
      <c r="H25" s="10"/>
      <c r="I25" s="10"/>
      <c r="J25" s="6"/>
    </row>
    <row r="26" spans="8:8" s="1" ht="16.0" customFormat="1" customHeight="1">
      <c r="A26" s="6">
        <v>21.0</v>
      </c>
      <c r="B26" s="11"/>
      <c r="C26" s="11"/>
      <c r="D26" s="7"/>
      <c r="E26" s="7"/>
      <c r="F26" s="8"/>
      <c r="G26" s="9"/>
      <c r="H26" s="10"/>
      <c r="I26" s="10"/>
      <c r="J26" s="6"/>
    </row>
    <row r="27" spans="8:8" s="1" ht="16.0" customFormat="1" customHeight="1">
      <c r="A27" s="6">
        <v>22.0</v>
      </c>
      <c r="B27" s="11"/>
      <c r="C27" s="11"/>
      <c r="D27" s="11"/>
      <c r="E27" s="12"/>
      <c r="F27" s="8"/>
      <c r="G27" s="9"/>
      <c r="H27" s="10"/>
      <c r="I27" s="10"/>
      <c r="J27" s="11"/>
    </row>
    <row r="28" spans="8:8" s="1" ht="16.0" customFormat="1" customHeight="1">
      <c r="A28" s="6">
        <v>23.0</v>
      </c>
      <c r="B28" s="6"/>
      <c r="C28" s="6"/>
      <c r="D28" s="11"/>
      <c r="E28" s="7"/>
      <c r="F28" s="8"/>
      <c r="G28" s="9"/>
      <c r="H28" s="10"/>
      <c r="I28" s="10"/>
      <c r="J28" s="6"/>
    </row>
    <row r="29" spans="8:8" s="1" ht="16.0" customFormat="1" customHeight="1">
      <c r="A29" s="6">
        <v>24.0</v>
      </c>
      <c r="B29" s="13"/>
      <c r="C29" s="6"/>
      <c r="D29" s="11"/>
      <c r="E29" s="7"/>
      <c r="F29" s="8"/>
      <c r="G29" s="9"/>
      <c r="H29" s="10"/>
      <c r="I29" s="10"/>
      <c r="J29" s="6"/>
    </row>
    <row r="30" spans="8:8" s="1" ht="16.0" customFormat="1" customHeight="1">
      <c r="A30" s="6">
        <v>25.0</v>
      </c>
      <c r="B30" s="6"/>
      <c r="C30" s="6"/>
      <c r="D30" s="6"/>
      <c r="E30" s="7"/>
      <c r="F30" s="8"/>
      <c r="G30" s="9"/>
      <c r="H30" s="10"/>
      <c r="I30" s="10"/>
      <c r="J30" s="6"/>
    </row>
    <row r="31" spans="8:8" s="1" ht="16.0" customFormat="1" customHeight="1">
      <c r="A31" s="6">
        <v>26.0</v>
      </c>
      <c r="B31" s="6"/>
      <c r="C31" s="6"/>
      <c r="D31" s="6"/>
      <c r="E31" s="7"/>
      <c r="F31" s="8"/>
      <c r="G31" s="9"/>
      <c r="H31" s="10"/>
      <c r="I31" s="10"/>
      <c r="J31" s="6"/>
    </row>
    <row r="32" spans="8:8" s="1" ht="18.0" customFormat="1" customHeight="1">
      <c r="A32" s="6" t="s">
        <v>37</v>
      </c>
      <c r="B32" s="15">
        <f>SUM(I6:I31)</f>
        <v>1755.74</v>
      </c>
      <c r="C32" s="16"/>
      <c r="D32" s="16"/>
      <c r="E32" s="16"/>
      <c r="F32" s="16"/>
      <c r="G32" s="16"/>
      <c r="H32" s="16"/>
      <c r="I32" s="16"/>
      <c r="J32" s="17"/>
    </row>
    <row r="33" spans="8:8" s="1" ht="18.0" customFormat="1" customHeight="1">
      <c r="A33" s="6" t="s">
        <v>38</v>
      </c>
      <c r="B33" s="18">
        <f>B32</f>
        <v>1755.74</v>
      </c>
      <c r="C33" s="19"/>
      <c r="D33" s="19"/>
      <c r="E33" s="19"/>
      <c r="F33" s="19"/>
      <c r="G33" s="19"/>
      <c r="H33" s="19"/>
      <c r="I33" s="19"/>
      <c r="J33" s="20"/>
    </row>
    <row r="34" spans="8:8" s="1" ht="18.0" customFormat="1" customHeight="1">
      <c r="A34" s="1" t="s">
        <v>39</v>
      </c>
    </row>
  </sheetData>
  <mergeCells count="4">
    <mergeCell ref="A1:J1"/>
    <mergeCell ref="B32:J32"/>
    <mergeCell ref="B33:J33"/>
    <mergeCell ref="A34:J34"/>
  </mergeCells>
  <conditionalFormatting sqref="B6:C25">
    <cfRule type="duplicateValues" priority="2" dxfId="2"/>
  </conditionalFormatting>
  <conditionalFormatting sqref="B6:B31">
    <cfRule type="duplicateValues" priority="1" dxfId="3"/>
  </conditionalFormatting>
  <pageMargins left="0.751388888888889" right="0.751388888888889" top="0.409027777777778" bottom="0.2125" header="0.5" footer="0.5"/>
  <pageSetup paperSize="9" scale="96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36"/>
  <sheetViews>
    <sheetView workbookViewId="0" topLeftCell="A15">
      <selection activeCell="I15" sqref="I1:I1048576"/>
    </sheetView>
  </sheetViews>
  <sheetFormatPr defaultRowHeight="18.0" customHeight="1" defaultColWidth="11"/>
  <cols>
    <col min="1" max="1" customWidth="1" width="9.125" style="1"/>
    <col min="2" max="2" customWidth="1" width="19.25" style="1"/>
    <col min="3" max="3" customWidth="1" width="11.375" style="1"/>
    <col min="4" max="4" customWidth="1" width="5.9414062" style="1"/>
    <col min="5" max="5" customWidth="1" width="5.25" style="1"/>
    <col min="6" max="6" customWidth="1" width="8.0" style="1"/>
    <col min="7" max="7" customWidth="1" width="6.625" style="1"/>
    <col min="8" max="8" customWidth="1" width="7.875" style="1"/>
    <col min="9" max="9" customWidth="1" width="8.625" style="1"/>
    <col min="10" max="10" customWidth="1" width="7.375" style="1"/>
    <col min="11" max="16326" customWidth="1" width="11.6640625" style="1"/>
    <col min="16327" max="16327" customWidth="0" width="11.6640625" style="1"/>
    <col min="16328" max="16333" customWidth="0" width="11.0" style="1"/>
    <col min="16334" max="16384" customWidth="0" width="11.0" style="2"/>
  </cols>
  <sheetData>
    <row r="1" spans="8:8" s="1" ht="24.0" customFormat="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8:8" s="1" ht="8.0" customFormat="1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spans="8:8" s="1" ht="18.0" customFormat="1" customHeight="1">
      <c r="A3" s="1" t="s">
        <v>1</v>
      </c>
      <c r="B3" s="1" t="s">
        <v>2</v>
      </c>
    </row>
    <row r="4" spans="8:8" s="1" ht="18.0" customFormat="1" customHeight="1">
      <c r="A4" s="1" t="s">
        <v>3</v>
      </c>
      <c r="B4" s="4">
        <v>45233.0</v>
      </c>
      <c r="C4" s="4"/>
      <c r="D4" s="5"/>
      <c r="E4" s="5"/>
      <c r="F4" s="5"/>
      <c r="G4" s="5"/>
      <c r="H4" s="4"/>
      <c r="I4" s="4"/>
      <c r="J4" s="4"/>
    </row>
    <row r="5" spans="8:8" s="1" ht="18.0" customFormat="1" customHeight="1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</row>
    <row r="6" spans="8:8" s="1" ht="16.0" customFormat="1" customHeight="1">
      <c r="A6" s="6">
        <v>1.0</v>
      </c>
      <c r="B6" s="6" t="s">
        <v>14</v>
      </c>
      <c r="C6" s="6"/>
      <c r="D6" s="7" t="s">
        <v>15</v>
      </c>
      <c r="E6" s="7">
        <v>7.0</v>
      </c>
      <c r="F6" s="8">
        <f t="shared" si="0" ref="F6:F22">H6/0.85</f>
        <v>3.5294117647058822</v>
      </c>
      <c r="G6" s="9">
        <f t="shared" si="1" ref="G6:G22">H6/F6</f>
        <v>0.85</v>
      </c>
      <c r="H6" s="10">
        <v>3.0</v>
      </c>
      <c r="I6" s="10">
        <f t="shared" si="2" ref="I6:I22">E6*H6</f>
        <v>21.0</v>
      </c>
      <c r="J6" s="6"/>
    </row>
    <row r="7" spans="8:8" s="1" ht="16.0" customFormat="1" customHeight="1">
      <c r="A7" s="6">
        <v>2.0</v>
      </c>
      <c r="B7" s="6" t="s">
        <v>58</v>
      </c>
      <c r="C7" s="6" t="s">
        <v>59</v>
      </c>
      <c r="D7" s="7" t="s">
        <v>15</v>
      </c>
      <c r="E7" s="7">
        <v>6.0</v>
      </c>
      <c r="F7" s="8">
        <f t="shared" si="0"/>
        <v>4.11764705882353</v>
      </c>
      <c r="G7" s="9">
        <f t="shared" si="1"/>
        <v>0.8499999999999999</v>
      </c>
      <c r="H7" s="10">
        <v>3.5</v>
      </c>
      <c r="I7" s="10">
        <f t="shared" si="2"/>
        <v>21.0</v>
      </c>
      <c r="J7" s="6"/>
    </row>
    <row r="8" spans="8:8" s="1" ht="16.0" customFormat="1" customHeight="1">
      <c r="A8" s="6">
        <v>3.0</v>
      </c>
      <c r="B8" s="6" t="s">
        <v>60</v>
      </c>
      <c r="C8" s="6"/>
      <c r="D8" s="7" t="s">
        <v>15</v>
      </c>
      <c r="E8" s="7">
        <v>1.0</v>
      </c>
      <c r="F8" s="8">
        <f t="shared" si="0"/>
        <v>4.11764705882353</v>
      </c>
      <c r="G8" s="9">
        <f t="shared" si="1"/>
        <v>0.8499999999999999</v>
      </c>
      <c r="H8" s="10">
        <v>3.5</v>
      </c>
      <c r="I8" s="10">
        <f t="shared" si="2"/>
        <v>3.5</v>
      </c>
      <c r="J8" s="6"/>
    </row>
    <row r="9" spans="8:8" s="1" ht="16.0" customFormat="1" customHeight="1">
      <c r="A9" s="6">
        <v>4.0</v>
      </c>
      <c r="B9" s="11" t="s">
        <v>17</v>
      </c>
      <c r="C9" s="11"/>
      <c r="D9" s="7" t="s">
        <v>15</v>
      </c>
      <c r="E9" s="7">
        <v>3.0</v>
      </c>
      <c r="F9" s="8">
        <f t="shared" si="0"/>
        <v>4.11764705882353</v>
      </c>
      <c r="G9" s="9">
        <f t="shared" si="1"/>
        <v>0.8499999999999999</v>
      </c>
      <c r="H9" s="10">
        <v>3.5</v>
      </c>
      <c r="I9" s="10">
        <f t="shared" si="2"/>
        <v>10.5</v>
      </c>
      <c r="J9" s="6"/>
    </row>
    <row r="10" spans="8:8" s="1" ht="16.0" customFormat="1" customHeight="1">
      <c r="A10" s="6">
        <v>5.0</v>
      </c>
      <c r="B10" s="11" t="s">
        <v>61</v>
      </c>
      <c r="C10" s="11"/>
      <c r="D10" s="7" t="s">
        <v>15</v>
      </c>
      <c r="E10" s="7">
        <v>6.0</v>
      </c>
      <c r="F10" s="8">
        <f t="shared" si="0"/>
        <v>10.0</v>
      </c>
      <c r="G10" s="9">
        <f t="shared" si="1"/>
        <v>0.85</v>
      </c>
      <c r="H10" s="10">
        <v>8.5</v>
      </c>
      <c r="I10" s="10">
        <f t="shared" si="2"/>
        <v>51.0</v>
      </c>
      <c r="J10" s="6"/>
    </row>
    <row r="11" spans="8:8" s="1" ht="16.0" customFormat="1" customHeight="1">
      <c r="A11" s="6">
        <v>6.0</v>
      </c>
      <c r="B11" s="6" t="s">
        <v>62</v>
      </c>
      <c r="C11" s="6"/>
      <c r="D11" s="7" t="s">
        <v>23</v>
      </c>
      <c r="E11" s="7">
        <v>8.0</v>
      </c>
      <c r="F11" s="8">
        <f t="shared" si="0"/>
        <v>3.5294117647058822</v>
      </c>
      <c r="G11" s="9">
        <f t="shared" si="1"/>
        <v>0.85</v>
      </c>
      <c r="H11" s="10">
        <v>3.0</v>
      </c>
      <c r="I11" s="10">
        <f t="shared" si="2"/>
        <v>24.0</v>
      </c>
      <c r="J11" s="6"/>
    </row>
    <row r="12" spans="8:8" s="1" ht="16.0" customFormat="1" customHeight="1">
      <c r="A12" s="6">
        <v>7.0</v>
      </c>
      <c r="B12" s="6" t="s">
        <v>63</v>
      </c>
      <c r="C12" s="6"/>
      <c r="D12" s="7" t="s">
        <v>15</v>
      </c>
      <c r="E12" s="7">
        <v>2.0</v>
      </c>
      <c r="F12" s="8">
        <f t="shared" si="0"/>
        <v>8.823529411764707</v>
      </c>
      <c r="G12" s="9">
        <f t="shared" si="1"/>
        <v>0.85</v>
      </c>
      <c r="H12" s="10">
        <v>7.5</v>
      </c>
      <c r="I12" s="10">
        <f t="shared" si="2"/>
        <v>15.0</v>
      </c>
      <c r="J12" s="6"/>
    </row>
    <row r="13" spans="8:8" s="1" ht="16.0" customFormat="1" customHeight="1">
      <c r="A13" s="6">
        <v>8.0</v>
      </c>
      <c r="B13" s="6" t="s">
        <v>64</v>
      </c>
      <c r="C13" s="6"/>
      <c r="D13" s="7" t="s">
        <v>15</v>
      </c>
      <c r="E13" s="7">
        <v>18.0</v>
      </c>
      <c r="F13" s="8">
        <f t="shared" si="0"/>
        <v>4.705882352941177</v>
      </c>
      <c r="G13" s="9">
        <f t="shared" si="1"/>
        <v>0.85</v>
      </c>
      <c r="H13" s="10">
        <v>4.0</v>
      </c>
      <c r="I13" s="10">
        <f t="shared" si="2"/>
        <v>72.0</v>
      </c>
      <c r="J13" s="6"/>
    </row>
    <row r="14" spans="8:8" s="1" ht="16.0" customFormat="1" customHeight="1">
      <c r="A14" s="6">
        <v>9.0</v>
      </c>
      <c r="B14" s="11" t="s">
        <v>65</v>
      </c>
      <c r="C14" s="11"/>
      <c r="D14" s="12" t="s">
        <v>15</v>
      </c>
      <c r="E14" s="12">
        <v>14.7</v>
      </c>
      <c r="F14" s="8">
        <f t="shared" si="0"/>
        <v>2.9411764705882355</v>
      </c>
      <c r="G14" s="9">
        <f t="shared" si="1"/>
        <v>0.85</v>
      </c>
      <c r="H14" s="10">
        <v>2.5</v>
      </c>
      <c r="I14" s="10">
        <f t="shared" si="2"/>
        <v>36.75</v>
      </c>
      <c r="J14" s="11"/>
    </row>
    <row r="15" spans="8:8" s="1" ht="16.0" customFormat="1" customHeight="1">
      <c r="A15" s="6">
        <v>10.0</v>
      </c>
      <c r="B15" s="11" t="s">
        <v>25</v>
      </c>
      <c r="C15" s="11"/>
      <c r="D15" s="12" t="s">
        <v>15</v>
      </c>
      <c r="E15" s="12">
        <v>7.0</v>
      </c>
      <c r="F15" s="8">
        <f t="shared" si="0"/>
        <v>9.176470588235293</v>
      </c>
      <c r="G15" s="9">
        <f t="shared" si="1"/>
        <v>0.8500000000000001</v>
      </c>
      <c r="H15" s="10">
        <v>7.8</v>
      </c>
      <c r="I15" s="10">
        <f t="shared" si="2"/>
        <v>54.6</v>
      </c>
      <c r="J15" s="11"/>
    </row>
    <row r="16" spans="8:8" s="1" ht="16.0" customFormat="1" customHeight="1">
      <c r="A16" s="6">
        <v>11.0</v>
      </c>
      <c r="B16" s="11" t="s">
        <v>66</v>
      </c>
      <c r="C16" s="11"/>
      <c r="D16" s="12" t="s">
        <v>15</v>
      </c>
      <c r="E16" s="12">
        <v>13.0</v>
      </c>
      <c r="F16" s="8">
        <f t="shared" si="0"/>
        <v>2.3529411764705883</v>
      </c>
      <c r="G16" s="9">
        <f t="shared" si="1"/>
        <v>0.85</v>
      </c>
      <c r="H16" s="10">
        <v>2.0</v>
      </c>
      <c r="I16" s="10">
        <f t="shared" si="2"/>
        <v>26.0</v>
      </c>
      <c r="J16" s="11"/>
    </row>
    <row r="17" spans="8:8" s="1" ht="16.0" customFormat="1" customHeight="1">
      <c r="A17" s="6">
        <v>12.0</v>
      </c>
      <c r="B17" s="11" t="s">
        <v>67</v>
      </c>
      <c r="C17" s="11" t="s">
        <v>68</v>
      </c>
      <c r="D17" s="12" t="s">
        <v>32</v>
      </c>
      <c r="E17" s="12">
        <v>1.0</v>
      </c>
      <c r="F17" s="8">
        <f t="shared" si="0"/>
        <v>352.94117647058823</v>
      </c>
      <c r="G17" s="9">
        <f t="shared" si="1"/>
        <v>0.85</v>
      </c>
      <c r="H17" s="10">
        <v>300.0</v>
      </c>
      <c r="I17" s="10">
        <f t="shared" si="2"/>
        <v>300.0</v>
      </c>
      <c r="J17" s="11"/>
    </row>
    <row r="18" spans="8:8" s="1" ht="16.0" customFormat="1" customHeight="1">
      <c r="A18" s="6">
        <v>13.0</v>
      </c>
      <c r="B18" s="13" t="s">
        <v>26</v>
      </c>
      <c r="C18" s="6"/>
      <c r="D18" s="7" t="s">
        <v>15</v>
      </c>
      <c r="E18" s="7">
        <v>2.0</v>
      </c>
      <c r="F18" s="8">
        <f t="shared" si="0"/>
        <v>16.23529411764706</v>
      </c>
      <c r="G18" s="9">
        <f t="shared" si="1"/>
        <v>0.8499999999999999</v>
      </c>
      <c r="H18" s="10">
        <v>13.8</v>
      </c>
      <c r="I18" s="10">
        <f t="shared" si="2"/>
        <v>27.6</v>
      </c>
      <c r="J18" s="11"/>
    </row>
    <row r="19" spans="8:8" s="1" ht="16.0" customFormat="1" customHeight="1">
      <c r="A19" s="6">
        <v>14.0</v>
      </c>
      <c r="B19" s="11" t="s">
        <v>28</v>
      </c>
      <c r="C19" s="11"/>
      <c r="D19" s="12" t="s">
        <v>15</v>
      </c>
      <c r="E19" s="12">
        <v>6.0</v>
      </c>
      <c r="F19" s="8">
        <f t="shared" si="0"/>
        <v>16.23529411764706</v>
      </c>
      <c r="G19" s="9">
        <f t="shared" si="1"/>
        <v>0.8499999999999999</v>
      </c>
      <c r="H19" s="10">
        <v>13.8</v>
      </c>
      <c r="I19" s="10">
        <f t="shared" si="2"/>
        <v>82.80000000000001</v>
      </c>
      <c r="J19" s="6"/>
    </row>
    <row r="20" spans="8:8" s="1" ht="16.0" customFormat="1" customHeight="1">
      <c r="A20" s="6">
        <v>15.0</v>
      </c>
      <c r="B20" s="11" t="s">
        <v>69</v>
      </c>
      <c r="C20" s="11"/>
      <c r="D20" s="12" t="s">
        <v>15</v>
      </c>
      <c r="E20" s="12">
        <v>5.0</v>
      </c>
      <c r="F20" s="8">
        <f t="shared" si="0"/>
        <v>23.529411764705884</v>
      </c>
      <c r="G20" s="9">
        <f t="shared" si="1"/>
        <v>0.85</v>
      </c>
      <c r="H20" s="10">
        <v>20.0</v>
      </c>
      <c r="I20" s="10">
        <f t="shared" si="2"/>
        <v>100.0</v>
      </c>
      <c r="J20" s="11"/>
    </row>
    <row r="21" spans="8:8" s="1" ht="16.0" customFormat="1" customHeight="1">
      <c r="A21" s="6">
        <v>16.0</v>
      </c>
      <c r="B21" s="11" t="s">
        <v>70</v>
      </c>
      <c r="C21" s="11"/>
      <c r="D21" s="12" t="s">
        <v>15</v>
      </c>
      <c r="E21" s="12">
        <v>8.0</v>
      </c>
      <c r="F21" s="8">
        <f t="shared" si="0"/>
        <v>19.764705882352942</v>
      </c>
      <c r="G21" s="9">
        <f t="shared" si="1"/>
        <v>0.85</v>
      </c>
      <c r="H21" s="10">
        <v>16.8</v>
      </c>
      <c r="I21" s="10">
        <f t="shared" si="2"/>
        <v>134.4</v>
      </c>
      <c r="J21" s="11"/>
    </row>
    <row r="22" spans="8:8" s="1" ht="16.0" customFormat="1" customHeight="1">
      <c r="A22" s="6">
        <v>17.0</v>
      </c>
      <c r="B22" s="11" t="s">
        <v>35</v>
      </c>
      <c r="C22" s="11"/>
      <c r="D22" s="11" t="s">
        <v>36</v>
      </c>
      <c r="E22" s="12">
        <v>50.0</v>
      </c>
      <c r="F22" s="8">
        <f t="shared" si="0"/>
        <v>4.11764705882353</v>
      </c>
      <c r="G22" s="9">
        <f t="shared" si="1"/>
        <v>0.8499999999999999</v>
      </c>
      <c r="H22" s="10">
        <v>3.5</v>
      </c>
      <c r="I22" s="10">
        <f t="shared" si="2"/>
        <v>175.0</v>
      </c>
      <c r="J22" s="11"/>
    </row>
    <row r="23" spans="8:8" s="1" ht="16.0" customFormat="1" customHeight="1">
      <c r="A23" s="6">
        <v>18.0</v>
      </c>
      <c r="B23" s="11"/>
      <c r="C23" s="11"/>
      <c r="D23" s="12"/>
      <c r="E23" s="12"/>
      <c r="F23" s="8"/>
      <c r="G23" s="9"/>
      <c r="H23" s="10"/>
      <c r="I23" s="10"/>
      <c r="J23" s="11"/>
    </row>
    <row r="24" spans="8:8" s="1" ht="16.0" customFormat="1" customHeight="1">
      <c r="A24" s="6">
        <v>19.0</v>
      </c>
      <c r="B24" s="11"/>
      <c r="C24" s="11"/>
      <c r="D24" s="12"/>
      <c r="E24" s="12"/>
      <c r="F24" s="8"/>
      <c r="G24" s="9"/>
      <c r="H24" s="14"/>
      <c r="I24" s="10"/>
      <c r="J24" s="11"/>
    </row>
    <row r="25" spans="8:8" s="1" ht="16.0" customFormat="1" customHeight="1">
      <c r="A25" s="6">
        <v>20.0</v>
      </c>
      <c r="B25" s="11"/>
      <c r="C25" s="11"/>
      <c r="D25" s="12"/>
      <c r="E25" s="12"/>
      <c r="F25" s="8"/>
      <c r="G25" s="9"/>
      <c r="H25" s="14"/>
      <c r="I25" s="10"/>
      <c r="J25" s="11"/>
    </row>
    <row r="26" spans="8:8" s="1" ht="16.0" customFormat="1" customHeight="1">
      <c r="A26" s="6">
        <v>21.0</v>
      </c>
      <c r="B26" s="6"/>
      <c r="C26" s="6"/>
      <c r="D26" s="7"/>
      <c r="E26" s="7"/>
      <c r="F26" s="8"/>
      <c r="G26" s="9"/>
      <c r="H26" s="10"/>
      <c r="I26" s="10"/>
      <c r="J26" s="6"/>
    </row>
    <row r="27" spans="8:8" s="1" ht="16.0" customFormat="1" customHeight="1">
      <c r="A27" s="6">
        <v>22.0</v>
      </c>
      <c r="B27" s="11"/>
      <c r="C27" s="11"/>
      <c r="D27" s="7"/>
      <c r="E27" s="7"/>
      <c r="F27" s="8"/>
      <c r="G27" s="9"/>
      <c r="H27" s="10"/>
      <c r="I27" s="10"/>
      <c r="J27" s="6"/>
    </row>
    <row r="28" spans="8:8" s="1" ht="16.0" customFormat="1" customHeight="1">
      <c r="A28" s="6">
        <v>23.0</v>
      </c>
      <c r="B28" s="11"/>
      <c r="C28" s="11"/>
      <c r="D28" s="11"/>
      <c r="E28" s="12"/>
      <c r="F28" s="8"/>
      <c r="G28" s="9"/>
      <c r="H28" s="10"/>
      <c r="I28" s="10"/>
      <c r="J28" s="11"/>
    </row>
    <row r="29" spans="8:8" s="1" ht="16.0" customFormat="1" customHeight="1">
      <c r="A29" s="6">
        <v>24.0</v>
      </c>
      <c r="B29" s="6"/>
      <c r="C29" s="6"/>
      <c r="D29" s="11"/>
      <c r="E29" s="7"/>
      <c r="F29" s="8"/>
      <c r="G29" s="9"/>
      <c r="H29" s="10"/>
      <c r="I29" s="10"/>
      <c r="J29" s="6"/>
    </row>
    <row r="30" spans="8:8" s="1" ht="16.0" customFormat="1" customHeight="1">
      <c r="A30" s="6">
        <v>25.0</v>
      </c>
      <c r="B30" s="13"/>
      <c r="C30" s="6"/>
      <c r="D30" s="11"/>
      <c r="E30" s="7"/>
      <c r="F30" s="8"/>
      <c r="G30" s="9"/>
      <c r="H30" s="10"/>
      <c r="I30" s="10"/>
      <c r="J30" s="6"/>
    </row>
    <row r="31" spans="8:8" s="1" ht="16.0" customFormat="1" customHeight="1">
      <c r="A31" s="6">
        <v>26.0</v>
      </c>
      <c r="B31" s="6"/>
      <c r="C31" s="6"/>
      <c r="D31" s="6"/>
      <c r="E31" s="7"/>
      <c r="F31" s="8"/>
      <c r="G31" s="9"/>
      <c r="H31" s="10"/>
      <c r="I31" s="10"/>
      <c r="J31" s="6"/>
    </row>
    <row r="32" spans="8:8" s="1" ht="16.0" customFormat="1" customHeight="1">
      <c r="A32" s="6">
        <v>27.0</v>
      </c>
      <c r="B32" s="6"/>
      <c r="C32" s="6"/>
      <c r="D32" s="6"/>
      <c r="E32" s="7"/>
      <c r="F32" s="8"/>
      <c r="G32" s="9"/>
      <c r="H32" s="10"/>
      <c r="I32" s="10"/>
      <c r="J32" s="6"/>
    </row>
    <row r="33" spans="8:8" s="1" ht="16.0" customFormat="1" customHeight="1">
      <c r="A33" s="6">
        <v>28.0</v>
      </c>
      <c r="B33" s="6"/>
      <c r="C33" s="6"/>
      <c r="D33" s="6"/>
      <c r="E33" s="7"/>
      <c r="F33" s="8"/>
      <c r="G33" s="9"/>
      <c r="H33" s="10"/>
      <c r="I33" s="10"/>
      <c r="J33" s="6"/>
    </row>
    <row r="34" spans="8:8" s="1" ht="18.0" customFormat="1" customHeight="1">
      <c r="A34" s="6" t="s">
        <v>37</v>
      </c>
      <c r="B34" s="15">
        <f>SUM(I6:I33)</f>
        <v>1155.15</v>
      </c>
      <c r="C34" s="16"/>
      <c r="D34" s="16"/>
      <c r="E34" s="16"/>
      <c r="F34" s="16"/>
      <c r="G34" s="16"/>
      <c r="H34" s="16"/>
      <c r="I34" s="16"/>
      <c r="J34" s="17"/>
    </row>
    <row r="35" spans="8:8" s="1" ht="18.0" customFormat="1" customHeight="1">
      <c r="A35" s="6" t="s">
        <v>38</v>
      </c>
      <c r="B35" s="18">
        <f>B34</f>
        <v>1155.15</v>
      </c>
      <c r="C35" s="19"/>
      <c r="D35" s="19"/>
      <c r="E35" s="19"/>
      <c r="F35" s="19"/>
      <c r="G35" s="19"/>
      <c r="H35" s="19"/>
      <c r="I35" s="19"/>
      <c r="J35" s="20"/>
    </row>
    <row r="36" spans="8:8" s="1" ht="18.0" customFormat="1" customHeight="1">
      <c r="A36" s="1" t="s">
        <v>39</v>
      </c>
    </row>
  </sheetData>
  <mergeCells count="4">
    <mergeCell ref="A1:J1"/>
    <mergeCell ref="B34:J34"/>
    <mergeCell ref="B35:J35"/>
    <mergeCell ref="A36:J36"/>
  </mergeCells>
  <conditionalFormatting sqref="B6:C26">
    <cfRule type="duplicateValues" priority="2" dxfId="4"/>
  </conditionalFormatting>
  <conditionalFormatting sqref="B6:B33">
    <cfRule type="duplicateValues" priority="1" dxfId="5"/>
  </conditionalFormatting>
  <pageMargins left="0.751388888888889" right="0.751388888888889" top="0.409027777777778" bottom="0.2125" header="0.5" footer="0.5"/>
  <pageSetup paperSize="9" scale="96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34"/>
  <sheetViews>
    <sheetView workbookViewId="0" topLeftCell="A12">
      <selection activeCell="I12" sqref="I1:I1048576"/>
    </sheetView>
  </sheetViews>
  <sheetFormatPr defaultRowHeight="18.0" customHeight="1" defaultColWidth="11"/>
  <cols>
    <col min="1" max="1" customWidth="1" width="9.125" style="1"/>
    <col min="2" max="2" customWidth="1" width="19.25" style="1"/>
    <col min="3" max="3" customWidth="1" width="11.375" style="1"/>
    <col min="4" max="4" customWidth="1" width="5.9414062" style="1"/>
    <col min="5" max="5" customWidth="1" width="5.25" style="1"/>
    <col min="6" max="6" customWidth="1" width="8.0" style="1"/>
    <col min="7" max="7" customWidth="1" width="6.625" style="1"/>
    <col min="8" max="8" customWidth="1" width="7.875" style="1"/>
    <col min="9" max="9" customWidth="1" width="8.625" style="1"/>
    <col min="10" max="10" customWidth="1" width="7.375" style="1"/>
    <col min="11" max="16326" customWidth="1" width="11.6640625" style="1"/>
    <col min="16327" max="16327" customWidth="0" width="11.6640625" style="1"/>
    <col min="16328" max="16333" customWidth="0" width="11.0" style="1"/>
    <col min="16334" max="16384" customWidth="0" width="11.0" style="2"/>
  </cols>
  <sheetData>
    <row r="1" spans="8:8" s="1" ht="24.0" customFormat="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8:8" s="1" ht="8.0" customFormat="1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spans="8:8" s="1" ht="18.0" customFormat="1" customHeight="1">
      <c r="A3" s="1" t="s">
        <v>1</v>
      </c>
      <c r="B3" s="1" t="s">
        <v>2</v>
      </c>
    </row>
    <row r="4" spans="8:8" s="1" ht="18.0" customFormat="1" customHeight="1">
      <c r="A4" s="1" t="s">
        <v>3</v>
      </c>
      <c r="B4" s="4">
        <v>45236.0</v>
      </c>
      <c r="C4" s="4"/>
      <c r="D4" s="5"/>
      <c r="E4" s="5"/>
      <c r="F4" s="5"/>
      <c r="G4" s="5"/>
      <c r="H4" s="4"/>
      <c r="I4" s="4"/>
      <c r="J4" s="4"/>
    </row>
    <row r="5" spans="8:8" s="1" ht="18.0" customFormat="1" customHeight="1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</row>
    <row r="6" spans="8:8" s="1" ht="16.0" customFormat="1" customHeight="1">
      <c r="A6" s="6">
        <v>1.0</v>
      </c>
      <c r="B6" s="6" t="s">
        <v>14</v>
      </c>
      <c r="C6" s="6"/>
      <c r="D6" s="7" t="s">
        <v>15</v>
      </c>
      <c r="E6" s="7">
        <v>7.0</v>
      </c>
      <c r="F6" s="8">
        <f t="shared" si="0" ref="F6:F14">H6/0.85</f>
        <v>3.5294117647058822</v>
      </c>
      <c r="G6" s="9">
        <f t="shared" si="1" ref="G6:G14">H6/F6</f>
        <v>0.85</v>
      </c>
      <c r="H6" s="10">
        <v>3.0</v>
      </c>
      <c r="I6" s="10">
        <f t="shared" si="2" ref="I6:I14">E6*H6</f>
        <v>21.0</v>
      </c>
      <c r="J6" s="6"/>
    </row>
    <row r="7" spans="8:8" s="1" ht="16.0" customFormat="1" customHeight="1">
      <c r="A7" s="6">
        <v>2.0</v>
      </c>
      <c r="B7" s="6" t="s">
        <v>71</v>
      </c>
      <c r="C7" s="6"/>
      <c r="D7" s="7" t="s">
        <v>15</v>
      </c>
      <c r="E7" s="7">
        <v>2.0</v>
      </c>
      <c r="F7" s="8">
        <f t="shared" si="0"/>
        <v>4.705882352941177</v>
      </c>
      <c r="G7" s="9">
        <f t="shared" si="1"/>
        <v>0.85</v>
      </c>
      <c r="H7" s="10">
        <v>4.0</v>
      </c>
      <c r="I7" s="10">
        <f t="shared" si="2"/>
        <v>8.0</v>
      </c>
      <c r="J7" s="6"/>
    </row>
    <row r="8" spans="8:8" s="1" ht="16.0" customFormat="1" customHeight="1">
      <c r="A8" s="6">
        <v>3.0</v>
      </c>
      <c r="B8" s="6" t="s">
        <v>60</v>
      </c>
      <c r="C8" s="6"/>
      <c r="D8" s="7" t="s">
        <v>15</v>
      </c>
      <c r="E8" s="7">
        <v>2.0</v>
      </c>
      <c r="F8" s="8">
        <f t="shared" si="0"/>
        <v>4.11764705882353</v>
      </c>
      <c r="G8" s="9">
        <f t="shared" si="1"/>
        <v>0.8499999999999999</v>
      </c>
      <c r="H8" s="10">
        <v>3.5</v>
      </c>
      <c r="I8" s="10">
        <f t="shared" si="2"/>
        <v>7.0</v>
      </c>
      <c r="J8" s="6"/>
    </row>
    <row r="9" spans="8:8" s="1" ht="16.0" customFormat="1" customHeight="1">
      <c r="A9" s="6">
        <v>4.0</v>
      </c>
      <c r="B9" s="11" t="s">
        <v>17</v>
      </c>
      <c r="C9" s="11"/>
      <c r="D9" s="7" t="s">
        <v>15</v>
      </c>
      <c r="E9" s="7">
        <v>5.0</v>
      </c>
      <c r="F9" s="8">
        <f t="shared" si="0"/>
        <v>4.11764705882353</v>
      </c>
      <c r="G9" s="9">
        <f t="shared" si="1"/>
        <v>0.8499999999999999</v>
      </c>
      <c r="H9" s="10">
        <v>3.5</v>
      </c>
      <c r="I9" s="10">
        <f t="shared" si="2"/>
        <v>17.5</v>
      </c>
      <c r="J9" s="6"/>
    </row>
    <row r="10" spans="8:8" s="1" ht="16.0" customFormat="1" customHeight="1">
      <c r="A10" s="6">
        <v>5.0</v>
      </c>
      <c r="B10" s="11" t="s">
        <v>72</v>
      </c>
      <c r="C10" s="11"/>
      <c r="D10" s="7" t="s">
        <v>15</v>
      </c>
      <c r="E10" s="7">
        <v>4.0</v>
      </c>
      <c r="F10" s="8">
        <f t="shared" si="0"/>
        <v>9.176470588235293</v>
      </c>
      <c r="G10" s="9">
        <f t="shared" si="1"/>
        <v>0.8500000000000001</v>
      </c>
      <c r="H10" s="10">
        <v>7.8</v>
      </c>
      <c r="I10" s="10">
        <f t="shared" si="2"/>
        <v>31.2</v>
      </c>
      <c r="J10" s="6"/>
    </row>
    <row r="11" spans="8:8" s="1" ht="16.0" customFormat="1" customHeight="1">
      <c r="A11" s="6">
        <v>6.0</v>
      </c>
      <c r="B11" s="6" t="s">
        <v>73</v>
      </c>
      <c r="C11" s="6"/>
      <c r="D11" s="7" t="s">
        <v>15</v>
      </c>
      <c r="E11" s="7">
        <v>17.0</v>
      </c>
      <c r="F11" s="8">
        <f t="shared" si="0"/>
        <v>11.529411764705884</v>
      </c>
      <c r="G11" s="9">
        <f t="shared" si="1"/>
        <v>0.85</v>
      </c>
      <c r="H11" s="10">
        <v>9.8</v>
      </c>
      <c r="I11" s="10">
        <f t="shared" si="2"/>
        <v>166.60000000000002</v>
      </c>
      <c r="J11" s="6"/>
    </row>
    <row r="12" spans="8:8" s="1" ht="16.0" customFormat="1" customHeight="1">
      <c r="A12" s="6">
        <v>7.0</v>
      </c>
      <c r="B12" s="6" t="s">
        <v>63</v>
      </c>
      <c r="C12" s="6"/>
      <c r="D12" s="7" t="s">
        <v>15</v>
      </c>
      <c r="E12" s="7">
        <v>2.0</v>
      </c>
      <c r="F12" s="8">
        <f t="shared" si="0"/>
        <v>8.823529411764707</v>
      </c>
      <c r="G12" s="9">
        <f t="shared" si="1"/>
        <v>0.85</v>
      </c>
      <c r="H12" s="10">
        <v>7.5</v>
      </c>
      <c r="I12" s="10">
        <f t="shared" si="2"/>
        <v>15.0</v>
      </c>
      <c r="J12" s="6"/>
    </row>
    <row r="13" spans="8:8" s="1" ht="16.0" customFormat="1" customHeight="1">
      <c r="A13" s="6">
        <v>8.0</v>
      </c>
      <c r="B13" s="6" t="s">
        <v>22</v>
      </c>
      <c r="C13" s="6"/>
      <c r="D13" s="7" t="s">
        <v>23</v>
      </c>
      <c r="E13" s="7">
        <v>8.0</v>
      </c>
      <c r="F13" s="8">
        <f t="shared" si="0"/>
        <v>3.5294117647058822</v>
      </c>
      <c r="G13" s="9">
        <f t="shared" si="1"/>
        <v>0.85</v>
      </c>
      <c r="H13" s="10">
        <v>3.0</v>
      </c>
      <c r="I13" s="10">
        <f t="shared" si="2"/>
        <v>24.0</v>
      </c>
      <c r="J13" s="6"/>
    </row>
    <row r="14" spans="8:8" s="1" ht="16.0" customFormat="1" customHeight="1">
      <c r="A14" s="6">
        <v>9.0</v>
      </c>
      <c r="B14" s="11" t="s">
        <v>74</v>
      </c>
      <c r="C14" s="11"/>
      <c r="D14" s="12" t="s">
        <v>15</v>
      </c>
      <c r="E14" s="12">
        <v>14.0</v>
      </c>
      <c r="F14" s="8">
        <f t="shared" si="0"/>
        <v>4.470588235294118</v>
      </c>
      <c r="G14" s="9">
        <f t="shared" si="1"/>
        <v>0.85</v>
      </c>
      <c r="H14" s="10">
        <v>3.8</v>
      </c>
      <c r="I14" s="10">
        <f t="shared" si="2"/>
        <v>53.199999999999996</v>
      </c>
      <c r="J14" s="11"/>
    </row>
    <row r="15" spans="8:8" s="1" ht="16.0" customFormat="1" customHeight="1">
      <c r="A15" s="6">
        <v>10.0</v>
      </c>
      <c r="B15" s="11" t="s">
        <v>75</v>
      </c>
      <c r="C15" s="11"/>
      <c r="D15" s="12" t="s">
        <v>15</v>
      </c>
      <c r="E15" s="12">
        <v>5.0</v>
      </c>
      <c r="F15" s="8">
        <f t="shared" si="3" ref="F15:F23">H15/0.85</f>
        <v>6.823529411764706</v>
      </c>
      <c r="G15" s="9">
        <f t="shared" si="4" ref="G15:G23">H15/F15</f>
        <v>0.85</v>
      </c>
      <c r="H15" s="10">
        <v>5.8</v>
      </c>
      <c r="I15" s="10">
        <f t="shared" si="5" ref="I15:I23">E15*H15</f>
        <v>29.0</v>
      </c>
      <c r="J15" s="11"/>
    </row>
    <row r="16" spans="8:8" s="1" ht="16.0" customFormat="1" customHeight="1">
      <c r="A16" s="6">
        <v>11.0</v>
      </c>
      <c r="B16" s="11" t="s">
        <v>76</v>
      </c>
      <c r="C16" s="11"/>
      <c r="D16" s="12" t="s">
        <v>15</v>
      </c>
      <c r="E16" s="12">
        <v>13.0</v>
      </c>
      <c r="F16" s="8">
        <f t="shared" si="3"/>
        <v>2.1176470588235294</v>
      </c>
      <c r="G16" s="9">
        <f t="shared" si="4"/>
        <v>0.85</v>
      </c>
      <c r="H16" s="10">
        <v>1.8</v>
      </c>
      <c r="I16" s="10">
        <f t="shared" si="5"/>
        <v>23.400000000000002</v>
      </c>
      <c r="J16" s="11"/>
    </row>
    <row r="17" spans="8:8" s="1" ht="16.0" customFormat="1" customHeight="1">
      <c r="A17" s="6">
        <v>12.0</v>
      </c>
      <c r="B17" s="11" t="s">
        <v>28</v>
      </c>
      <c r="C17" s="11"/>
      <c r="D17" s="12" t="s">
        <v>15</v>
      </c>
      <c r="E17" s="12">
        <v>8.0</v>
      </c>
      <c r="F17" s="8">
        <f t="shared" si="3"/>
        <v>16.23529411764706</v>
      </c>
      <c r="G17" s="9">
        <f t="shared" si="4"/>
        <v>0.8499999999999999</v>
      </c>
      <c r="H17" s="10">
        <v>13.8</v>
      </c>
      <c r="I17" s="10">
        <f t="shared" si="5"/>
        <v>110.4</v>
      </c>
      <c r="J17" s="11"/>
    </row>
    <row r="18" spans="8:8" s="1" ht="16.0" customFormat="1" customHeight="1">
      <c r="A18" s="6">
        <v>13.0</v>
      </c>
      <c r="B18" s="11" t="s">
        <v>77</v>
      </c>
      <c r="C18" s="11"/>
      <c r="D18" s="12" t="s">
        <v>15</v>
      </c>
      <c r="E18" s="12">
        <v>12.0</v>
      </c>
      <c r="F18" s="8">
        <f t="shared" si="3"/>
        <v>82.3529411764706</v>
      </c>
      <c r="G18" s="9">
        <f t="shared" si="4"/>
        <v>0.85</v>
      </c>
      <c r="H18" s="10">
        <v>70.0</v>
      </c>
      <c r="I18" s="10">
        <f t="shared" si="5"/>
        <v>840.0</v>
      </c>
      <c r="J18" s="11"/>
    </row>
    <row r="19" spans="8:8" s="1" ht="16.0" customFormat="1" customHeight="1">
      <c r="A19" s="6">
        <v>14.0</v>
      </c>
      <c r="B19" s="6" t="s">
        <v>78</v>
      </c>
      <c r="C19" s="6" t="s">
        <v>79</v>
      </c>
      <c r="D19" s="7" t="s">
        <v>53</v>
      </c>
      <c r="E19" s="7">
        <v>2.0</v>
      </c>
      <c r="F19" s="8">
        <f t="shared" si="3"/>
        <v>11.529411764705884</v>
      </c>
      <c r="G19" s="9">
        <f t="shared" si="4"/>
        <v>0.85</v>
      </c>
      <c r="H19" s="10">
        <v>9.8</v>
      </c>
      <c r="I19" s="10">
        <f t="shared" si="5"/>
        <v>19.6</v>
      </c>
      <c r="J19" s="6"/>
    </row>
    <row r="20" spans="8:8" s="1" ht="16.0" customFormat="1" customHeight="1">
      <c r="A20" s="6">
        <v>15.0</v>
      </c>
      <c r="B20" s="11" t="s">
        <v>33</v>
      </c>
      <c r="C20" s="11" t="s">
        <v>34</v>
      </c>
      <c r="D20" s="12" t="s">
        <v>15</v>
      </c>
      <c r="E20" s="12">
        <v>10.0</v>
      </c>
      <c r="F20" s="8">
        <f t="shared" si="3"/>
        <v>5.764705882352942</v>
      </c>
      <c r="G20" s="9">
        <f t="shared" si="4"/>
        <v>0.85</v>
      </c>
      <c r="H20" s="10">
        <v>4.9</v>
      </c>
      <c r="I20" s="10">
        <f t="shared" si="5"/>
        <v>49.0</v>
      </c>
      <c r="J20" s="11"/>
    </row>
    <row r="21" spans="8:8" s="1" ht="16.0" customFormat="1" customHeight="1">
      <c r="A21" s="6">
        <v>16.0</v>
      </c>
      <c r="B21" s="11" t="s">
        <v>35</v>
      </c>
      <c r="C21" s="11"/>
      <c r="D21" s="12" t="s">
        <v>36</v>
      </c>
      <c r="E21" s="12">
        <v>55.0</v>
      </c>
      <c r="F21" s="8">
        <f t="shared" si="3"/>
        <v>4.11764705882353</v>
      </c>
      <c r="G21" s="9">
        <f t="shared" si="4"/>
        <v>0.8499999999999999</v>
      </c>
      <c r="H21" s="10">
        <v>3.5</v>
      </c>
      <c r="I21" s="10">
        <f t="shared" si="5"/>
        <v>192.5</v>
      </c>
      <c r="J21" s="11"/>
    </row>
    <row r="22" spans="8:8" s="1" ht="16.0" customFormat="1" customHeight="1">
      <c r="A22" s="6">
        <v>17.0</v>
      </c>
      <c r="B22" s="11" t="s">
        <v>80</v>
      </c>
      <c r="C22" s="11"/>
      <c r="D22" s="11" t="s">
        <v>15</v>
      </c>
      <c r="E22" s="12">
        <v>5.0</v>
      </c>
      <c r="F22" s="8">
        <f t="shared" si="3"/>
        <v>103.52941176470588</v>
      </c>
      <c r="G22" s="9">
        <f t="shared" si="4"/>
        <v>0.85</v>
      </c>
      <c r="H22" s="10">
        <v>88.0</v>
      </c>
      <c r="I22" s="10">
        <f t="shared" si="5"/>
        <v>440.0</v>
      </c>
      <c r="J22" s="11"/>
    </row>
    <row r="23" spans="8:8" s="1" ht="16.0" customFormat="1" customHeight="1">
      <c r="A23" s="6">
        <v>18.0</v>
      </c>
      <c r="B23" s="11"/>
      <c r="C23" s="11"/>
      <c r="D23" s="12"/>
      <c r="E23" s="12"/>
      <c r="F23" s="8"/>
      <c r="G23" s="9"/>
      <c r="H23" s="10"/>
      <c r="I23" s="10"/>
      <c r="J23" s="11"/>
    </row>
    <row r="24" spans="8:8" s="1" ht="16.0" customFormat="1" customHeight="1">
      <c r="A24" s="6">
        <v>19.0</v>
      </c>
      <c r="B24" s="11"/>
      <c r="C24" s="11"/>
      <c r="D24" s="12"/>
      <c r="E24" s="12"/>
      <c r="F24" s="8"/>
      <c r="G24" s="9"/>
      <c r="H24" s="10"/>
      <c r="I24" s="10"/>
      <c r="J24" s="11"/>
    </row>
    <row r="25" spans="8:8" s="1" ht="16.0" customFormat="1" customHeight="1">
      <c r="A25" s="6">
        <v>20.0</v>
      </c>
      <c r="B25" s="6"/>
      <c r="C25" s="6"/>
      <c r="D25" s="7"/>
      <c r="E25" s="7"/>
      <c r="F25" s="8"/>
      <c r="G25" s="9"/>
      <c r="H25" s="10"/>
      <c r="I25" s="10"/>
      <c r="J25" s="6"/>
    </row>
    <row r="26" spans="8:8" s="1" ht="16.0" customFormat="1" customHeight="1">
      <c r="A26" s="6">
        <v>21.0</v>
      </c>
      <c r="B26" s="11"/>
      <c r="C26" s="11"/>
      <c r="D26" s="7"/>
      <c r="E26" s="7"/>
      <c r="F26" s="8"/>
      <c r="G26" s="9"/>
      <c r="H26" s="10"/>
      <c r="I26" s="10"/>
      <c r="J26" s="6"/>
    </row>
    <row r="27" spans="8:8" s="1" ht="16.0" customFormat="1" customHeight="1">
      <c r="A27" s="6">
        <v>22.0</v>
      </c>
      <c r="B27" s="11"/>
      <c r="C27" s="11"/>
      <c r="D27" s="11"/>
      <c r="E27" s="12"/>
      <c r="F27" s="8"/>
      <c r="G27" s="9"/>
      <c r="H27" s="14"/>
      <c r="I27" s="10"/>
      <c r="J27" s="11"/>
    </row>
    <row r="28" spans="8:8" s="1" ht="16.0" customFormat="1" customHeight="1">
      <c r="A28" s="6">
        <v>23.0</v>
      </c>
      <c r="B28" s="6"/>
      <c r="C28" s="6"/>
      <c r="D28" s="11"/>
      <c r="E28" s="7"/>
      <c r="F28" s="8"/>
      <c r="G28" s="9"/>
      <c r="H28" s="10"/>
      <c r="I28" s="10"/>
      <c r="J28" s="6"/>
    </row>
    <row r="29" spans="8:8" s="1" ht="16.0" customFormat="1" customHeight="1">
      <c r="A29" s="6">
        <v>24.0</v>
      </c>
      <c r="B29" s="6"/>
      <c r="C29" s="6"/>
      <c r="D29" s="11"/>
      <c r="E29" s="7"/>
      <c r="F29" s="8"/>
      <c r="G29" s="9"/>
      <c r="H29" s="10"/>
      <c r="I29" s="10"/>
      <c r="J29" s="6"/>
    </row>
    <row r="30" spans="8:8" s="1" ht="16.0" customFormat="1" customHeight="1">
      <c r="A30" s="6">
        <v>25.0</v>
      </c>
      <c r="B30" s="6"/>
      <c r="C30" s="6"/>
      <c r="D30" s="6"/>
      <c r="E30" s="7"/>
      <c r="F30" s="8"/>
      <c r="G30" s="9"/>
      <c r="H30" s="10"/>
      <c r="I30" s="10"/>
      <c r="J30" s="6"/>
    </row>
    <row r="31" spans="8:8" s="1" ht="16.0" customFormat="1" customHeight="1">
      <c r="A31" s="6">
        <v>26.0</v>
      </c>
      <c r="B31" s="6"/>
      <c r="C31" s="6"/>
      <c r="D31" s="6"/>
      <c r="E31" s="7"/>
      <c r="F31" s="8"/>
      <c r="G31" s="9"/>
      <c r="H31" s="10"/>
      <c r="I31" s="10"/>
      <c r="J31" s="6"/>
    </row>
    <row r="32" spans="8:8" s="1" ht="18.0" customFormat="1" customHeight="1">
      <c r="A32" s="6" t="s">
        <v>37</v>
      </c>
      <c r="B32" s="15">
        <f>SUM(I6:I31)</f>
        <v>2047.3999999999999</v>
      </c>
      <c r="C32" s="16"/>
      <c r="D32" s="16"/>
      <c r="E32" s="16"/>
      <c r="F32" s="16"/>
      <c r="G32" s="16"/>
      <c r="H32" s="16"/>
      <c r="I32" s="16"/>
      <c r="J32" s="17"/>
    </row>
    <row r="33" spans="8:8" s="1" ht="18.0" customFormat="1" customHeight="1">
      <c r="A33" s="6" t="s">
        <v>38</v>
      </c>
      <c r="B33" s="18">
        <f>B32</f>
        <v>2047.3999999999999</v>
      </c>
      <c r="C33" s="19"/>
      <c r="D33" s="19"/>
      <c r="E33" s="19"/>
      <c r="F33" s="19"/>
      <c r="G33" s="19"/>
      <c r="H33" s="19"/>
      <c r="I33" s="19"/>
      <c r="J33" s="20"/>
    </row>
    <row r="34" spans="8:8" s="1" ht="18.0" customFormat="1" customHeight="1">
      <c r="A34" s="1" t="s">
        <v>39</v>
      </c>
    </row>
  </sheetData>
  <mergeCells count="4">
    <mergeCell ref="A1:J1"/>
    <mergeCell ref="B32:J32"/>
    <mergeCell ref="B33:J33"/>
    <mergeCell ref="A34:J34"/>
  </mergeCells>
  <conditionalFormatting sqref="B6:B31">
    <cfRule type="duplicateValues" priority="1" dxfId="6"/>
  </conditionalFormatting>
  <conditionalFormatting sqref="B6:C25">
    <cfRule type="duplicateValues" priority="2" dxfId="7"/>
  </conditionalFormatting>
  <pageMargins left="0.751388888888889" right="0.751388888888889" top="0.409027777777778" bottom="0.2125" header="0.5" footer="0.5"/>
  <pageSetup paperSize="9" scale="96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36"/>
  <sheetViews>
    <sheetView workbookViewId="0" topLeftCell="A16">
      <selection activeCell="I16" sqref="I1:I1048576"/>
    </sheetView>
  </sheetViews>
  <sheetFormatPr defaultRowHeight="18.0" customHeight="1" defaultColWidth="11"/>
  <cols>
    <col min="1" max="1" customWidth="1" width="9.125" style="1"/>
    <col min="2" max="2" customWidth="1" width="19.25" style="1"/>
    <col min="3" max="3" customWidth="1" width="11.375" style="1"/>
    <col min="4" max="4" customWidth="1" width="5.9414062" style="1"/>
    <col min="5" max="5" customWidth="1" width="8.25" style="1"/>
    <col min="6" max="6" customWidth="1" width="8.0" style="1"/>
    <col min="7" max="7" customWidth="1" width="6.625" style="1"/>
    <col min="8" max="8" customWidth="1" width="7.875" style="1"/>
    <col min="9" max="9" customWidth="1" width="8.625" style="1"/>
    <col min="10" max="10" customWidth="1" width="7.375" style="1"/>
    <col min="11" max="16326" customWidth="1" width="11.6640625" style="1"/>
    <col min="16327" max="16327" customWidth="0" width="11.6640625" style="1"/>
    <col min="16328" max="16333" customWidth="0" width="11.0" style="1"/>
    <col min="16334" max="16384" customWidth="0" width="11.0" style="2"/>
  </cols>
  <sheetData>
    <row r="1" spans="8:8" s="1" ht="24.0" customFormat="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8:8" s="1" ht="8.0" customFormat="1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spans="8:8" s="1" ht="18.0" customFormat="1" customHeight="1">
      <c r="A3" s="1" t="s">
        <v>1</v>
      </c>
      <c r="B3" s="1" t="s">
        <v>2</v>
      </c>
    </row>
    <row r="4" spans="8:8" s="1" ht="18.0" customFormat="1" customHeight="1">
      <c r="A4" s="1" t="s">
        <v>3</v>
      </c>
      <c r="B4" s="4">
        <v>45237.0</v>
      </c>
      <c r="C4" s="4"/>
      <c r="D4" s="5"/>
      <c r="E4" s="5"/>
      <c r="F4" s="5"/>
      <c r="G4" s="5"/>
      <c r="H4" s="4"/>
      <c r="I4" s="4"/>
      <c r="J4" s="4"/>
    </row>
    <row r="5" spans="8:8" s="1" ht="18.0" customFormat="1" customHeight="1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</row>
    <row r="6" spans="8:8" s="1" ht="16.0" customFormat="1" customHeight="1">
      <c r="A6" s="6">
        <v>1.0</v>
      </c>
      <c r="B6" s="6" t="s">
        <v>14</v>
      </c>
      <c r="C6" s="6"/>
      <c r="D6" s="7" t="s">
        <v>15</v>
      </c>
      <c r="E6" s="7">
        <v>7.0</v>
      </c>
      <c r="F6" s="8">
        <f t="shared" si="0" ref="F6:F24">H6/0.85</f>
        <v>3.5294117647058822</v>
      </c>
      <c r="G6" s="9">
        <f t="shared" si="1" ref="G6:G24">H6/F6</f>
        <v>0.85</v>
      </c>
      <c r="H6" s="10">
        <v>3.0</v>
      </c>
      <c r="I6" s="10">
        <f t="shared" si="2" ref="I6:I24">E6*H6</f>
        <v>21.0</v>
      </c>
      <c r="J6" s="6"/>
    </row>
    <row r="7" spans="8:8" s="1" ht="16.0" customFormat="1" customHeight="1">
      <c r="A7" s="6">
        <v>2.0</v>
      </c>
      <c r="B7" s="6" t="s">
        <v>17</v>
      </c>
      <c r="C7" s="6"/>
      <c r="D7" s="7" t="s">
        <v>15</v>
      </c>
      <c r="E7" s="7">
        <v>5.0</v>
      </c>
      <c r="F7" s="8">
        <f t="shared" si="0"/>
        <v>4.11764705882353</v>
      </c>
      <c r="G7" s="9">
        <f t="shared" si="1"/>
        <v>0.8499999999999999</v>
      </c>
      <c r="H7" s="10">
        <v>3.5</v>
      </c>
      <c r="I7" s="10">
        <f t="shared" si="2"/>
        <v>17.5</v>
      </c>
      <c r="J7" s="6"/>
    </row>
    <row r="8" spans="8:8" s="1" ht="16.0" customFormat="1" customHeight="1">
      <c r="A8" s="6">
        <v>3.0</v>
      </c>
      <c r="B8" s="6" t="s">
        <v>43</v>
      </c>
      <c r="C8" s="6"/>
      <c r="D8" s="7" t="s">
        <v>15</v>
      </c>
      <c r="E8" s="7">
        <v>6.0</v>
      </c>
      <c r="F8" s="8">
        <f t="shared" si="0"/>
        <v>2.3529411764705883</v>
      </c>
      <c r="G8" s="9">
        <f t="shared" si="1"/>
        <v>0.85</v>
      </c>
      <c r="H8" s="10">
        <v>2.0</v>
      </c>
      <c r="I8" s="10">
        <f t="shared" si="2"/>
        <v>12.0</v>
      </c>
      <c r="J8" s="6"/>
    </row>
    <row r="9" spans="8:8" s="1" ht="16.0" customFormat="1" customHeight="1">
      <c r="A9" s="6">
        <v>4.0</v>
      </c>
      <c r="B9" s="11" t="s">
        <v>81</v>
      </c>
      <c r="C9" s="11"/>
      <c r="D9" s="7" t="s">
        <v>15</v>
      </c>
      <c r="E9" s="7">
        <v>10.0</v>
      </c>
      <c r="F9" s="8">
        <f t="shared" si="0"/>
        <v>4.11764705882353</v>
      </c>
      <c r="G9" s="9">
        <f t="shared" si="1"/>
        <v>0.8499999999999999</v>
      </c>
      <c r="H9" s="10">
        <v>3.5</v>
      </c>
      <c r="I9" s="10">
        <f t="shared" si="2"/>
        <v>35.0</v>
      </c>
      <c r="J9" s="6"/>
    </row>
    <row r="10" spans="8:8" s="1" ht="16.0" customFormat="1" customHeight="1">
      <c r="A10" s="6">
        <v>5.0</v>
      </c>
      <c r="B10" s="11" t="s">
        <v>74</v>
      </c>
      <c r="C10" s="11"/>
      <c r="D10" s="7" t="s">
        <v>15</v>
      </c>
      <c r="E10" s="7">
        <v>2.0</v>
      </c>
      <c r="F10" s="8">
        <f t="shared" si="0"/>
        <v>4.470588235294118</v>
      </c>
      <c r="G10" s="9">
        <f t="shared" si="1"/>
        <v>0.85</v>
      </c>
      <c r="H10" s="10">
        <v>3.8</v>
      </c>
      <c r="I10" s="10">
        <f t="shared" si="2"/>
        <v>7.6</v>
      </c>
      <c r="J10" s="6"/>
    </row>
    <row r="11" spans="8:8" s="1" ht="16.0" customFormat="1" customHeight="1">
      <c r="A11" s="6">
        <v>6.0</v>
      </c>
      <c r="B11" s="6" t="s">
        <v>82</v>
      </c>
      <c r="C11" s="6"/>
      <c r="D11" s="7" t="s">
        <v>15</v>
      </c>
      <c r="E11" s="7">
        <v>8.0</v>
      </c>
      <c r="F11" s="8">
        <f t="shared" si="0"/>
        <v>6.823529411764706</v>
      </c>
      <c r="G11" s="9">
        <f t="shared" si="1"/>
        <v>0.85</v>
      </c>
      <c r="H11" s="10">
        <v>5.8</v>
      </c>
      <c r="I11" s="10">
        <f t="shared" si="2"/>
        <v>46.4</v>
      </c>
      <c r="J11" s="6"/>
    </row>
    <row r="12" spans="8:8" s="1" ht="16.0" customFormat="1" customHeight="1">
      <c r="A12" s="6">
        <v>7.0</v>
      </c>
      <c r="B12" s="6" t="s">
        <v>24</v>
      </c>
      <c r="C12" s="6"/>
      <c r="D12" s="7" t="s">
        <v>15</v>
      </c>
      <c r="E12" s="7">
        <v>6.0</v>
      </c>
      <c r="F12" s="8">
        <f t="shared" si="0"/>
        <v>6.823529411764706</v>
      </c>
      <c r="G12" s="9">
        <f t="shared" si="1"/>
        <v>0.85</v>
      </c>
      <c r="H12" s="10">
        <v>5.8</v>
      </c>
      <c r="I12" s="10">
        <f t="shared" si="2"/>
        <v>34.8</v>
      </c>
      <c r="J12" s="6"/>
    </row>
    <row r="13" spans="8:8" s="1" ht="16.0" customFormat="1" customHeight="1">
      <c r="A13" s="6">
        <v>8.0</v>
      </c>
      <c r="B13" s="6" t="s">
        <v>83</v>
      </c>
      <c r="C13" s="6" t="s">
        <v>84</v>
      </c>
      <c r="D13" s="7" t="s">
        <v>15</v>
      </c>
      <c r="E13" s="7">
        <v>15.0</v>
      </c>
      <c r="F13" s="8">
        <f t="shared" si="0"/>
        <v>10.352941176470589</v>
      </c>
      <c r="G13" s="9">
        <f t="shared" si="1"/>
        <v>0.85</v>
      </c>
      <c r="H13" s="10">
        <v>8.8</v>
      </c>
      <c r="I13" s="10">
        <f t="shared" si="2"/>
        <v>132.0</v>
      </c>
      <c r="J13" s="6"/>
    </row>
    <row r="14" spans="8:8" s="1" ht="16.0" customFormat="1" customHeight="1">
      <c r="A14" s="6">
        <v>9.0</v>
      </c>
      <c r="B14" s="11" t="s">
        <v>85</v>
      </c>
      <c r="C14" s="11"/>
      <c r="D14" s="12" t="s">
        <v>15</v>
      </c>
      <c r="E14" s="12">
        <v>5.0</v>
      </c>
      <c r="F14" s="8">
        <f t="shared" si="0"/>
        <v>11.529411764705884</v>
      </c>
      <c r="G14" s="9">
        <f t="shared" si="1"/>
        <v>0.85</v>
      </c>
      <c r="H14" s="14">
        <v>9.8</v>
      </c>
      <c r="I14" s="10">
        <f t="shared" si="2"/>
        <v>49.0</v>
      </c>
      <c r="J14" s="11"/>
    </row>
    <row r="15" spans="8:8" s="1" ht="16.0" customFormat="1" customHeight="1">
      <c r="A15" s="6">
        <v>10.0</v>
      </c>
      <c r="B15" s="11" t="s">
        <v>86</v>
      </c>
      <c r="C15" s="11"/>
      <c r="D15" s="12" t="s">
        <v>15</v>
      </c>
      <c r="E15" s="12">
        <v>3.0</v>
      </c>
      <c r="F15" s="8">
        <f t="shared" si="0"/>
        <v>5.647058823529412</v>
      </c>
      <c r="G15" s="9">
        <f t="shared" si="1"/>
        <v>0.8499999999999999</v>
      </c>
      <c r="H15" s="14">
        <v>4.8</v>
      </c>
      <c r="I15" s="10">
        <f t="shared" si="2"/>
        <v>14.399999999999999</v>
      </c>
      <c r="J15" s="11"/>
    </row>
    <row r="16" spans="8:8" s="1" ht="16.0" customFormat="1" customHeight="1">
      <c r="A16" s="6">
        <v>11.0</v>
      </c>
      <c r="B16" s="11" t="s">
        <v>45</v>
      </c>
      <c r="C16" s="11"/>
      <c r="D16" s="12" t="s">
        <v>15</v>
      </c>
      <c r="E16" s="12">
        <v>12.0</v>
      </c>
      <c r="F16" s="8">
        <f t="shared" si="0"/>
        <v>5.294117647058823</v>
      </c>
      <c r="G16" s="9">
        <f t="shared" si="1"/>
        <v>0.85</v>
      </c>
      <c r="H16" s="14">
        <v>4.5</v>
      </c>
      <c r="I16" s="10">
        <f t="shared" si="2"/>
        <v>54.0</v>
      </c>
      <c r="J16" s="11"/>
    </row>
    <row r="17" spans="8:8" s="1" ht="16.0" customFormat="1" customHeight="1">
      <c r="A17" s="6">
        <v>12.0</v>
      </c>
      <c r="B17" s="11" t="s">
        <v>87</v>
      </c>
      <c r="C17" s="11"/>
      <c r="D17" s="11" t="s">
        <v>15</v>
      </c>
      <c r="E17" s="12">
        <v>14.0</v>
      </c>
      <c r="F17" s="8">
        <f t="shared" si="0"/>
        <v>25.88235294117647</v>
      </c>
      <c r="G17" s="9">
        <f t="shared" si="1"/>
        <v>0.85</v>
      </c>
      <c r="H17" s="14">
        <v>22.0</v>
      </c>
      <c r="I17" s="10">
        <f t="shared" si="2"/>
        <v>308.0</v>
      </c>
      <c r="J17" s="11"/>
    </row>
    <row r="18" spans="8:8" s="1" ht="16.0" customFormat="1" customHeight="1">
      <c r="A18" s="6">
        <v>13.0</v>
      </c>
      <c r="B18" s="11" t="s">
        <v>28</v>
      </c>
      <c r="C18" s="11"/>
      <c r="D18" s="12" t="s">
        <v>15</v>
      </c>
      <c r="E18" s="12">
        <v>2.0</v>
      </c>
      <c r="F18" s="8">
        <f t="shared" si="0"/>
        <v>16.23529411764706</v>
      </c>
      <c r="G18" s="9">
        <f t="shared" si="1"/>
        <v>0.8499999999999999</v>
      </c>
      <c r="H18" s="14">
        <v>13.8</v>
      </c>
      <c r="I18" s="10">
        <f t="shared" si="2"/>
        <v>27.6</v>
      </c>
      <c r="J18" s="11"/>
    </row>
    <row r="19" spans="8:8" s="1" ht="16.0" customFormat="1" customHeight="1">
      <c r="A19" s="6">
        <v>14.0</v>
      </c>
      <c r="B19" s="6" t="s">
        <v>29</v>
      </c>
      <c r="C19" s="6"/>
      <c r="D19" s="7" t="s">
        <v>15</v>
      </c>
      <c r="E19" s="7">
        <v>8.0</v>
      </c>
      <c r="F19" s="8">
        <f t="shared" si="0"/>
        <v>32.94117647058824</v>
      </c>
      <c r="G19" s="9">
        <f t="shared" si="1"/>
        <v>0.8499999999999999</v>
      </c>
      <c r="H19" s="10">
        <v>28.0</v>
      </c>
      <c r="I19" s="10">
        <f t="shared" si="2"/>
        <v>224.0</v>
      </c>
      <c r="J19" s="6"/>
    </row>
    <row r="20" spans="8:8" s="1" ht="16.0" customFormat="1" customHeight="1">
      <c r="A20" s="6">
        <v>15.0</v>
      </c>
      <c r="B20" s="11" t="s">
        <v>88</v>
      </c>
      <c r="C20" s="11" t="s">
        <v>89</v>
      </c>
      <c r="D20" s="7" t="s">
        <v>36</v>
      </c>
      <c r="E20" s="7">
        <v>45.0</v>
      </c>
      <c r="F20" s="8">
        <f t="shared" si="0"/>
        <v>4.11764705882353</v>
      </c>
      <c r="G20" s="9">
        <f t="shared" si="1"/>
        <v>0.8499999999999999</v>
      </c>
      <c r="H20" s="10">
        <v>3.5</v>
      </c>
      <c r="I20" s="10">
        <f t="shared" si="2"/>
        <v>157.5</v>
      </c>
      <c r="J20" s="6"/>
    </row>
    <row r="21" spans="8:8" s="1" ht="16.0" customFormat="1" customHeight="1">
      <c r="A21" s="6">
        <v>16.0</v>
      </c>
      <c r="B21" s="11"/>
      <c r="C21" s="11"/>
      <c r="D21" s="11"/>
      <c r="E21" s="12"/>
      <c r="F21" s="8"/>
      <c r="G21" s="9"/>
      <c r="H21" s="14"/>
      <c r="I21" s="10"/>
      <c r="J21" s="11"/>
    </row>
    <row r="22" spans="8:8" s="1" ht="16.0" customFormat="1" customHeight="1">
      <c r="A22" s="6">
        <v>17.0</v>
      </c>
      <c r="B22" s="6"/>
      <c r="C22" s="6"/>
      <c r="D22" s="11"/>
      <c r="E22" s="7"/>
      <c r="F22" s="8"/>
      <c r="G22" s="9"/>
      <c r="H22" s="10"/>
      <c r="I22" s="10"/>
      <c r="J22" s="6"/>
    </row>
    <row r="23" spans="8:8" s="1" ht="16.0" customFormat="1" customHeight="1">
      <c r="A23" s="6">
        <v>18.0</v>
      </c>
      <c r="B23" s="6"/>
      <c r="C23" s="6"/>
      <c r="D23" s="11"/>
      <c r="E23" s="7"/>
      <c r="F23" s="8"/>
      <c r="G23" s="9"/>
      <c r="H23" s="10"/>
      <c r="I23" s="10"/>
      <c r="J23" s="6"/>
    </row>
    <row r="24" spans="8:8" s="1" ht="16.0" customFormat="1" customHeight="1">
      <c r="A24" s="6">
        <v>19.0</v>
      </c>
      <c r="B24" s="6"/>
      <c r="C24" s="6"/>
      <c r="D24" s="6"/>
      <c r="E24" s="7"/>
      <c r="F24" s="8"/>
      <c r="G24" s="9"/>
      <c r="H24" s="10"/>
      <c r="I24" s="10"/>
      <c r="J24" s="6"/>
    </row>
    <row r="25" spans="8:8" s="1" ht="16.0" customFormat="1" customHeight="1">
      <c r="A25" s="6">
        <v>20.0</v>
      </c>
      <c r="B25" s="6"/>
      <c r="C25" s="6"/>
      <c r="D25" s="6"/>
      <c r="E25" s="7"/>
      <c r="F25" s="8"/>
      <c r="G25" s="9"/>
      <c r="H25" s="10"/>
      <c r="I25" s="10"/>
      <c r="J25" s="6"/>
    </row>
    <row r="26" spans="8:8" s="1" ht="16.0" customFormat="1" customHeight="1">
      <c r="A26" s="6">
        <v>21.0</v>
      </c>
      <c r="B26" s="6"/>
      <c r="C26" s="6"/>
      <c r="D26" s="6"/>
      <c r="E26" s="7"/>
      <c r="F26" s="8"/>
      <c r="G26" s="9"/>
      <c r="H26" s="10"/>
      <c r="I26" s="10"/>
      <c r="J26" s="6"/>
    </row>
    <row r="27" spans="8:8" s="1" ht="16.0" customFormat="1" customHeight="1">
      <c r="A27" s="6">
        <v>22.0</v>
      </c>
      <c r="B27" s="6"/>
      <c r="C27" s="6"/>
      <c r="D27" s="6"/>
      <c r="E27" s="7"/>
      <c r="F27" s="8"/>
      <c r="G27" s="9"/>
      <c r="H27" s="10"/>
      <c r="I27" s="10"/>
      <c r="J27" s="6"/>
    </row>
    <row r="28" spans="8:8" s="1" ht="16.0" customFormat="1" customHeight="1">
      <c r="A28" s="6">
        <v>23.0</v>
      </c>
      <c r="B28" s="6"/>
      <c r="C28" s="6"/>
      <c r="D28" s="6"/>
      <c r="E28" s="7"/>
      <c r="F28" s="8"/>
      <c r="G28" s="9"/>
      <c r="H28" s="10"/>
      <c r="I28" s="10"/>
      <c r="J28" s="6"/>
    </row>
    <row r="29" spans="8:8" s="1" ht="16.0" customFormat="1" customHeight="1">
      <c r="A29" s="6">
        <v>24.0</v>
      </c>
      <c r="B29" s="6"/>
      <c r="C29" s="6"/>
      <c r="D29" s="6"/>
      <c r="E29" s="7"/>
      <c r="F29" s="8"/>
      <c r="G29" s="9"/>
      <c r="H29" s="10"/>
      <c r="I29" s="10"/>
      <c r="J29" s="6"/>
    </row>
    <row r="30" spans="8:8" s="1" ht="16.0" customFormat="1" customHeight="1">
      <c r="A30" s="6">
        <v>25.0</v>
      </c>
      <c r="B30" s="6"/>
      <c r="C30" s="6"/>
      <c r="D30" s="6"/>
      <c r="E30" s="7"/>
      <c r="F30" s="8"/>
      <c r="G30" s="9"/>
      <c r="H30" s="10"/>
      <c r="I30" s="10"/>
      <c r="J30" s="6"/>
    </row>
    <row r="31" spans="8:8" s="1" ht="16.0" customFormat="1" customHeight="1">
      <c r="A31" s="6">
        <v>26.0</v>
      </c>
      <c r="B31" s="6"/>
      <c r="C31" s="6"/>
      <c r="D31" s="6"/>
      <c r="E31" s="7"/>
      <c r="F31" s="8"/>
      <c r="G31" s="9"/>
      <c r="H31" s="10"/>
      <c r="I31" s="10"/>
      <c r="J31" s="6"/>
    </row>
    <row r="32" spans="8:8" s="1" ht="16.0" customFormat="1" customHeight="1">
      <c r="A32" s="6">
        <v>27.0</v>
      </c>
      <c r="B32" s="6"/>
      <c r="C32" s="6"/>
      <c r="D32" s="6"/>
      <c r="E32" s="7"/>
      <c r="F32" s="8"/>
      <c r="G32" s="9"/>
      <c r="H32" s="10"/>
      <c r="I32" s="10"/>
      <c r="J32" s="6"/>
    </row>
    <row r="33" spans="8:8" s="1" ht="16.0" customFormat="1" customHeight="1">
      <c r="A33" s="6">
        <v>28.0</v>
      </c>
      <c r="B33" s="6"/>
      <c r="C33" s="6"/>
      <c r="D33" s="6"/>
      <c r="E33" s="7"/>
      <c r="F33" s="8"/>
      <c r="G33" s="9"/>
      <c r="H33" s="10"/>
      <c r="I33" s="10"/>
      <c r="J33" s="6"/>
    </row>
    <row r="34" spans="8:8" s="1" ht="18.0" customFormat="1" customHeight="1">
      <c r="A34" s="6" t="s">
        <v>37</v>
      </c>
      <c r="B34" s="15">
        <f>SUM(I6:I33)</f>
        <v>1140.8000000000002</v>
      </c>
      <c r="C34" s="16"/>
      <c r="D34" s="16"/>
      <c r="E34" s="16"/>
      <c r="F34" s="16"/>
      <c r="G34" s="16"/>
      <c r="H34" s="16"/>
      <c r="I34" s="16"/>
      <c r="J34" s="17"/>
    </row>
    <row r="35" spans="8:8" s="1" ht="18.0" customFormat="1" customHeight="1">
      <c r="A35" s="6" t="s">
        <v>38</v>
      </c>
      <c r="B35" s="18">
        <f>B34</f>
        <v>1140.8000000000002</v>
      </c>
      <c r="C35" s="19"/>
      <c r="D35" s="19"/>
      <c r="E35" s="19"/>
      <c r="F35" s="19"/>
      <c r="G35" s="19"/>
      <c r="H35" s="19"/>
      <c r="I35" s="19"/>
      <c r="J35" s="20"/>
    </row>
    <row r="36" spans="8:8" s="1" ht="18.0" customFormat="1" customHeight="1">
      <c r="A36" s="1" t="s">
        <v>39</v>
      </c>
    </row>
  </sheetData>
  <mergeCells count="4">
    <mergeCell ref="A1:J1"/>
    <mergeCell ref="B34:J34"/>
    <mergeCell ref="B35:J35"/>
    <mergeCell ref="A36:J36"/>
  </mergeCells>
  <conditionalFormatting sqref="B6:B33">
    <cfRule type="duplicateValues" priority="2" dxfId="8"/>
  </conditionalFormatting>
  <conditionalFormatting sqref="B6:C19">
    <cfRule type="duplicateValues" priority="3" dxfId="9"/>
  </conditionalFormatting>
  <pageMargins left="0.751388888888889" right="0.751388888888889" top="0.409027777777778" bottom="0.2125" header="0.5" footer="0.5"/>
  <pageSetup paperSize="9" scale="93"/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36"/>
  <sheetViews>
    <sheetView workbookViewId="0" topLeftCell="A17">
      <selection activeCell="I17" sqref="I1:I1048576"/>
    </sheetView>
  </sheetViews>
  <sheetFormatPr defaultRowHeight="18.0" customHeight="1" defaultColWidth="11"/>
  <cols>
    <col min="1" max="1" customWidth="1" width="9.125" style="1"/>
    <col min="2" max="2" customWidth="1" width="19.25" style="1"/>
    <col min="3" max="3" customWidth="1" width="11.375" style="1"/>
    <col min="4" max="4" customWidth="1" width="5.9414062" style="1"/>
    <col min="5" max="5" customWidth="1" width="5.25" style="1"/>
    <col min="6" max="6" customWidth="1" width="8.0" style="1"/>
    <col min="7" max="7" customWidth="1" width="6.625" style="1"/>
    <col min="8" max="8" customWidth="1" width="7.875" style="1"/>
    <col min="9" max="9" customWidth="1" width="8.625" style="1"/>
    <col min="10" max="10" customWidth="1" width="7.375" style="1"/>
    <col min="11" max="16326" customWidth="1" width="11.6640625" style="1"/>
    <col min="16327" max="16327" customWidth="0" width="11.6640625" style="1"/>
    <col min="16328" max="16333" customWidth="0" width="11.0" style="1"/>
    <col min="16334" max="16384" customWidth="0" width="11.0" style="2"/>
  </cols>
  <sheetData>
    <row r="1" spans="8:8" s="1" ht="24.0" customFormat="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8:8" s="1" ht="8.0" customFormat="1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spans="8:8" s="1" ht="18.0" customFormat="1" customHeight="1">
      <c r="A3" s="1" t="s">
        <v>1</v>
      </c>
      <c r="B3" s="1" t="s">
        <v>2</v>
      </c>
    </row>
    <row r="4" spans="8:8" s="1" ht="18.0" customFormat="1" customHeight="1">
      <c r="A4" s="1" t="s">
        <v>3</v>
      </c>
      <c r="B4" s="4">
        <v>45238.0</v>
      </c>
      <c r="C4" s="4"/>
      <c r="D4" s="5"/>
      <c r="E4" s="5"/>
      <c r="F4" s="5"/>
      <c r="G4" s="5"/>
      <c r="H4" s="4"/>
      <c r="I4" s="4"/>
      <c r="J4" s="4"/>
    </row>
    <row r="5" spans="8:8" s="1" ht="18.0" customFormat="1" customHeight="1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</row>
    <row r="6" spans="8:8" s="1" ht="16.0" customFormat="1" customHeight="1">
      <c r="A6" s="6">
        <v>1.0</v>
      </c>
      <c r="B6" s="6" t="s">
        <v>14</v>
      </c>
      <c r="C6" s="6"/>
      <c r="D6" s="7" t="s">
        <v>15</v>
      </c>
      <c r="E6" s="7">
        <v>7.0</v>
      </c>
      <c r="F6" s="8">
        <f>H6/0.85</f>
        <v>3.5294117647058822</v>
      </c>
      <c r="G6" s="9">
        <f>H6/F6</f>
        <v>0.85</v>
      </c>
      <c r="H6" s="10">
        <v>3.0</v>
      </c>
      <c r="I6" s="10">
        <f>E6*H6</f>
        <v>21.0</v>
      </c>
      <c r="J6" s="6"/>
    </row>
    <row r="7" spans="8:8" s="1" ht="16.0" customFormat="1" customHeight="1">
      <c r="A7" s="6">
        <v>2.0</v>
      </c>
      <c r="B7" s="6" t="s">
        <v>16</v>
      </c>
      <c r="C7" s="6"/>
      <c r="D7" s="7" t="s">
        <v>15</v>
      </c>
      <c r="E7" s="7">
        <v>4.0</v>
      </c>
      <c r="F7" s="8">
        <f>H7/0.85</f>
        <v>4.11764705882353</v>
      </c>
      <c r="G7" s="9">
        <f>H7/F7</f>
        <v>0.8499999999999999</v>
      </c>
      <c r="H7" s="10">
        <v>3.5</v>
      </c>
      <c r="I7" s="10">
        <f>E7*H7</f>
        <v>14.0</v>
      </c>
      <c r="J7" s="6"/>
    </row>
    <row r="8" spans="8:8" s="1" ht="16.0" customFormat="1" customHeight="1">
      <c r="A8" s="6">
        <v>3.0</v>
      </c>
      <c r="B8" s="6" t="s">
        <v>17</v>
      </c>
      <c r="C8" s="6"/>
      <c r="D8" s="7" t="s">
        <v>15</v>
      </c>
      <c r="E8" s="7">
        <v>6.0</v>
      </c>
      <c r="F8" s="8">
        <f t="shared" si="0" ref="F8:F26">H8/0.85</f>
        <v>4.11764705882353</v>
      </c>
      <c r="G8" s="9">
        <f t="shared" si="1" ref="G8:G26">H8/F8</f>
        <v>0.8499999999999999</v>
      </c>
      <c r="H8" s="10">
        <v>3.5</v>
      </c>
      <c r="I8" s="10">
        <f t="shared" si="2" ref="I8:I26">E8*H8</f>
        <v>21.0</v>
      </c>
      <c r="J8" s="6"/>
    </row>
    <row r="9" spans="8:8" s="1" ht="16.0" customFormat="1" customHeight="1">
      <c r="A9" s="6">
        <v>4.0</v>
      </c>
      <c r="B9" s="11" t="s">
        <v>18</v>
      </c>
      <c r="C9" s="11"/>
      <c r="D9" s="7" t="s">
        <v>15</v>
      </c>
      <c r="E9" s="7">
        <v>4.0</v>
      </c>
      <c r="F9" s="8">
        <f t="shared" si="0"/>
        <v>7.0588235294117645</v>
      </c>
      <c r="G9" s="9">
        <f t="shared" si="1"/>
        <v>0.85</v>
      </c>
      <c r="H9" s="10">
        <v>6.0</v>
      </c>
      <c r="I9" s="10">
        <f t="shared" si="2"/>
        <v>24.0</v>
      </c>
      <c r="J9" s="6"/>
    </row>
    <row r="10" spans="8:8" s="1" ht="16.0" customFormat="1" customHeight="1">
      <c r="A10" s="6">
        <v>5.0</v>
      </c>
      <c r="B10" s="11" t="s">
        <v>63</v>
      </c>
      <c r="C10" s="11"/>
      <c r="D10" s="7" t="s">
        <v>15</v>
      </c>
      <c r="E10" s="7">
        <v>2.0</v>
      </c>
      <c r="F10" s="8">
        <f t="shared" si="0"/>
        <v>8.823529411764707</v>
      </c>
      <c r="G10" s="9">
        <f t="shared" si="1"/>
        <v>0.85</v>
      </c>
      <c r="H10" s="10">
        <v>7.5</v>
      </c>
      <c r="I10" s="10">
        <f t="shared" si="2"/>
        <v>15.0</v>
      </c>
      <c r="J10" s="6"/>
    </row>
    <row r="11" spans="8:8" s="1" ht="16.0" customFormat="1" customHeight="1">
      <c r="A11" s="6">
        <v>6.0</v>
      </c>
      <c r="B11" s="6" t="s">
        <v>22</v>
      </c>
      <c r="C11" s="6"/>
      <c r="D11" s="7" t="s">
        <v>23</v>
      </c>
      <c r="E11" s="7">
        <v>8.0</v>
      </c>
      <c r="F11" s="8">
        <f t="shared" si="0"/>
        <v>3.5294117647058822</v>
      </c>
      <c r="G11" s="9">
        <f t="shared" si="1"/>
        <v>0.85</v>
      </c>
      <c r="H11" s="10">
        <v>3.0</v>
      </c>
      <c r="I11" s="10">
        <f t="shared" si="2"/>
        <v>24.0</v>
      </c>
      <c r="J11" s="6"/>
    </row>
    <row r="12" spans="8:8" s="1" ht="16.0" customFormat="1" customHeight="1">
      <c r="A12" s="6">
        <v>7.0</v>
      </c>
      <c r="B12" s="6" t="s">
        <v>90</v>
      </c>
      <c r="C12" s="6"/>
      <c r="D12" s="7" t="s">
        <v>15</v>
      </c>
      <c r="E12" s="7">
        <v>8.0</v>
      </c>
      <c r="F12" s="8">
        <f t="shared" si="0"/>
        <v>10.352941176470589</v>
      </c>
      <c r="G12" s="9">
        <f t="shared" si="1"/>
        <v>0.85</v>
      </c>
      <c r="H12" s="10">
        <v>8.8</v>
      </c>
      <c r="I12" s="10">
        <f t="shared" si="2"/>
        <v>70.4</v>
      </c>
      <c r="J12" s="6"/>
    </row>
    <row r="13" spans="8:8" s="1" ht="16.0" customFormat="1" customHeight="1">
      <c r="A13" s="6">
        <v>8.0</v>
      </c>
      <c r="B13" s="6" t="s">
        <v>74</v>
      </c>
      <c r="C13" s="6"/>
      <c r="D13" s="7" t="s">
        <v>15</v>
      </c>
      <c r="E13" s="7">
        <v>6.0</v>
      </c>
      <c r="F13" s="8">
        <f t="shared" si="0"/>
        <v>4.470588235294118</v>
      </c>
      <c r="G13" s="9">
        <f t="shared" si="1"/>
        <v>0.85</v>
      </c>
      <c r="H13" s="10">
        <v>3.8</v>
      </c>
      <c r="I13" s="10">
        <f t="shared" si="2"/>
        <v>22.799999999999997</v>
      </c>
      <c r="J13" s="6"/>
    </row>
    <row r="14" spans="8:8" s="1" ht="16.0" customFormat="1" customHeight="1">
      <c r="A14" s="6">
        <v>9.0</v>
      </c>
      <c r="B14" s="11" t="s">
        <v>85</v>
      </c>
      <c r="C14" s="11"/>
      <c r="D14" s="12" t="s">
        <v>15</v>
      </c>
      <c r="E14" s="12">
        <v>1.0</v>
      </c>
      <c r="F14" s="8">
        <f t="shared" si="0"/>
        <v>11.529411764705884</v>
      </c>
      <c r="G14" s="9">
        <f t="shared" si="1"/>
        <v>0.85</v>
      </c>
      <c r="H14" s="10">
        <v>9.8</v>
      </c>
      <c r="I14" s="10">
        <f t="shared" si="2"/>
        <v>9.8</v>
      </c>
      <c r="J14" s="11"/>
    </row>
    <row r="15" spans="8:8" s="1" ht="16.0" customFormat="1" customHeight="1">
      <c r="A15" s="6">
        <v>10.0</v>
      </c>
      <c r="B15" s="11" t="s">
        <v>91</v>
      </c>
      <c r="C15" s="11"/>
      <c r="D15" s="12" t="s">
        <v>15</v>
      </c>
      <c r="E15" s="12">
        <v>12.0</v>
      </c>
      <c r="F15" s="8">
        <f t="shared" si="0"/>
        <v>2.9411764705882355</v>
      </c>
      <c r="G15" s="9">
        <f t="shared" si="1"/>
        <v>0.85</v>
      </c>
      <c r="H15" s="10">
        <v>2.5</v>
      </c>
      <c r="I15" s="10">
        <f t="shared" si="2"/>
        <v>30.0</v>
      </c>
      <c r="J15" s="11"/>
    </row>
    <row r="16" spans="8:8" s="1" ht="16.0" customFormat="1" customHeight="1">
      <c r="A16" s="6">
        <v>11.0</v>
      </c>
      <c r="B16" s="11" t="s">
        <v>92</v>
      </c>
      <c r="C16" s="11"/>
      <c r="D16" s="12" t="s">
        <v>15</v>
      </c>
      <c r="E16" s="12">
        <v>2.0</v>
      </c>
      <c r="F16" s="8">
        <f t="shared" si="0"/>
        <v>8.0</v>
      </c>
      <c r="G16" s="9">
        <f t="shared" si="1"/>
        <v>0.85</v>
      </c>
      <c r="H16" s="10">
        <v>6.8</v>
      </c>
      <c r="I16" s="10">
        <f t="shared" si="2"/>
        <v>13.6</v>
      </c>
      <c r="J16" s="11"/>
    </row>
    <row r="17" spans="8:8" s="1" ht="16.0" customFormat="1" customHeight="1">
      <c r="A17" s="6">
        <v>12.0</v>
      </c>
      <c r="B17" s="11" t="s">
        <v>28</v>
      </c>
      <c r="C17" s="11"/>
      <c r="D17" s="12" t="s">
        <v>15</v>
      </c>
      <c r="E17" s="12">
        <v>8.0</v>
      </c>
      <c r="F17" s="8">
        <f t="shared" si="0"/>
        <v>16.23529411764706</v>
      </c>
      <c r="G17" s="9">
        <f t="shared" si="1"/>
        <v>0.8499999999999999</v>
      </c>
      <c r="H17" s="10">
        <v>13.8</v>
      </c>
      <c r="I17" s="10">
        <f t="shared" si="2"/>
        <v>110.4</v>
      </c>
      <c r="J17" s="11"/>
    </row>
    <row r="18" spans="8:8" s="1" ht="16.0" customFormat="1" customHeight="1">
      <c r="A18" s="6">
        <v>13.0</v>
      </c>
      <c r="B18" s="11" t="s">
        <v>93</v>
      </c>
      <c r="C18" s="11"/>
      <c r="D18" s="12" t="s">
        <v>15</v>
      </c>
      <c r="E18" s="12">
        <v>2.0</v>
      </c>
      <c r="F18" s="8">
        <f t="shared" si="0"/>
        <v>18.58823529411765</v>
      </c>
      <c r="G18" s="9">
        <f t="shared" si="1"/>
        <v>0.85</v>
      </c>
      <c r="H18" s="10">
        <v>15.8</v>
      </c>
      <c r="I18" s="10">
        <f t="shared" si="2"/>
        <v>31.6</v>
      </c>
      <c r="J18" s="11"/>
    </row>
    <row r="19" spans="8:8" s="1" ht="16.0" customFormat="1" customHeight="1">
      <c r="A19" s="6">
        <v>14.0</v>
      </c>
      <c r="B19" s="6" t="s">
        <v>94</v>
      </c>
      <c r="C19" s="6" t="s">
        <v>95</v>
      </c>
      <c r="D19" s="7" t="s">
        <v>53</v>
      </c>
      <c r="E19" s="7">
        <v>6.0</v>
      </c>
      <c r="F19" s="8">
        <f t="shared" si="0"/>
        <v>10.588235294117647</v>
      </c>
      <c r="G19" s="9">
        <f t="shared" si="1"/>
        <v>0.85</v>
      </c>
      <c r="H19" s="10">
        <v>9.0</v>
      </c>
      <c r="I19" s="10">
        <f t="shared" si="2"/>
        <v>54.0</v>
      </c>
      <c r="J19" s="6"/>
    </row>
    <row r="20" spans="8:8" s="1" ht="16.0" customFormat="1" customHeight="1">
      <c r="A20" s="6">
        <v>15.0</v>
      </c>
      <c r="B20" s="11" t="s">
        <v>96</v>
      </c>
      <c r="C20" s="11" t="s">
        <v>97</v>
      </c>
      <c r="D20" s="12" t="s">
        <v>32</v>
      </c>
      <c r="E20" s="12">
        <v>1.0</v>
      </c>
      <c r="F20" s="8">
        <f t="shared" si="0"/>
        <v>317.6470588235294</v>
      </c>
      <c r="G20" s="9">
        <f t="shared" si="1"/>
        <v>0.8500000000000001</v>
      </c>
      <c r="H20" s="10">
        <v>270.0</v>
      </c>
      <c r="I20" s="10">
        <f t="shared" si="2"/>
        <v>270.0</v>
      </c>
      <c r="J20" s="11"/>
    </row>
    <row r="21" spans="8:8" s="1" ht="16.0" customFormat="1" customHeight="1">
      <c r="A21" s="6">
        <v>16.0</v>
      </c>
      <c r="B21" s="11" t="s">
        <v>98</v>
      </c>
      <c r="C21" s="11" t="s">
        <v>99</v>
      </c>
      <c r="D21" s="12" t="s">
        <v>100</v>
      </c>
      <c r="E21" s="12">
        <v>1.0</v>
      </c>
      <c r="F21" s="8">
        <f t="shared" si="0"/>
        <v>152.94117647058823</v>
      </c>
      <c r="G21" s="9">
        <f t="shared" si="1"/>
        <v>0.85</v>
      </c>
      <c r="H21" s="10">
        <v>130.0</v>
      </c>
      <c r="I21" s="10">
        <f t="shared" si="2"/>
        <v>130.0</v>
      </c>
      <c r="J21" s="11"/>
    </row>
    <row r="22" spans="8:8" s="1" ht="16.0" customFormat="1" customHeight="1">
      <c r="A22" s="6">
        <v>17.0</v>
      </c>
      <c r="B22" s="11" t="s">
        <v>35</v>
      </c>
      <c r="C22" s="11"/>
      <c r="D22" s="12" t="s">
        <v>36</v>
      </c>
      <c r="E22" s="12">
        <v>55.0</v>
      </c>
      <c r="F22" s="8">
        <f t="shared" si="0"/>
        <v>4.11764705882353</v>
      </c>
      <c r="G22" s="9">
        <f t="shared" si="1"/>
        <v>0.8499999999999999</v>
      </c>
      <c r="H22" s="10">
        <v>3.5</v>
      </c>
      <c r="I22" s="10">
        <f t="shared" si="2"/>
        <v>192.5</v>
      </c>
      <c r="J22" s="11"/>
    </row>
    <row r="23" spans="8:8" s="1" ht="16.0" customFormat="1" customHeight="1">
      <c r="A23" s="6">
        <v>18.0</v>
      </c>
      <c r="B23" s="11"/>
      <c r="C23" s="11"/>
      <c r="D23" s="11"/>
      <c r="E23" s="12"/>
      <c r="F23" s="8"/>
      <c r="G23" s="9"/>
      <c r="H23" s="10"/>
      <c r="I23" s="10"/>
      <c r="J23" s="11"/>
    </row>
    <row r="24" spans="8:8" s="1" ht="16.0" customFormat="1" customHeight="1">
      <c r="A24" s="6">
        <v>19.0</v>
      </c>
      <c r="B24" s="11"/>
      <c r="C24" s="11"/>
      <c r="D24" s="12"/>
      <c r="E24" s="12"/>
      <c r="F24" s="8"/>
      <c r="G24" s="9"/>
      <c r="H24" s="10"/>
      <c r="I24" s="10"/>
      <c r="J24" s="11"/>
    </row>
    <row r="25" spans="8:8" s="1" ht="16.0" customFormat="1" customHeight="1">
      <c r="A25" s="6">
        <v>20.0</v>
      </c>
      <c r="B25" s="11"/>
      <c r="C25" s="11"/>
      <c r="D25" s="12"/>
      <c r="E25" s="12"/>
      <c r="F25" s="8"/>
      <c r="G25" s="9"/>
      <c r="H25" s="10"/>
      <c r="I25" s="10"/>
      <c r="J25" s="11"/>
    </row>
    <row r="26" spans="8:8" s="1" ht="16.0" customFormat="1" customHeight="1">
      <c r="A26" s="6">
        <v>21.0</v>
      </c>
      <c r="B26" s="6"/>
      <c r="C26" s="6"/>
      <c r="D26" s="7"/>
      <c r="E26" s="7"/>
      <c r="F26" s="8"/>
      <c r="G26" s="9"/>
      <c r="H26" s="10"/>
      <c r="I26" s="10"/>
      <c r="J26" s="6"/>
    </row>
    <row r="27" spans="8:8" s="1" ht="16.0" customFormat="1" customHeight="1">
      <c r="A27" s="6">
        <v>22.0</v>
      </c>
      <c r="B27" s="11"/>
      <c r="C27" s="11"/>
      <c r="D27" s="11"/>
      <c r="E27" s="12"/>
      <c r="F27" s="8"/>
      <c r="G27" s="9"/>
      <c r="H27" s="10"/>
      <c r="I27" s="10"/>
      <c r="J27" s="11"/>
    </row>
    <row r="28" spans="8:8" s="1" ht="16.0" customFormat="1" customHeight="1">
      <c r="A28" s="6">
        <v>23.0</v>
      </c>
      <c r="B28" s="6"/>
      <c r="C28" s="6"/>
      <c r="D28" s="11"/>
      <c r="E28" s="7"/>
      <c r="F28" s="8"/>
      <c r="G28" s="9"/>
      <c r="H28" s="10"/>
      <c r="I28" s="10"/>
      <c r="J28" s="6"/>
    </row>
    <row r="29" spans="8:8" s="1" ht="16.0" customFormat="1" customHeight="1">
      <c r="A29" s="6">
        <v>24.0</v>
      </c>
      <c r="B29" s="6"/>
      <c r="C29" s="6"/>
      <c r="D29" s="11"/>
      <c r="E29" s="7"/>
      <c r="F29" s="8"/>
      <c r="G29" s="9"/>
      <c r="H29" s="10"/>
      <c r="I29" s="10"/>
      <c r="J29" s="6"/>
    </row>
    <row r="30" spans="8:8" s="1" ht="16.0" customFormat="1" customHeight="1">
      <c r="A30" s="6">
        <v>25.0</v>
      </c>
      <c r="B30" s="6"/>
      <c r="C30" s="6"/>
      <c r="D30" s="6"/>
      <c r="E30" s="7"/>
      <c r="F30" s="8"/>
      <c r="G30" s="9"/>
      <c r="H30" s="10"/>
      <c r="I30" s="10"/>
      <c r="J30" s="6"/>
    </row>
    <row r="31" spans="8:8" s="1" ht="16.0" customFormat="1" customHeight="1">
      <c r="A31" s="6">
        <v>26.0</v>
      </c>
      <c r="B31" s="6"/>
      <c r="C31" s="6"/>
      <c r="D31" s="6"/>
      <c r="E31" s="7"/>
      <c r="F31" s="8"/>
      <c r="G31" s="9"/>
      <c r="H31" s="10"/>
      <c r="I31" s="10"/>
      <c r="J31" s="6"/>
    </row>
    <row r="32" spans="8:8" s="1" ht="16.0" customFormat="1" customHeight="1">
      <c r="A32" s="6">
        <v>27.0</v>
      </c>
      <c r="B32" s="6"/>
      <c r="C32" s="6"/>
      <c r="D32" s="6"/>
      <c r="E32" s="7"/>
      <c r="F32" s="8"/>
      <c r="G32" s="9"/>
      <c r="H32" s="10"/>
      <c r="I32" s="10"/>
      <c r="J32" s="6"/>
    </row>
    <row r="33" spans="8:8" s="1" ht="16.0" customFormat="1" customHeight="1">
      <c r="A33" s="6">
        <v>28.0</v>
      </c>
      <c r="B33" s="6"/>
      <c r="C33" s="6"/>
      <c r="D33" s="6"/>
      <c r="E33" s="7"/>
      <c r="F33" s="8"/>
      <c r="G33" s="9"/>
      <c r="H33" s="10"/>
      <c r="I33" s="10"/>
      <c r="J33" s="6"/>
    </row>
    <row r="34" spans="8:8" s="1" ht="18.0" customFormat="1" customHeight="1">
      <c r="A34" s="6" t="s">
        <v>37</v>
      </c>
      <c r="B34" s="15">
        <f>SUM(I6:I33)</f>
        <v>1054.1</v>
      </c>
      <c r="C34" s="16"/>
      <c r="D34" s="16"/>
      <c r="E34" s="16"/>
      <c r="F34" s="16"/>
      <c r="G34" s="16"/>
      <c r="H34" s="16"/>
      <c r="I34" s="16"/>
      <c r="J34" s="17"/>
    </row>
    <row r="35" spans="8:8" s="1" ht="18.0" customFormat="1" customHeight="1">
      <c r="A35" s="6" t="s">
        <v>38</v>
      </c>
      <c r="B35" s="18">
        <f>B34</f>
        <v>1054.1</v>
      </c>
      <c r="C35" s="19"/>
      <c r="D35" s="19"/>
      <c r="E35" s="19"/>
      <c r="F35" s="19"/>
      <c r="G35" s="19"/>
      <c r="H35" s="19"/>
      <c r="I35" s="19"/>
      <c r="J35" s="20"/>
    </row>
    <row r="36" spans="8:8" s="1" ht="18.0" customFormat="1" customHeight="1">
      <c r="A36" s="1" t="s">
        <v>39</v>
      </c>
    </row>
  </sheetData>
  <mergeCells count="4">
    <mergeCell ref="A1:J1"/>
    <mergeCell ref="B34:J34"/>
    <mergeCell ref="B35:J35"/>
    <mergeCell ref="A36:J36"/>
  </mergeCells>
  <conditionalFormatting sqref="B6:C26">
    <cfRule type="duplicateValues" priority="2" dxfId="10"/>
  </conditionalFormatting>
  <conditionalFormatting sqref="B6:B33">
    <cfRule type="duplicateValues" priority="1" dxfId="11"/>
  </conditionalFormatting>
  <pageMargins left="0.751388888888889" right="0.751388888888889" top="0.409027777777778" bottom="0.2125" header="0.5" footer="0.5"/>
  <pageSetup paperSize="9" scale="96"/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35"/>
  <sheetViews>
    <sheetView workbookViewId="0" topLeftCell="A14">
      <selection activeCell="I14" sqref="I1:I1048576"/>
    </sheetView>
  </sheetViews>
  <sheetFormatPr defaultRowHeight="18.0" customHeight="1" defaultColWidth="11"/>
  <cols>
    <col min="1" max="1" customWidth="1" width="9.125" style="1"/>
    <col min="2" max="2" customWidth="1" width="19.25" style="1"/>
    <col min="3" max="3" customWidth="1" width="13.125" style="1"/>
    <col min="4" max="4" customWidth="1" width="5.9414062" style="1"/>
    <col min="5" max="5" customWidth="1" width="5.25" style="1"/>
    <col min="6" max="6" customWidth="1" width="8.0" style="1"/>
    <col min="7" max="7" customWidth="1" width="6.625" style="1"/>
    <col min="8" max="8" customWidth="1" width="7.875" style="1"/>
    <col min="9" max="9" customWidth="1" width="8.625" style="1"/>
    <col min="10" max="10" customWidth="1" width="7.375" style="1"/>
    <col min="11" max="16326" customWidth="1" width="11.6640625" style="1"/>
    <col min="16327" max="16327" customWidth="0" width="11.6640625" style="1"/>
    <col min="16328" max="16333" customWidth="0" width="11.0" style="1"/>
    <col min="16334" max="16384" customWidth="0" width="11.0" style="2"/>
  </cols>
  <sheetData>
    <row r="1" spans="8:8" s="1" ht="24.0" customFormat="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8:8" s="1" ht="8.0" customFormat="1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spans="8:8" s="1" ht="18.0" customFormat="1" customHeight="1">
      <c r="A3" s="1" t="s">
        <v>1</v>
      </c>
      <c r="B3" s="1" t="s">
        <v>2</v>
      </c>
    </row>
    <row r="4" spans="8:8" s="1" ht="18.0" customFormat="1" customHeight="1">
      <c r="A4" s="1" t="s">
        <v>3</v>
      </c>
      <c r="B4" s="4">
        <v>45239.0</v>
      </c>
      <c r="C4" s="4"/>
      <c r="D4" s="5"/>
      <c r="E4" s="5"/>
      <c r="F4" s="5"/>
      <c r="G4" s="5"/>
      <c r="H4" s="4"/>
      <c r="I4" s="4"/>
      <c r="J4" s="4"/>
    </row>
    <row r="5" spans="8:8" s="1" ht="18.0" customFormat="1" customHeight="1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</row>
    <row r="6" spans="8:8" s="1" ht="16.0" customFormat="1" customHeight="1">
      <c r="A6" s="6">
        <v>1.0</v>
      </c>
      <c r="B6" s="6" t="s">
        <v>17</v>
      </c>
      <c r="C6" s="6"/>
      <c r="D6" s="7" t="s">
        <v>15</v>
      </c>
      <c r="E6" s="7">
        <v>4.0</v>
      </c>
      <c r="F6" s="8">
        <f t="shared" si="0" ref="F6:F13">H6/0.85</f>
        <v>4.11764705882353</v>
      </c>
      <c r="G6" s="9">
        <f t="shared" si="1" ref="G6:G13">H6/F6</f>
        <v>0.8499999999999999</v>
      </c>
      <c r="H6" s="10">
        <v>3.5</v>
      </c>
      <c r="I6" s="10">
        <f t="shared" si="2" ref="I6:I13">E6*H6</f>
        <v>14.0</v>
      </c>
      <c r="J6" s="6"/>
    </row>
    <row r="7" spans="8:8" s="1" ht="16.0" customFormat="1" customHeight="1">
      <c r="A7" s="6">
        <v>2.0</v>
      </c>
      <c r="B7" s="6" t="s">
        <v>101</v>
      </c>
      <c r="C7" s="6"/>
      <c r="D7" s="7" t="s">
        <v>15</v>
      </c>
      <c r="E7" s="7">
        <v>1.0</v>
      </c>
      <c r="F7" s="8">
        <f t="shared" si="0"/>
        <v>15.058823529411766</v>
      </c>
      <c r="G7" s="9">
        <f t="shared" si="1"/>
        <v>0.85</v>
      </c>
      <c r="H7" s="10">
        <v>12.8</v>
      </c>
      <c r="I7" s="10">
        <f t="shared" si="2"/>
        <v>12.8</v>
      </c>
      <c r="J7" s="6"/>
    </row>
    <row r="8" spans="8:8" s="1" ht="16.0" customFormat="1" customHeight="1">
      <c r="A8" s="6">
        <v>3.0</v>
      </c>
      <c r="B8" s="6" t="s">
        <v>19</v>
      </c>
      <c r="C8" s="6"/>
      <c r="D8" s="7" t="s">
        <v>15</v>
      </c>
      <c r="E8" s="7">
        <v>3.0</v>
      </c>
      <c r="F8" s="8">
        <f t="shared" si="0"/>
        <v>2.9411764705882355</v>
      </c>
      <c r="G8" s="9">
        <f t="shared" si="1"/>
        <v>0.85</v>
      </c>
      <c r="H8" s="10">
        <v>2.5</v>
      </c>
      <c r="I8" s="10">
        <f t="shared" si="2"/>
        <v>7.5</v>
      </c>
      <c r="J8" s="6"/>
    </row>
    <row r="9" spans="8:8" s="1" ht="16.0" customFormat="1" customHeight="1">
      <c r="A9" s="6">
        <v>4.0</v>
      </c>
      <c r="B9" s="11" t="s">
        <v>102</v>
      </c>
      <c r="C9" s="11"/>
      <c r="D9" s="7" t="s">
        <v>15</v>
      </c>
      <c r="E9" s="7">
        <v>5.0</v>
      </c>
      <c r="F9" s="8">
        <f t="shared" si="0"/>
        <v>4.470588235294118</v>
      </c>
      <c r="G9" s="9">
        <f t="shared" si="1"/>
        <v>0.85</v>
      </c>
      <c r="H9" s="10">
        <v>3.8</v>
      </c>
      <c r="I9" s="10">
        <f t="shared" si="2"/>
        <v>19.0</v>
      </c>
      <c r="J9" s="6"/>
    </row>
    <row r="10" spans="8:8" s="1" ht="16.0" customFormat="1" customHeight="1">
      <c r="A10" s="6">
        <v>5.0</v>
      </c>
      <c r="B10" s="6" t="s">
        <v>20</v>
      </c>
      <c r="C10" s="6"/>
      <c r="D10" s="7" t="s">
        <v>15</v>
      </c>
      <c r="E10" s="7">
        <v>25.0</v>
      </c>
      <c r="F10" s="8">
        <f t="shared" si="0"/>
        <v>4.11764705882353</v>
      </c>
      <c r="G10" s="9">
        <f t="shared" si="1"/>
        <v>0.8499999999999999</v>
      </c>
      <c r="H10" s="10">
        <v>3.5</v>
      </c>
      <c r="I10" s="10">
        <f t="shared" si="2"/>
        <v>87.5</v>
      </c>
      <c r="J10" s="6"/>
    </row>
    <row r="11" spans="8:8" s="1" ht="16.0" customFormat="1" customHeight="1">
      <c r="A11" s="6">
        <v>6.0</v>
      </c>
      <c r="B11" s="6" t="s">
        <v>103</v>
      </c>
      <c r="C11" s="6"/>
      <c r="D11" s="7" t="s">
        <v>15</v>
      </c>
      <c r="E11" s="7">
        <v>2.0</v>
      </c>
      <c r="F11" s="8">
        <f t="shared" si="0"/>
        <v>4.470588235294118</v>
      </c>
      <c r="G11" s="9">
        <f t="shared" si="1"/>
        <v>0.85</v>
      </c>
      <c r="H11" s="10">
        <v>3.8</v>
      </c>
      <c r="I11" s="10">
        <f t="shared" si="2"/>
        <v>7.6</v>
      </c>
      <c r="J11" s="6"/>
    </row>
    <row r="12" spans="8:8" s="1" ht="16.0" customFormat="1" customHeight="1">
      <c r="A12" s="6">
        <v>7.0</v>
      </c>
      <c r="B12" s="6" t="s">
        <v>104</v>
      </c>
      <c r="C12" s="6"/>
      <c r="D12" s="7" t="s">
        <v>15</v>
      </c>
      <c r="E12" s="7">
        <v>8.4</v>
      </c>
      <c r="F12" s="8">
        <f t="shared" si="0"/>
        <v>2.9411764705882355</v>
      </c>
      <c r="G12" s="9">
        <f t="shared" si="1"/>
        <v>0.85</v>
      </c>
      <c r="H12" s="10">
        <v>2.5</v>
      </c>
      <c r="I12" s="10">
        <f t="shared" si="2"/>
        <v>21.0</v>
      </c>
      <c r="J12" s="6"/>
    </row>
    <row r="13" spans="8:8" s="1" ht="16.0" customFormat="1" customHeight="1">
      <c r="A13" s="6">
        <v>8.0</v>
      </c>
      <c r="B13" s="11" t="s">
        <v>25</v>
      </c>
      <c r="C13" s="11"/>
      <c r="D13" s="12" t="s">
        <v>15</v>
      </c>
      <c r="E13" s="12">
        <v>1.0</v>
      </c>
      <c r="F13" s="8">
        <f t="shared" si="0"/>
        <v>9.176470588235293</v>
      </c>
      <c r="G13" s="9">
        <f t="shared" si="1"/>
        <v>0.8500000000000001</v>
      </c>
      <c r="H13" s="10">
        <v>7.8</v>
      </c>
      <c r="I13" s="10">
        <f t="shared" si="2"/>
        <v>7.8</v>
      </c>
      <c r="J13" s="11"/>
    </row>
    <row r="14" spans="8:8" s="1" ht="16.0" customFormat="1" customHeight="1">
      <c r="A14" s="6">
        <v>9.0</v>
      </c>
      <c r="B14" s="11" t="s">
        <v>85</v>
      </c>
      <c r="C14" s="11"/>
      <c r="D14" s="12" t="s">
        <v>15</v>
      </c>
      <c r="E14" s="12">
        <v>1.0</v>
      </c>
      <c r="F14" s="8">
        <f t="shared" si="3" ref="F14:F25">H14/0.85</f>
        <v>11.529411764705884</v>
      </c>
      <c r="G14" s="9">
        <f t="shared" si="4" ref="G14:G25">H14/F14</f>
        <v>0.85</v>
      </c>
      <c r="H14" s="10">
        <v>9.8</v>
      </c>
      <c r="I14" s="10">
        <f t="shared" si="5" ref="I14:I25">E14*H14</f>
        <v>9.8</v>
      </c>
      <c r="J14" s="11"/>
    </row>
    <row r="15" spans="8:8" s="1" ht="16.0" customFormat="1" customHeight="1">
      <c r="A15" s="6">
        <v>10.0</v>
      </c>
      <c r="B15" s="11" t="s">
        <v>105</v>
      </c>
      <c r="C15" s="11"/>
      <c r="D15" s="12" t="s">
        <v>15</v>
      </c>
      <c r="E15" s="12">
        <v>15.0</v>
      </c>
      <c r="F15" s="8">
        <f t="shared" si="3"/>
        <v>5.647058823529412</v>
      </c>
      <c r="G15" s="9">
        <f t="shared" si="4"/>
        <v>0.8499999999999999</v>
      </c>
      <c r="H15" s="10">
        <v>4.8</v>
      </c>
      <c r="I15" s="10">
        <f t="shared" si="5"/>
        <v>72.0</v>
      </c>
      <c r="J15" s="11"/>
    </row>
    <row r="16" spans="8:8" s="1" ht="16.0" customFormat="1" customHeight="1">
      <c r="A16" s="6">
        <v>11.0</v>
      </c>
      <c r="B16" s="11" t="s">
        <v>106</v>
      </c>
      <c r="C16" s="11"/>
      <c r="D16" s="12" t="s">
        <v>15</v>
      </c>
      <c r="E16" s="12">
        <v>3.0</v>
      </c>
      <c r="F16" s="8">
        <f t="shared" si="3"/>
        <v>8.0</v>
      </c>
      <c r="G16" s="9">
        <f t="shared" si="4"/>
        <v>0.85</v>
      </c>
      <c r="H16" s="10">
        <v>6.8</v>
      </c>
      <c r="I16" s="10">
        <f t="shared" si="5"/>
        <v>20.4</v>
      </c>
      <c r="J16" s="11"/>
    </row>
    <row r="17" spans="8:8" s="1" ht="16.0" customFormat="1" customHeight="1">
      <c r="A17" s="6">
        <v>12.0</v>
      </c>
      <c r="B17" s="11" t="s">
        <v>26</v>
      </c>
      <c r="C17" s="11"/>
      <c r="D17" s="12" t="s">
        <v>15</v>
      </c>
      <c r="E17" s="12">
        <v>2.0</v>
      </c>
      <c r="F17" s="8">
        <f t="shared" si="3"/>
        <v>16.23529411764706</v>
      </c>
      <c r="G17" s="9">
        <f t="shared" si="4"/>
        <v>0.8499999999999999</v>
      </c>
      <c r="H17" s="10">
        <v>13.8</v>
      </c>
      <c r="I17" s="10">
        <f t="shared" si="5"/>
        <v>27.6</v>
      </c>
      <c r="J17" s="11"/>
    </row>
    <row r="18" spans="8:8" s="1" ht="16.0" customFormat="1" customHeight="1">
      <c r="A18" s="6">
        <v>13.0</v>
      </c>
      <c r="B18" s="6" t="s">
        <v>28</v>
      </c>
      <c r="C18" s="6"/>
      <c r="D18" s="7" t="s">
        <v>15</v>
      </c>
      <c r="E18" s="7">
        <v>3.0</v>
      </c>
      <c r="F18" s="8">
        <f t="shared" si="3"/>
        <v>16.23529411764706</v>
      </c>
      <c r="G18" s="9">
        <f t="shared" si="4"/>
        <v>0.8499999999999999</v>
      </c>
      <c r="H18" s="10">
        <v>13.8</v>
      </c>
      <c r="I18" s="10">
        <f t="shared" si="5"/>
        <v>41.400000000000006</v>
      </c>
      <c r="J18" s="6"/>
    </row>
    <row r="19" spans="8:8" s="1" ht="16.0" customFormat="1" customHeight="1">
      <c r="A19" s="6">
        <v>14.0</v>
      </c>
      <c r="B19" s="11" t="s">
        <v>69</v>
      </c>
      <c r="C19" s="11"/>
      <c r="D19" s="12" t="s">
        <v>15</v>
      </c>
      <c r="E19" s="12">
        <v>5.0</v>
      </c>
      <c r="F19" s="8">
        <f t="shared" si="3"/>
        <v>23.529411764705884</v>
      </c>
      <c r="G19" s="9">
        <f t="shared" si="4"/>
        <v>0.85</v>
      </c>
      <c r="H19" s="10">
        <v>20.0</v>
      </c>
      <c r="I19" s="10">
        <f t="shared" si="5"/>
        <v>100.0</v>
      </c>
      <c r="J19" s="11"/>
    </row>
    <row r="20" spans="8:8" s="1" ht="16.0" customFormat="1" customHeight="1">
      <c r="A20" s="6">
        <v>15.0</v>
      </c>
      <c r="B20" s="11" t="s">
        <v>107</v>
      </c>
      <c r="C20" s="11"/>
      <c r="D20" s="12" t="s">
        <v>15</v>
      </c>
      <c r="E20" s="12">
        <v>5.0</v>
      </c>
      <c r="F20" s="8">
        <f t="shared" si="3"/>
        <v>23.529411764705884</v>
      </c>
      <c r="G20" s="9">
        <f t="shared" si="4"/>
        <v>0.85</v>
      </c>
      <c r="H20" s="10">
        <v>20.0</v>
      </c>
      <c r="I20" s="10">
        <f t="shared" si="5"/>
        <v>100.0</v>
      </c>
      <c r="J20" s="11"/>
    </row>
    <row r="21" spans="8:8" s="1" ht="16.0" customFormat="1" customHeight="1">
      <c r="A21" s="6">
        <v>16.0</v>
      </c>
      <c r="B21" s="11" t="s">
        <v>108</v>
      </c>
      <c r="C21" s="11"/>
      <c r="D21" s="12" t="s">
        <v>15</v>
      </c>
      <c r="E21" s="12">
        <v>15.0</v>
      </c>
      <c r="F21" s="8">
        <f t="shared" si="3"/>
        <v>5.882352941176471</v>
      </c>
      <c r="G21" s="9">
        <f t="shared" si="4"/>
        <v>0.85</v>
      </c>
      <c r="H21" s="10">
        <v>5.0</v>
      </c>
      <c r="I21" s="10">
        <f t="shared" si="5"/>
        <v>75.0</v>
      </c>
      <c r="J21" s="11"/>
    </row>
    <row r="22" spans="8:8" s="1" ht="16.0" customFormat="1" customHeight="1">
      <c r="A22" s="6">
        <v>17.0</v>
      </c>
      <c r="B22" s="11" t="s">
        <v>109</v>
      </c>
      <c r="C22" s="11" t="s">
        <v>110</v>
      </c>
      <c r="D22" s="11" t="s">
        <v>51</v>
      </c>
      <c r="E22" s="12">
        <v>1.0</v>
      </c>
      <c r="F22" s="8">
        <f t="shared" si="3"/>
        <v>11.529411764705884</v>
      </c>
      <c r="G22" s="9">
        <f t="shared" si="4"/>
        <v>0.85</v>
      </c>
      <c r="H22" s="10">
        <v>9.8</v>
      </c>
      <c r="I22" s="10">
        <f t="shared" si="5"/>
        <v>9.8</v>
      </c>
      <c r="J22" s="11"/>
    </row>
    <row r="23" spans="8:8" s="1" ht="16.0" customFormat="1" customHeight="1">
      <c r="A23" s="6">
        <v>18.0</v>
      </c>
      <c r="B23" s="11" t="s">
        <v>111</v>
      </c>
      <c r="C23" s="11" t="s">
        <v>112</v>
      </c>
      <c r="D23" s="12" t="s">
        <v>15</v>
      </c>
      <c r="E23" s="12">
        <v>2.0</v>
      </c>
      <c r="F23" s="8">
        <f t="shared" si="3"/>
        <v>7.0588235294117645</v>
      </c>
      <c r="G23" s="9">
        <f t="shared" si="4"/>
        <v>0.85</v>
      </c>
      <c r="H23" s="10">
        <v>6.0</v>
      </c>
      <c r="I23" s="10">
        <f t="shared" si="5"/>
        <v>12.0</v>
      </c>
      <c r="J23" s="11"/>
    </row>
    <row r="24" spans="8:8" s="1" ht="16.0" customFormat="1" customHeight="1">
      <c r="A24" s="6">
        <v>19.0</v>
      </c>
      <c r="B24" s="11" t="s">
        <v>35</v>
      </c>
      <c r="C24" s="11"/>
      <c r="D24" s="12" t="s">
        <v>36</v>
      </c>
      <c r="E24" s="12">
        <v>55.0</v>
      </c>
      <c r="F24" s="8">
        <f t="shared" si="3"/>
        <v>4.11764705882353</v>
      </c>
      <c r="G24" s="9">
        <f t="shared" si="4"/>
        <v>0.8499999999999999</v>
      </c>
      <c r="H24" s="10">
        <v>3.5</v>
      </c>
      <c r="I24" s="10">
        <f t="shared" si="5"/>
        <v>192.5</v>
      </c>
      <c r="J24" s="11"/>
    </row>
    <row r="25" spans="8:8" s="1" ht="16.0" customFormat="1" customHeight="1">
      <c r="A25" s="6">
        <v>20.0</v>
      </c>
      <c r="B25" s="6" t="s">
        <v>113</v>
      </c>
      <c r="C25" s="6"/>
      <c r="D25" s="7" t="s">
        <v>15</v>
      </c>
      <c r="E25" s="7">
        <v>5.0</v>
      </c>
      <c r="F25" s="8">
        <f t="shared" si="3"/>
        <v>103.52941176470588</v>
      </c>
      <c r="G25" s="9">
        <f t="shared" si="4"/>
        <v>0.85</v>
      </c>
      <c r="H25" s="10">
        <v>88.0</v>
      </c>
      <c r="I25" s="10">
        <f t="shared" si="5"/>
        <v>440.0</v>
      </c>
      <c r="J25" s="6"/>
    </row>
    <row r="26" spans="8:8" s="1" ht="16.0" customFormat="1" customHeight="1">
      <c r="A26" s="6">
        <v>21.0</v>
      </c>
      <c r="B26" s="11"/>
      <c r="C26" s="11"/>
      <c r="D26" s="7"/>
      <c r="E26" s="7"/>
      <c r="F26" s="8"/>
      <c r="G26" s="9"/>
      <c r="H26" s="10"/>
      <c r="I26" s="10"/>
      <c r="J26" s="6"/>
    </row>
    <row r="27" spans="8:8" s="1" ht="16.0" customFormat="1" customHeight="1">
      <c r="A27" s="6">
        <v>22.0</v>
      </c>
      <c r="B27" s="11"/>
      <c r="C27" s="11"/>
      <c r="D27" s="11"/>
      <c r="E27" s="12"/>
      <c r="F27" s="8"/>
      <c r="G27" s="9"/>
      <c r="H27" s="10"/>
      <c r="I27" s="10"/>
      <c r="J27" s="11"/>
    </row>
    <row r="28" spans="8:8" s="1" ht="16.0" customFormat="1" customHeight="1">
      <c r="A28" s="6">
        <v>23.0</v>
      </c>
      <c r="B28" s="6"/>
      <c r="C28" s="6"/>
      <c r="D28" s="11"/>
      <c r="E28" s="7"/>
      <c r="F28" s="8"/>
      <c r="G28" s="9"/>
      <c r="H28" s="10"/>
      <c r="I28" s="10"/>
      <c r="J28" s="6"/>
    </row>
    <row r="29" spans="8:8" s="1" ht="16.0" customFormat="1" customHeight="1">
      <c r="A29" s="6">
        <v>24.0</v>
      </c>
      <c r="B29" s="6"/>
      <c r="C29" s="6"/>
      <c r="D29" s="11"/>
      <c r="E29" s="7"/>
      <c r="F29" s="8"/>
      <c r="G29" s="9"/>
      <c r="H29" s="10"/>
      <c r="I29" s="10"/>
      <c r="J29" s="6"/>
    </row>
    <row r="30" spans="8:8" s="1" ht="16.0" customFormat="1" customHeight="1">
      <c r="A30" s="6">
        <v>25.0</v>
      </c>
      <c r="B30" s="6"/>
      <c r="C30" s="6"/>
      <c r="D30" s="6"/>
      <c r="E30" s="7"/>
      <c r="F30" s="8"/>
      <c r="G30" s="9"/>
      <c r="H30" s="10"/>
      <c r="I30" s="10"/>
      <c r="J30" s="6"/>
    </row>
    <row r="31" spans="8:8" s="1" ht="16.0" customFormat="1" customHeight="1">
      <c r="A31" s="6">
        <v>26.0</v>
      </c>
      <c r="B31" s="6"/>
      <c r="C31" s="6"/>
      <c r="D31" s="6"/>
      <c r="E31" s="7"/>
      <c r="F31" s="8"/>
      <c r="G31" s="9"/>
      <c r="H31" s="10"/>
      <c r="I31" s="10"/>
      <c r="J31" s="6"/>
    </row>
    <row r="32" spans="8:8" s="1" ht="16.0" customFormat="1" customHeight="1">
      <c r="A32" s="6">
        <v>27.0</v>
      </c>
      <c r="B32" s="6"/>
      <c r="C32" s="6"/>
      <c r="D32" s="6"/>
      <c r="E32" s="7"/>
      <c r="F32" s="8"/>
      <c r="G32" s="9"/>
      <c r="H32" s="10"/>
      <c r="I32" s="10"/>
      <c r="J32" s="6"/>
    </row>
    <row r="33" spans="8:8" s="1" ht="18.0" customFormat="1" customHeight="1">
      <c r="A33" s="6" t="s">
        <v>37</v>
      </c>
      <c r="B33" s="15">
        <f>SUM(I6:I32)</f>
        <v>1277.6999999999998</v>
      </c>
      <c r="C33" s="16"/>
      <c r="D33" s="16"/>
      <c r="E33" s="16"/>
      <c r="F33" s="16"/>
      <c r="G33" s="16"/>
      <c r="H33" s="16"/>
      <c r="I33" s="16"/>
      <c r="J33" s="17"/>
    </row>
    <row r="34" spans="8:8" s="1" ht="18.0" customFormat="1" customHeight="1">
      <c r="A34" s="6" t="s">
        <v>38</v>
      </c>
      <c r="B34" s="18">
        <f>B33</f>
        <v>1277.6999999999998</v>
      </c>
      <c r="C34" s="19"/>
      <c r="D34" s="19"/>
      <c r="E34" s="19"/>
      <c r="F34" s="19"/>
      <c r="G34" s="19"/>
      <c r="H34" s="19"/>
      <c r="I34" s="19"/>
      <c r="J34" s="20"/>
    </row>
    <row r="35" spans="8:8" s="1" ht="18.0" customFormat="1" customHeight="1">
      <c r="A35" s="1" t="s">
        <v>39</v>
      </c>
    </row>
  </sheetData>
  <mergeCells count="4">
    <mergeCell ref="A1:J1"/>
    <mergeCell ref="B33:J33"/>
    <mergeCell ref="B34:J34"/>
    <mergeCell ref="A35:J35"/>
  </mergeCells>
  <conditionalFormatting sqref="B6:B25">
    <cfRule type="duplicateValues" priority="2" dxfId="12"/>
  </conditionalFormatting>
  <conditionalFormatting sqref="B6:B32">
    <cfRule type="duplicateValues" priority="1" dxfId="13"/>
  </conditionalFormatting>
  <pageMargins left="0.751388888888889" right="0.751388888888889" top="0.409027777777778" bottom="0.2125" header="0.5" footer="0.5"/>
  <pageSetup paperSize="9" scale="95"/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35"/>
  <sheetViews>
    <sheetView workbookViewId="0" topLeftCell="A12">
      <selection activeCell="I12" sqref="I1:I1048576"/>
    </sheetView>
  </sheetViews>
  <sheetFormatPr defaultRowHeight="18.0" customHeight="1" defaultColWidth="11"/>
  <cols>
    <col min="1" max="1" customWidth="1" width="9.125" style="1"/>
    <col min="2" max="2" customWidth="1" width="19.25" style="1"/>
    <col min="3" max="3" customWidth="1" width="11.375" style="1"/>
    <col min="4" max="4" customWidth="1" width="5.9414062" style="1"/>
    <col min="5" max="5" customWidth="1" width="5.25" style="21"/>
    <col min="6" max="6" customWidth="1" width="8.0" style="1"/>
    <col min="7" max="7" customWidth="1" width="6.625" style="1"/>
    <col min="8" max="8" customWidth="1" width="7.875" style="1"/>
    <col min="9" max="9" customWidth="1" width="8.625" style="1"/>
    <col min="10" max="10" customWidth="1" width="7.375" style="1"/>
    <col min="11" max="16326" customWidth="1" width="11.6640625" style="1"/>
    <col min="16327" max="16327" customWidth="0" width="11.6640625" style="1"/>
    <col min="16328" max="16333" customWidth="0" width="11.0" style="1"/>
    <col min="16334" max="16384" customWidth="0" width="11.0" style="2"/>
  </cols>
  <sheetData>
    <row r="1" spans="8:8" s="1" ht="24.0" customFormat="1" customHeight="1">
      <c r="A1" s="3" t="s">
        <v>0</v>
      </c>
      <c r="B1" s="3"/>
      <c r="C1" s="3"/>
      <c r="D1" s="3"/>
      <c r="E1" s="22"/>
      <c r="F1" s="3"/>
      <c r="G1" s="3"/>
      <c r="H1" s="3"/>
      <c r="I1" s="3"/>
      <c r="J1" s="3"/>
    </row>
    <row r="2" spans="8:8" s="1" ht="8.0" customFormat="1" customHeight="1">
      <c r="A2" s="3"/>
      <c r="B2" s="3"/>
      <c r="C2" s="3"/>
      <c r="D2" s="3"/>
      <c r="E2" s="22"/>
      <c r="F2" s="3"/>
      <c r="G2" s="3"/>
      <c r="H2" s="3"/>
      <c r="I2" s="3"/>
      <c r="J2" s="3"/>
    </row>
    <row r="3" spans="8:8" s="1" ht="18.0" customFormat="1" customHeight="1">
      <c r="A3" s="1" t="s">
        <v>1</v>
      </c>
      <c r="B3" s="1" t="s">
        <v>2</v>
      </c>
      <c r="E3" s="21"/>
    </row>
    <row r="4" spans="8:8" s="1" ht="18.0" customFormat="1" customHeight="1">
      <c r="A4" s="1" t="s">
        <v>3</v>
      </c>
      <c r="B4" s="4">
        <v>45240.0</v>
      </c>
      <c r="C4" s="4"/>
      <c r="D4" s="5"/>
      <c r="E4" s="23"/>
      <c r="F4" s="5"/>
      <c r="G4" s="5"/>
      <c r="H4" s="4"/>
      <c r="I4" s="4"/>
      <c r="J4" s="4"/>
    </row>
    <row r="5" spans="8:8" s="1" ht="18.0" customFormat="1" customHeight="1">
      <c r="A5" s="6" t="s">
        <v>4</v>
      </c>
      <c r="B5" s="6" t="s">
        <v>5</v>
      </c>
      <c r="C5" s="6" t="s">
        <v>6</v>
      </c>
      <c r="D5" s="6" t="s">
        <v>7</v>
      </c>
      <c r="E5" s="7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</row>
    <row r="6" spans="8:8" s="1" ht="16.0" customFormat="1" customHeight="1">
      <c r="A6" s="6">
        <v>1.0</v>
      </c>
      <c r="B6" s="6" t="s">
        <v>14</v>
      </c>
      <c r="C6" s="6"/>
      <c r="D6" s="7" t="s">
        <v>15</v>
      </c>
      <c r="E6" s="7">
        <v>5.0</v>
      </c>
      <c r="F6" s="8">
        <f t="shared" si="0" ref="F6:F30">H6/0.85</f>
        <v>3.5294117647058822</v>
      </c>
      <c r="G6" s="9">
        <f t="shared" si="1" ref="G6:G30">H6/F6</f>
        <v>0.85</v>
      </c>
      <c r="H6" s="10">
        <v>3.0</v>
      </c>
      <c r="I6" s="10">
        <f t="shared" si="2" ref="I6:I30">E6*H6</f>
        <v>15.0</v>
      </c>
      <c r="J6" s="6"/>
    </row>
    <row r="7" spans="8:8" s="1" ht="16.0" customFormat="1" customHeight="1">
      <c r="A7" s="6">
        <v>2.0</v>
      </c>
      <c r="B7" s="6" t="s">
        <v>58</v>
      </c>
      <c r="C7" s="6" t="s">
        <v>59</v>
      </c>
      <c r="D7" s="7" t="s">
        <v>15</v>
      </c>
      <c r="E7" s="7">
        <v>6.0</v>
      </c>
      <c r="F7" s="8">
        <f t="shared" si="0"/>
        <v>4.11764705882353</v>
      </c>
      <c r="G7" s="9">
        <f t="shared" si="1"/>
        <v>0.8499999999999999</v>
      </c>
      <c r="H7" s="10">
        <v>3.5</v>
      </c>
      <c r="I7" s="10">
        <f t="shared" si="2"/>
        <v>21.0</v>
      </c>
      <c r="J7" s="6"/>
    </row>
    <row r="8" spans="8:8" s="1" ht="16.0" customFormat="1" customHeight="1">
      <c r="A8" s="6">
        <v>3.0</v>
      </c>
      <c r="B8" s="6" t="s">
        <v>60</v>
      </c>
      <c r="C8" s="6"/>
      <c r="D8" s="7" t="s">
        <v>15</v>
      </c>
      <c r="E8" s="7">
        <v>1.0</v>
      </c>
      <c r="F8" s="8">
        <f t="shared" si="0"/>
        <v>4.11764705882353</v>
      </c>
      <c r="G8" s="9">
        <f t="shared" si="1"/>
        <v>0.8499999999999999</v>
      </c>
      <c r="H8" s="10">
        <v>3.5</v>
      </c>
      <c r="I8" s="10">
        <f t="shared" si="2"/>
        <v>3.5</v>
      </c>
      <c r="J8" s="6"/>
    </row>
    <row r="9" spans="8:8" s="1" ht="16.0" customFormat="1" customHeight="1">
      <c r="A9" s="6">
        <v>4.0</v>
      </c>
      <c r="B9" s="11" t="s">
        <v>17</v>
      </c>
      <c r="C9" s="11"/>
      <c r="D9" s="7" t="s">
        <v>15</v>
      </c>
      <c r="E9" s="7">
        <v>5.0</v>
      </c>
      <c r="F9" s="8">
        <f t="shared" si="0"/>
        <v>4.11764705882353</v>
      </c>
      <c r="G9" s="9">
        <f t="shared" si="1"/>
        <v>0.8499999999999999</v>
      </c>
      <c r="H9" s="10">
        <v>3.5</v>
      </c>
      <c r="I9" s="10">
        <f t="shared" si="2"/>
        <v>17.5</v>
      </c>
      <c r="J9" s="6"/>
    </row>
    <row r="10" spans="8:8" s="1" ht="16.0" customFormat="1" customHeight="1">
      <c r="A10" s="6">
        <v>5.0</v>
      </c>
      <c r="B10" s="11" t="s">
        <v>102</v>
      </c>
      <c r="C10" s="11"/>
      <c r="D10" s="7" t="s">
        <v>15</v>
      </c>
      <c r="E10" s="7">
        <v>6.0</v>
      </c>
      <c r="F10" s="8">
        <f t="shared" si="0"/>
        <v>4.470588235294118</v>
      </c>
      <c r="G10" s="9">
        <f t="shared" si="1"/>
        <v>0.85</v>
      </c>
      <c r="H10" s="10">
        <v>3.8</v>
      </c>
      <c r="I10" s="10">
        <f t="shared" si="2"/>
        <v>22.799999999999997</v>
      </c>
      <c r="J10" s="6"/>
    </row>
    <row r="11" spans="8:8" s="1" ht="16.0" customFormat="1" customHeight="1">
      <c r="A11" s="6">
        <v>6.0</v>
      </c>
      <c r="B11" s="6" t="s">
        <v>22</v>
      </c>
      <c r="C11" s="6"/>
      <c r="D11" s="7" t="s">
        <v>23</v>
      </c>
      <c r="E11" s="7">
        <v>8.0</v>
      </c>
      <c r="F11" s="8">
        <f t="shared" si="0"/>
        <v>3.5294117647058822</v>
      </c>
      <c r="G11" s="9">
        <f t="shared" si="1"/>
        <v>0.85</v>
      </c>
      <c r="H11" s="10">
        <v>3.0</v>
      </c>
      <c r="I11" s="10">
        <f t="shared" si="2"/>
        <v>24.0</v>
      </c>
      <c r="J11" s="6"/>
    </row>
    <row r="12" spans="8:8" s="1" ht="16.0" customFormat="1" customHeight="1">
      <c r="A12" s="6">
        <v>7.0</v>
      </c>
      <c r="B12" s="6" t="s">
        <v>74</v>
      </c>
      <c r="C12" s="6"/>
      <c r="D12" s="7" t="s">
        <v>15</v>
      </c>
      <c r="E12" s="7">
        <v>6.0</v>
      </c>
      <c r="F12" s="8">
        <f t="shared" si="0"/>
        <v>4.470588235294118</v>
      </c>
      <c r="G12" s="9">
        <f t="shared" si="1"/>
        <v>0.85</v>
      </c>
      <c r="H12" s="10">
        <v>3.8</v>
      </c>
      <c r="I12" s="10">
        <f t="shared" si="2"/>
        <v>22.799999999999997</v>
      </c>
      <c r="J12" s="6"/>
    </row>
    <row r="13" spans="8:8" s="1" ht="16.0" customFormat="1" customHeight="1">
      <c r="A13" s="6">
        <v>8.0</v>
      </c>
      <c r="B13" s="11" t="s">
        <v>114</v>
      </c>
      <c r="C13" s="11"/>
      <c r="D13" s="12" t="s">
        <v>15</v>
      </c>
      <c r="E13" s="12">
        <v>11.3</v>
      </c>
      <c r="F13" s="8">
        <f t="shared" si="0"/>
        <v>6.823529411764706</v>
      </c>
      <c r="G13" s="9">
        <f t="shared" si="1"/>
        <v>0.85</v>
      </c>
      <c r="H13" s="14">
        <v>5.8</v>
      </c>
      <c r="I13" s="10">
        <f t="shared" si="2"/>
        <v>65.54</v>
      </c>
      <c r="J13" s="11"/>
    </row>
    <row r="14" spans="8:8" s="1" ht="16.0" customFormat="1" customHeight="1">
      <c r="A14" s="6">
        <v>9.0</v>
      </c>
      <c r="B14" s="11" t="s">
        <v>103</v>
      </c>
      <c r="C14" s="11"/>
      <c r="D14" s="12" t="s">
        <v>15</v>
      </c>
      <c r="E14" s="12">
        <v>5.0</v>
      </c>
      <c r="F14" s="8">
        <f t="shared" si="0"/>
        <v>4.470588235294118</v>
      </c>
      <c r="G14" s="9">
        <f t="shared" si="1"/>
        <v>0.85</v>
      </c>
      <c r="H14" s="14">
        <v>3.8</v>
      </c>
      <c r="I14" s="10">
        <f t="shared" si="2"/>
        <v>19.0</v>
      </c>
      <c r="J14" s="11"/>
    </row>
    <row r="15" spans="8:8" s="1" ht="16.0" customFormat="1" customHeight="1">
      <c r="A15" s="6">
        <v>10.0</v>
      </c>
      <c r="B15" s="11" t="s">
        <v>104</v>
      </c>
      <c r="C15" s="11"/>
      <c r="D15" s="12" t="s">
        <v>15</v>
      </c>
      <c r="E15" s="12">
        <v>7.8</v>
      </c>
      <c r="F15" s="8">
        <f t="shared" si="0"/>
        <v>2.9411764705882355</v>
      </c>
      <c r="G15" s="9">
        <f t="shared" si="1"/>
        <v>0.85</v>
      </c>
      <c r="H15" s="14">
        <v>2.5</v>
      </c>
      <c r="I15" s="10">
        <f t="shared" si="2"/>
        <v>19.5</v>
      </c>
      <c r="J15" s="11"/>
    </row>
    <row r="16" spans="8:8" s="1" ht="16.0" customFormat="1" customHeight="1">
      <c r="A16" s="6">
        <v>11.0</v>
      </c>
      <c r="B16" s="6" t="s">
        <v>115</v>
      </c>
      <c r="C16" s="6"/>
      <c r="D16" s="7" t="s">
        <v>15</v>
      </c>
      <c r="E16" s="7">
        <v>5.5</v>
      </c>
      <c r="F16" s="8">
        <f t="shared" si="0"/>
        <v>13.882352941176471</v>
      </c>
      <c r="G16" s="9">
        <f t="shared" si="1"/>
        <v>0.85</v>
      </c>
      <c r="H16" s="10">
        <v>11.8</v>
      </c>
      <c r="I16" s="10">
        <f t="shared" si="2"/>
        <v>64.9</v>
      </c>
      <c r="J16" s="6"/>
    </row>
    <row r="17" spans="8:8" s="1" ht="16.0" customFormat="1" customHeight="1">
      <c r="A17" s="6">
        <v>12.0</v>
      </c>
      <c r="B17" s="11" t="s">
        <v>25</v>
      </c>
      <c r="C17" s="11"/>
      <c r="D17" s="12" t="s">
        <v>15</v>
      </c>
      <c r="E17" s="12">
        <v>2.0</v>
      </c>
      <c r="F17" s="8">
        <f t="shared" si="0"/>
        <v>9.176470588235293</v>
      </c>
      <c r="G17" s="9">
        <f t="shared" si="1"/>
        <v>0.8500000000000001</v>
      </c>
      <c r="H17" s="10">
        <v>7.8</v>
      </c>
      <c r="I17" s="10">
        <f t="shared" si="2"/>
        <v>15.6</v>
      </c>
      <c r="J17" s="11"/>
    </row>
    <row r="18" spans="8:8" s="1" ht="16.0" customFormat="1" customHeight="1">
      <c r="A18" s="6">
        <v>13.0</v>
      </c>
      <c r="B18" s="11" t="s">
        <v>76</v>
      </c>
      <c r="C18" s="11"/>
      <c r="D18" s="12" t="s">
        <v>15</v>
      </c>
      <c r="E18" s="12">
        <v>8.0</v>
      </c>
      <c r="F18" s="8">
        <f t="shared" si="0"/>
        <v>2.1176470588235294</v>
      </c>
      <c r="G18" s="9">
        <f t="shared" si="1"/>
        <v>0.85</v>
      </c>
      <c r="H18" s="10">
        <v>1.8</v>
      </c>
      <c r="I18" s="10">
        <f t="shared" si="2"/>
        <v>14.4</v>
      </c>
      <c r="J18" s="11"/>
    </row>
    <row r="19" spans="8:8" s="1" ht="16.0" customFormat="1" customHeight="1">
      <c r="A19" s="6">
        <v>14.0</v>
      </c>
      <c r="B19" s="11" t="s">
        <v>66</v>
      </c>
      <c r="C19" s="11"/>
      <c r="D19" s="11" t="s">
        <v>15</v>
      </c>
      <c r="E19" s="12">
        <v>12.0</v>
      </c>
      <c r="F19" s="8">
        <f t="shared" si="0"/>
        <v>2.3529411764705883</v>
      </c>
      <c r="G19" s="9">
        <f t="shared" si="1"/>
        <v>0.85</v>
      </c>
      <c r="H19" s="10">
        <v>2.0</v>
      </c>
      <c r="I19" s="10">
        <f t="shared" si="2"/>
        <v>24.0</v>
      </c>
      <c r="J19" s="11"/>
    </row>
    <row r="20" spans="8:8" s="1" ht="16.0" customFormat="1" customHeight="1">
      <c r="A20" s="6">
        <v>15.0</v>
      </c>
      <c r="B20" s="11" t="s">
        <v>116</v>
      </c>
      <c r="C20" s="11"/>
      <c r="D20" s="12" t="s">
        <v>15</v>
      </c>
      <c r="E20" s="12">
        <v>3.0</v>
      </c>
      <c r="F20" s="8">
        <f t="shared" si="0"/>
        <v>5.647058823529412</v>
      </c>
      <c r="G20" s="9">
        <f t="shared" si="1"/>
        <v>0.8499999999999999</v>
      </c>
      <c r="H20" s="10">
        <v>4.8</v>
      </c>
      <c r="I20" s="10">
        <f t="shared" si="2"/>
        <v>14.399999999999999</v>
      </c>
      <c r="J20" s="11"/>
    </row>
    <row r="21" spans="8:8" s="1" ht="16.0" customFormat="1" customHeight="1">
      <c r="A21" s="6">
        <v>16.0</v>
      </c>
      <c r="B21" s="11" t="s">
        <v>117</v>
      </c>
      <c r="C21" s="11"/>
      <c r="D21" s="12" t="s">
        <v>15</v>
      </c>
      <c r="E21" s="12">
        <v>13.0</v>
      </c>
      <c r="F21" s="8">
        <f t="shared" si="0"/>
        <v>8.0</v>
      </c>
      <c r="G21" s="9">
        <f t="shared" si="1"/>
        <v>0.85</v>
      </c>
      <c r="H21" s="10">
        <v>6.8</v>
      </c>
      <c r="I21" s="10">
        <f t="shared" si="2"/>
        <v>88.39999999999999</v>
      </c>
      <c r="J21" s="11"/>
    </row>
    <row r="22" spans="8:8" s="1" ht="16.0" customFormat="1" customHeight="1">
      <c r="A22" s="6">
        <v>17.0</v>
      </c>
      <c r="B22" s="6" t="s">
        <v>67</v>
      </c>
      <c r="C22" s="6" t="s">
        <v>68</v>
      </c>
      <c r="D22" s="7" t="s">
        <v>32</v>
      </c>
      <c r="E22" s="7">
        <v>1.0</v>
      </c>
      <c r="F22" s="8">
        <f t="shared" si="0"/>
        <v>352.94117647058823</v>
      </c>
      <c r="G22" s="9">
        <f t="shared" si="1"/>
        <v>0.85</v>
      </c>
      <c r="H22" s="10">
        <v>300.0</v>
      </c>
      <c r="I22" s="10">
        <f t="shared" si="2"/>
        <v>300.0</v>
      </c>
      <c r="J22" s="6"/>
    </row>
    <row r="23" spans="8:8" s="1" ht="16.0" customFormat="1" customHeight="1">
      <c r="A23" s="6">
        <v>18.0</v>
      </c>
      <c r="B23" s="11" t="s">
        <v>28</v>
      </c>
      <c r="C23" s="11"/>
      <c r="D23" s="7" t="s">
        <v>15</v>
      </c>
      <c r="E23" s="7">
        <v>2.0</v>
      </c>
      <c r="F23" s="8">
        <f t="shared" si="0"/>
        <v>16.23529411764706</v>
      </c>
      <c r="G23" s="9">
        <f t="shared" si="1"/>
        <v>0.8499999999999999</v>
      </c>
      <c r="H23" s="10">
        <v>13.8</v>
      </c>
      <c r="I23" s="10">
        <f t="shared" si="2"/>
        <v>27.6</v>
      </c>
      <c r="J23" s="6"/>
    </row>
    <row r="24" spans="8:8" s="1" ht="16.0" customFormat="1" customHeight="1">
      <c r="A24" s="6">
        <v>19.0</v>
      </c>
      <c r="B24" s="11" t="s">
        <v>118</v>
      </c>
      <c r="C24" s="11"/>
      <c r="D24" s="11" t="s">
        <v>15</v>
      </c>
      <c r="E24" s="12">
        <v>13.5</v>
      </c>
      <c r="F24" s="8">
        <f t="shared" si="0"/>
        <v>16.23529411764706</v>
      </c>
      <c r="G24" s="9">
        <f t="shared" si="1"/>
        <v>0.8499999999999999</v>
      </c>
      <c r="H24" s="10">
        <v>13.8</v>
      </c>
      <c r="I24" s="10">
        <f t="shared" si="2"/>
        <v>186.3</v>
      </c>
      <c r="J24" s="11"/>
    </row>
    <row r="25" spans="8:8" s="1" ht="16.0" customFormat="1" customHeight="1">
      <c r="A25" s="6">
        <v>20.0</v>
      </c>
      <c r="B25" s="6" t="s">
        <v>119</v>
      </c>
      <c r="C25" s="6" t="s">
        <v>120</v>
      </c>
      <c r="D25" s="11" t="s">
        <v>53</v>
      </c>
      <c r="E25" s="7">
        <v>11.0</v>
      </c>
      <c r="F25" s="8">
        <f t="shared" si="0"/>
        <v>10.588235294117647</v>
      </c>
      <c r="G25" s="9">
        <f t="shared" si="1"/>
        <v>0.85</v>
      </c>
      <c r="H25" s="10">
        <v>9.0</v>
      </c>
      <c r="I25" s="10">
        <f t="shared" si="2"/>
        <v>99.0</v>
      </c>
      <c r="J25" s="6"/>
    </row>
    <row r="26" spans="8:8" s="1" ht="16.0" customFormat="1" customHeight="1">
      <c r="A26" s="6">
        <v>21.0</v>
      </c>
      <c r="B26" s="6" t="s">
        <v>121</v>
      </c>
      <c r="C26" s="6"/>
      <c r="D26" s="7" t="s">
        <v>53</v>
      </c>
      <c r="E26" s="7">
        <v>20.0</v>
      </c>
      <c r="F26" s="8">
        <f t="shared" si="0"/>
        <v>7.647058823529412</v>
      </c>
      <c r="G26" s="9">
        <f t="shared" si="1"/>
        <v>0.85</v>
      </c>
      <c r="H26" s="10">
        <v>6.5</v>
      </c>
      <c r="I26" s="10">
        <f t="shared" si="2"/>
        <v>130.0</v>
      </c>
      <c r="J26" s="6"/>
    </row>
    <row r="27" spans="8:8" s="1" ht="16.0" customFormat="1" customHeight="1">
      <c r="A27" s="6">
        <v>22.0</v>
      </c>
      <c r="B27" s="11" t="s">
        <v>122</v>
      </c>
      <c r="C27" s="11" t="s">
        <v>123</v>
      </c>
      <c r="D27" s="12" t="s">
        <v>53</v>
      </c>
      <c r="E27" s="12">
        <v>2.0</v>
      </c>
      <c r="F27" s="8">
        <f t="shared" si="0"/>
        <v>8.0</v>
      </c>
      <c r="G27" s="9">
        <f t="shared" si="1"/>
        <v>0.85</v>
      </c>
      <c r="H27" s="10">
        <v>6.8</v>
      </c>
      <c r="I27" s="10">
        <f t="shared" si="2"/>
        <v>13.6</v>
      </c>
      <c r="J27" s="11"/>
    </row>
    <row r="28" spans="8:8" s="1" ht="16.0" customFormat="1" customHeight="1">
      <c r="A28" s="6">
        <v>23.0</v>
      </c>
      <c r="B28" s="6" t="s">
        <v>124</v>
      </c>
      <c r="C28" s="6" t="s">
        <v>125</v>
      </c>
      <c r="D28" s="11" t="s">
        <v>51</v>
      </c>
      <c r="E28" s="7">
        <v>6.0</v>
      </c>
      <c r="F28" s="8">
        <f t="shared" si="0"/>
        <v>10.0</v>
      </c>
      <c r="G28" s="9">
        <f t="shared" si="1"/>
        <v>0.85</v>
      </c>
      <c r="H28" s="10">
        <v>8.5</v>
      </c>
      <c r="I28" s="10">
        <f t="shared" si="2"/>
        <v>51.0</v>
      </c>
      <c r="J28" s="6"/>
    </row>
    <row r="29" spans="8:8" s="1" ht="16.0" customFormat="1" customHeight="1">
      <c r="A29" s="6">
        <v>24.0</v>
      </c>
      <c r="B29" s="6" t="s">
        <v>35</v>
      </c>
      <c r="C29" s="6"/>
      <c r="D29" s="6" t="s">
        <v>36</v>
      </c>
      <c r="E29" s="7">
        <v>48.0</v>
      </c>
      <c r="F29" s="8">
        <f t="shared" si="0"/>
        <v>4.11764705882353</v>
      </c>
      <c r="G29" s="9">
        <f t="shared" si="1"/>
        <v>0.8499999999999999</v>
      </c>
      <c r="H29" s="10">
        <v>3.5</v>
      </c>
      <c r="I29" s="10">
        <f t="shared" si="2"/>
        <v>168.0</v>
      </c>
      <c r="J29" s="6"/>
    </row>
    <row r="30" spans="8:8" s="1" ht="16.0" customFormat="1" customHeight="1">
      <c r="A30" s="6">
        <v>25.0</v>
      </c>
      <c r="B30" s="6" t="s">
        <v>88</v>
      </c>
      <c r="C30" s="6" t="s">
        <v>89</v>
      </c>
      <c r="D30" s="6" t="s">
        <v>36</v>
      </c>
      <c r="E30" s="7">
        <v>7.0</v>
      </c>
      <c r="F30" s="8">
        <f t="shared" si="0"/>
        <v>4.11764705882353</v>
      </c>
      <c r="G30" s="9">
        <f t="shared" si="1"/>
        <v>0.8499999999999999</v>
      </c>
      <c r="H30" s="10">
        <v>3.5</v>
      </c>
      <c r="I30" s="10">
        <f t="shared" si="2"/>
        <v>24.5</v>
      </c>
      <c r="J30" s="6"/>
    </row>
    <row r="31" spans="8:8" s="1" ht="16.0" customFormat="1" customHeight="1">
      <c r="A31" s="6">
        <v>26.0</v>
      </c>
      <c r="B31" s="6"/>
      <c r="C31" s="6"/>
      <c r="D31" s="6"/>
      <c r="E31" s="7"/>
      <c r="F31" s="8"/>
      <c r="G31" s="9"/>
      <c r="H31" s="14"/>
      <c r="I31" s="10"/>
      <c r="J31" s="6"/>
    </row>
    <row r="32" spans="8:8" s="1" ht="16.0" customFormat="1" customHeight="1">
      <c r="A32" s="6">
        <v>27.0</v>
      </c>
      <c r="B32" s="6"/>
      <c r="C32" s="6"/>
      <c r="D32" s="6"/>
      <c r="E32" s="7"/>
      <c r="F32" s="8"/>
      <c r="G32" s="9"/>
      <c r="H32" s="14"/>
      <c r="I32" s="10"/>
      <c r="J32" s="6"/>
    </row>
    <row r="33" spans="8:8" s="1" ht="18.0" customFormat="1" customHeight="1">
      <c r="A33" s="6" t="s">
        <v>37</v>
      </c>
      <c r="B33" s="15">
        <f>SUM(I6:I32)</f>
        <v>1452.34</v>
      </c>
      <c r="C33" s="16"/>
      <c r="D33" s="16"/>
      <c r="E33" s="24"/>
      <c r="F33" s="16"/>
      <c r="G33" s="16"/>
      <c r="H33" s="16"/>
      <c r="I33" s="16"/>
      <c r="J33" s="17"/>
    </row>
    <row r="34" spans="8:8" s="1" ht="18.0" customFormat="1" customHeight="1">
      <c r="A34" s="6" t="s">
        <v>38</v>
      </c>
      <c r="B34" s="18">
        <f>B33</f>
        <v>1452.34</v>
      </c>
      <c r="C34" s="19"/>
      <c r="D34" s="19"/>
      <c r="E34" s="24"/>
      <c r="F34" s="19"/>
      <c r="G34" s="19"/>
      <c r="H34" s="19"/>
      <c r="I34" s="19"/>
      <c r="J34" s="20"/>
    </row>
    <row r="35" spans="8:8" s="1" ht="18.0" customFormat="1" customHeight="1">
      <c r="A35" s="1" t="s">
        <v>39</v>
      </c>
      <c r="E35" s="21"/>
    </row>
  </sheetData>
  <mergeCells count="4">
    <mergeCell ref="A1:J1"/>
    <mergeCell ref="B33:J33"/>
    <mergeCell ref="B34:J34"/>
    <mergeCell ref="A35:J35"/>
  </mergeCells>
  <conditionalFormatting sqref="B6:B24">
    <cfRule type="duplicateValues" priority="2" dxfId="14"/>
  </conditionalFormatting>
  <conditionalFormatting sqref="B6:B32">
    <cfRule type="duplicateValues" priority="1" dxfId="15"/>
  </conditionalFormatting>
  <pageMargins left="0.751388888888889" right="0.751388888888889" top="0.409027777777778" bottom="0.2125" header="0.5" footer="0.5"/>
  <pageSetup paperSize="9" scale="96"/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36"/>
  <sheetViews>
    <sheetView workbookViewId="0" topLeftCell="A19">
      <selection activeCell="I19" sqref="I1:I1048576"/>
    </sheetView>
  </sheetViews>
  <sheetFormatPr defaultRowHeight="18.0" customHeight="1" defaultColWidth="11"/>
  <cols>
    <col min="1" max="1" customWidth="1" width="9.125" style="1"/>
    <col min="2" max="2" customWidth="1" width="19.25" style="1"/>
    <col min="3" max="3" customWidth="1" width="11.375" style="1"/>
    <col min="4" max="4" customWidth="1" width="5.9414062" style="1"/>
    <col min="5" max="5" customWidth="1" width="5.25" style="21"/>
    <col min="6" max="6" customWidth="1" width="8.0" style="1"/>
    <col min="7" max="7" customWidth="1" width="6.625" style="1"/>
    <col min="8" max="8" customWidth="1" width="7.875" style="1"/>
    <col min="9" max="9" customWidth="1" width="8.625" style="1"/>
    <col min="10" max="10" customWidth="1" width="7.375" style="1"/>
    <col min="11" max="16326" customWidth="1" width="11.6640625" style="1"/>
    <col min="16327" max="16327" customWidth="0" width="11.6640625" style="1"/>
    <col min="16328" max="16333" customWidth="0" width="11.0" style="1"/>
    <col min="16334" max="16384" customWidth="0" width="11.0" style="2"/>
  </cols>
  <sheetData>
    <row r="1" spans="8:8" s="1" ht="24.0" customFormat="1" customHeight="1">
      <c r="A1" s="3" t="s">
        <v>0</v>
      </c>
      <c r="B1" s="3"/>
      <c r="C1" s="3"/>
      <c r="D1" s="3"/>
      <c r="E1" s="22"/>
      <c r="F1" s="3"/>
      <c r="G1" s="3"/>
      <c r="H1" s="3"/>
      <c r="I1" s="3"/>
      <c r="J1" s="3"/>
    </row>
    <row r="2" spans="8:8" s="1" ht="8.0" customFormat="1" customHeight="1">
      <c r="A2" s="3"/>
      <c r="B2" s="3"/>
      <c r="C2" s="3"/>
      <c r="D2" s="3"/>
      <c r="E2" s="22"/>
      <c r="F2" s="3"/>
      <c r="G2" s="3"/>
      <c r="H2" s="3"/>
      <c r="I2" s="3"/>
      <c r="J2" s="3"/>
    </row>
    <row r="3" spans="8:8" s="1" ht="18.0" customFormat="1" customHeight="1">
      <c r="A3" s="1" t="s">
        <v>1</v>
      </c>
      <c r="B3" s="1" t="s">
        <v>2</v>
      </c>
      <c r="E3" s="21"/>
    </row>
    <row r="4" spans="8:8" s="1" ht="18.0" customFormat="1" customHeight="1">
      <c r="A4" s="1" t="s">
        <v>3</v>
      </c>
      <c r="B4" s="4">
        <v>45243.0</v>
      </c>
      <c r="C4" s="4"/>
      <c r="D4" s="5"/>
      <c r="E4" s="23"/>
      <c r="F4" s="5"/>
      <c r="G4" s="5"/>
      <c r="H4" s="4"/>
      <c r="I4" s="4"/>
      <c r="J4" s="4"/>
    </row>
    <row r="5" spans="8:8" s="1" ht="18.0" customFormat="1" customHeight="1">
      <c r="A5" s="6" t="s">
        <v>4</v>
      </c>
      <c r="B5" s="6" t="s">
        <v>5</v>
      </c>
      <c r="C5" s="6" t="s">
        <v>6</v>
      </c>
      <c r="D5" s="6" t="s">
        <v>7</v>
      </c>
      <c r="E5" s="7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</row>
    <row r="6" spans="8:8" s="1" ht="16.0" customFormat="1" customHeight="1">
      <c r="A6" s="6">
        <v>1.0</v>
      </c>
      <c r="B6" s="6" t="s">
        <v>14</v>
      </c>
      <c r="C6" s="6"/>
      <c r="D6" s="7" t="s">
        <v>15</v>
      </c>
      <c r="E6" s="7">
        <v>7.0</v>
      </c>
      <c r="F6" s="8">
        <f t="shared" si="0" ref="F6:F28">H6/0.85</f>
        <v>3.5294117647058822</v>
      </c>
      <c r="G6" s="9">
        <f t="shared" si="1" ref="G6:G28">H6/F6</f>
        <v>0.85</v>
      </c>
      <c r="H6" s="10">
        <v>3.0</v>
      </c>
      <c r="I6" s="10">
        <f t="shared" si="2" ref="I6:I28">E6*H6</f>
        <v>21.0</v>
      </c>
      <c r="J6" s="6"/>
    </row>
    <row r="7" spans="8:8" s="1" ht="16.0" customFormat="1" customHeight="1">
      <c r="A7" s="6">
        <v>2.0</v>
      </c>
      <c r="B7" s="6" t="s">
        <v>60</v>
      </c>
      <c r="C7" s="6"/>
      <c r="D7" s="7" t="s">
        <v>15</v>
      </c>
      <c r="E7" s="7">
        <v>2.0</v>
      </c>
      <c r="F7" s="8">
        <f t="shared" si="0"/>
        <v>4.11764705882353</v>
      </c>
      <c r="G7" s="9">
        <f t="shared" si="1"/>
        <v>0.8499999999999999</v>
      </c>
      <c r="H7" s="10">
        <v>3.5</v>
      </c>
      <c r="I7" s="10">
        <f t="shared" si="2"/>
        <v>7.0</v>
      </c>
      <c r="J7" s="6"/>
    </row>
    <row r="8" spans="8:8" s="1" ht="16.0" customFormat="1" customHeight="1">
      <c r="A8" s="6">
        <v>3.0</v>
      </c>
      <c r="B8" s="6" t="s">
        <v>16</v>
      </c>
      <c r="C8" s="6"/>
      <c r="D8" s="7" t="s">
        <v>15</v>
      </c>
      <c r="E8" s="7">
        <v>3.0</v>
      </c>
      <c r="F8" s="8">
        <f t="shared" si="0"/>
        <v>4.11764705882353</v>
      </c>
      <c r="G8" s="9">
        <f t="shared" si="1"/>
        <v>0.8499999999999999</v>
      </c>
      <c r="H8" s="10">
        <v>3.5</v>
      </c>
      <c r="I8" s="10">
        <f t="shared" si="2"/>
        <v>10.5</v>
      </c>
      <c r="J8" s="6"/>
    </row>
    <row r="9" spans="8:8" s="1" ht="16.0" customFormat="1" customHeight="1">
      <c r="A9" s="6">
        <v>4.0</v>
      </c>
      <c r="B9" s="11" t="s">
        <v>17</v>
      </c>
      <c r="C9" s="11"/>
      <c r="D9" s="7" t="s">
        <v>15</v>
      </c>
      <c r="E9" s="7">
        <v>5.0</v>
      </c>
      <c r="F9" s="8">
        <f t="shared" si="0"/>
        <v>4.11764705882353</v>
      </c>
      <c r="G9" s="9">
        <f t="shared" si="1"/>
        <v>0.8499999999999999</v>
      </c>
      <c r="H9" s="10">
        <v>3.5</v>
      </c>
      <c r="I9" s="10">
        <f t="shared" si="2"/>
        <v>17.5</v>
      </c>
      <c r="J9" s="6"/>
    </row>
    <row r="10" spans="8:8" s="1" ht="16.0" customFormat="1" customHeight="1">
      <c r="A10" s="6">
        <v>5.0</v>
      </c>
      <c r="B10" s="6" t="s">
        <v>126</v>
      </c>
      <c r="C10" s="6"/>
      <c r="D10" s="7" t="s">
        <v>15</v>
      </c>
      <c r="E10" s="7">
        <v>3.0</v>
      </c>
      <c r="F10" s="8">
        <f t="shared" si="0"/>
        <v>4.11764705882353</v>
      </c>
      <c r="G10" s="9">
        <f t="shared" si="1"/>
        <v>0.8499999999999999</v>
      </c>
      <c r="H10" s="10">
        <v>3.5</v>
      </c>
      <c r="I10" s="10">
        <f t="shared" si="2"/>
        <v>10.5</v>
      </c>
      <c r="J10" s="6"/>
    </row>
    <row r="11" spans="8:8" s="1" ht="16.0" customFormat="1" customHeight="1">
      <c r="A11" s="6">
        <v>6.0</v>
      </c>
      <c r="B11" s="11" t="s">
        <v>41</v>
      </c>
      <c r="C11" s="11"/>
      <c r="D11" s="12" t="s">
        <v>15</v>
      </c>
      <c r="E11" s="12">
        <v>2.0</v>
      </c>
      <c r="F11" s="8">
        <f t="shared" si="0"/>
        <v>8.0</v>
      </c>
      <c r="G11" s="9">
        <f t="shared" si="1"/>
        <v>0.85</v>
      </c>
      <c r="H11" s="14">
        <v>6.8</v>
      </c>
      <c r="I11" s="10">
        <f t="shared" si="2"/>
        <v>13.6</v>
      </c>
      <c r="J11" s="6"/>
    </row>
    <row r="12" spans="8:8" s="1" ht="16.0" customFormat="1" customHeight="1">
      <c r="A12" s="6">
        <v>7.0</v>
      </c>
      <c r="B12" s="11" t="s">
        <v>127</v>
      </c>
      <c r="C12" s="11"/>
      <c r="D12" s="12" t="s">
        <v>15</v>
      </c>
      <c r="E12" s="12">
        <v>13.0</v>
      </c>
      <c r="F12" s="8">
        <f t="shared" si="0"/>
        <v>10.0</v>
      </c>
      <c r="G12" s="9">
        <f t="shared" si="1"/>
        <v>0.85</v>
      </c>
      <c r="H12" s="14">
        <v>8.5</v>
      </c>
      <c r="I12" s="10">
        <f t="shared" si="2"/>
        <v>110.5</v>
      </c>
      <c r="J12" s="11"/>
    </row>
    <row r="13" spans="8:8" s="1" ht="16.0" customFormat="1" customHeight="1">
      <c r="A13" s="6">
        <v>8.0</v>
      </c>
      <c r="B13" s="11" t="s">
        <v>63</v>
      </c>
      <c r="C13" s="11"/>
      <c r="D13" s="12" t="s">
        <v>15</v>
      </c>
      <c r="E13" s="12">
        <v>3.0</v>
      </c>
      <c r="F13" s="8">
        <f t="shared" si="0"/>
        <v>8.823529411764707</v>
      </c>
      <c r="G13" s="9">
        <f t="shared" si="1"/>
        <v>0.85</v>
      </c>
      <c r="H13" s="14">
        <v>7.5</v>
      </c>
      <c r="I13" s="10">
        <f t="shared" si="2"/>
        <v>22.5</v>
      </c>
      <c r="J13" s="11"/>
    </row>
    <row r="14" spans="8:8" s="1" ht="16.0" customFormat="1" customHeight="1">
      <c r="A14" s="6">
        <v>9.0</v>
      </c>
      <c r="B14" s="11" t="s">
        <v>64</v>
      </c>
      <c r="C14" s="11"/>
      <c r="D14" s="12" t="s">
        <v>15</v>
      </c>
      <c r="E14" s="12">
        <v>3.0</v>
      </c>
      <c r="F14" s="8">
        <f t="shared" si="0"/>
        <v>4.705882352941177</v>
      </c>
      <c r="G14" s="9">
        <f t="shared" si="1"/>
        <v>0.85</v>
      </c>
      <c r="H14" s="14">
        <v>4.0</v>
      </c>
      <c r="I14" s="10">
        <f t="shared" si="2"/>
        <v>12.0</v>
      </c>
      <c r="J14" s="11"/>
    </row>
    <row r="15" spans="8:8" s="1" ht="16.0" customFormat="1" customHeight="1">
      <c r="A15" s="6">
        <v>10.0</v>
      </c>
      <c r="B15" s="11" t="s">
        <v>75</v>
      </c>
      <c r="C15" s="11"/>
      <c r="D15" s="12" t="s">
        <v>15</v>
      </c>
      <c r="E15" s="12">
        <v>6.0</v>
      </c>
      <c r="F15" s="8">
        <f t="shared" si="0"/>
        <v>6.823529411764706</v>
      </c>
      <c r="G15" s="9">
        <f t="shared" si="1"/>
        <v>0.85</v>
      </c>
      <c r="H15" s="14">
        <v>5.8</v>
      </c>
      <c r="I15" s="10">
        <f t="shared" si="2"/>
        <v>34.8</v>
      </c>
      <c r="J15" s="11"/>
    </row>
    <row r="16" spans="8:8" s="1" ht="16.0" customFormat="1" customHeight="1">
      <c r="A16" s="6">
        <v>11.0</v>
      </c>
      <c r="B16" s="11" t="s">
        <v>105</v>
      </c>
      <c r="C16" s="11"/>
      <c r="D16" s="12" t="s">
        <v>15</v>
      </c>
      <c r="E16" s="12">
        <v>14.3</v>
      </c>
      <c r="F16" s="8">
        <f t="shared" si="0"/>
        <v>5.647058823529412</v>
      </c>
      <c r="G16" s="9">
        <f t="shared" si="1"/>
        <v>0.8499999999999999</v>
      </c>
      <c r="H16" s="14">
        <v>4.8</v>
      </c>
      <c r="I16" s="10">
        <f t="shared" si="2"/>
        <v>68.64</v>
      </c>
      <c r="J16" s="11"/>
    </row>
    <row r="17" spans="8:8" s="1" ht="16.0" customFormat="1" customHeight="1">
      <c r="A17" s="6">
        <v>12.0</v>
      </c>
      <c r="B17" s="6" t="s">
        <v>116</v>
      </c>
      <c r="C17" s="6"/>
      <c r="D17" s="7" t="s">
        <v>15</v>
      </c>
      <c r="E17" s="7">
        <v>3.0</v>
      </c>
      <c r="F17" s="8">
        <f t="shared" si="0"/>
        <v>5.647058823529412</v>
      </c>
      <c r="G17" s="9">
        <f t="shared" si="1"/>
        <v>0.8499999999999999</v>
      </c>
      <c r="H17" s="14">
        <v>4.8</v>
      </c>
      <c r="I17" s="10">
        <f t="shared" si="2"/>
        <v>14.399999999999999</v>
      </c>
      <c r="J17" s="11"/>
    </row>
    <row r="18" spans="8:8" s="1" ht="16.0" customFormat="1" customHeight="1">
      <c r="A18" s="6">
        <v>13.0</v>
      </c>
      <c r="B18" s="11" t="s">
        <v>46</v>
      </c>
      <c r="C18" s="11"/>
      <c r="D18" s="11" t="s">
        <v>15</v>
      </c>
      <c r="E18" s="12">
        <v>15.0</v>
      </c>
      <c r="F18" s="8">
        <f t="shared" si="0"/>
        <v>4.11764705882353</v>
      </c>
      <c r="G18" s="9">
        <f t="shared" si="1"/>
        <v>0.8499999999999999</v>
      </c>
      <c r="H18" s="14">
        <v>3.5</v>
      </c>
      <c r="I18" s="10">
        <f t="shared" si="2"/>
        <v>52.5</v>
      </c>
      <c r="J18" s="6"/>
    </row>
    <row r="19" spans="8:8" s="1" ht="16.0" customFormat="1" customHeight="1">
      <c r="A19" s="6">
        <v>14.0</v>
      </c>
      <c r="B19" s="6" t="s">
        <v>28</v>
      </c>
      <c r="C19" s="6"/>
      <c r="D19" s="11" t="s">
        <v>15</v>
      </c>
      <c r="E19" s="7">
        <v>4.0</v>
      </c>
      <c r="F19" s="8">
        <f t="shared" si="0"/>
        <v>16.23529411764706</v>
      </c>
      <c r="G19" s="9">
        <f t="shared" si="1"/>
        <v>0.8499999999999999</v>
      </c>
      <c r="H19" s="14">
        <v>13.8</v>
      </c>
      <c r="I19" s="10">
        <f t="shared" si="2"/>
        <v>55.2</v>
      </c>
      <c r="J19" s="11"/>
    </row>
    <row r="20" spans="8:8" s="1" ht="16.0" customFormat="1" customHeight="1">
      <c r="A20" s="6">
        <v>15.0</v>
      </c>
      <c r="B20" s="6" t="s">
        <v>107</v>
      </c>
      <c r="C20" s="6"/>
      <c r="D20" s="6" t="s">
        <v>15</v>
      </c>
      <c r="E20" s="7">
        <v>3.0</v>
      </c>
      <c r="F20" s="8">
        <f t="shared" si="0"/>
        <v>23.529411764705884</v>
      </c>
      <c r="G20" s="9">
        <f t="shared" si="1"/>
        <v>0.85</v>
      </c>
      <c r="H20" s="14">
        <v>20.0</v>
      </c>
      <c r="I20" s="10">
        <f t="shared" si="2"/>
        <v>60.0</v>
      </c>
      <c r="J20" s="6"/>
    </row>
    <row r="21" spans="8:8" s="1" ht="16.0" customFormat="1" customHeight="1">
      <c r="A21" s="6">
        <v>16.0</v>
      </c>
      <c r="B21" s="6" t="s">
        <v>128</v>
      </c>
      <c r="C21" s="6"/>
      <c r="D21" s="6" t="s">
        <v>15</v>
      </c>
      <c r="E21" s="7">
        <v>15.0</v>
      </c>
      <c r="F21" s="8">
        <f t="shared" si="0"/>
        <v>32.94117647058824</v>
      </c>
      <c r="G21" s="9">
        <f t="shared" si="1"/>
        <v>0.8499999999999999</v>
      </c>
      <c r="H21" s="14">
        <v>28.0</v>
      </c>
      <c r="I21" s="10">
        <f t="shared" si="2"/>
        <v>420.0</v>
      </c>
      <c r="J21" s="6"/>
    </row>
    <row r="22" spans="8:8" s="1" ht="16.0" customFormat="1" customHeight="1">
      <c r="A22" s="6">
        <v>17.0</v>
      </c>
      <c r="B22" s="6" t="s">
        <v>129</v>
      </c>
      <c r="C22" s="6" t="s">
        <v>130</v>
      </c>
      <c r="D22" s="6" t="s">
        <v>53</v>
      </c>
      <c r="E22" s="7">
        <v>1.0</v>
      </c>
      <c r="F22" s="8">
        <f t="shared" si="0"/>
        <v>97.64705882352942</v>
      </c>
      <c r="G22" s="9">
        <f t="shared" si="1"/>
        <v>0.85</v>
      </c>
      <c r="H22" s="14">
        <v>83.0</v>
      </c>
      <c r="I22" s="10">
        <f t="shared" si="2"/>
        <v>83.0</v>
      </c>
      <c r="J22" s="6"/>
    </row>
    <row r="23" spans="8:8" s="1" ht="16.0" customFormat="1" customHeight="1">
      <c r="A23" s="6">
        <v>18.0</v>
      </c>
      <c r="B23" s="6" t="s">
        <v>131</v>
      </c>
      <c r="C23" s="6" t="s">
        <v>132</v>
      </c>
      <c r="D23" s="6" t="s">
        <v>53</v>
      </c>
      <c r="E23" s="7">
        <v>10.0</v>
      </c>
      <c r="F23" s="8">
        <f t="shared" si="0"/>
        <v>2.3529411764705883</v>
      </c>
      <c r="G23" s="9">
        <f t="shared" si="1"/>
        <v>0.85</v>
      </c>
      <c r="H23" s="14">
        <v>2.0</v>
      </c>
      <c r="I23" s="10">
        <f t="shared" si="2"/>
        <v>20.0</v>
      </c>
      <c r="J23" s="6"/>
    </row>
    <row r="24" spans="8:8" s="1" ht="16.0" customFormat="1" customHeight="1">
      <c r="A24" s="6">
        <v>19.0</v>
      </c>
      <c r="B24" s="8" t="s">
        <v>133</v>
      </c>
      <c r="C24" s="8" t="s">
        <v>134</v>
      </c>
      <c r="D24" s="8" t="s">
        <v>32</v>
      </c>
      <c r="E24" s="7">
        <v>1.0</v>
      </c>
      <c r="F24" s="8">
        <f t="shared" si="0"/>
        <v>64.70588235294117</v>
      </c>
      <c r="G24" s="9">
        <f t="shared" si="1"/>
        <v>0.85</v>
      </c>
      <c r="H24" s="14">
        <v>55.0</v>
      </c>
      <c r="I24" s="10">
        <f t="shared" si="2"/>
        <v>55.0</v>
      </c>
      <c r="J24" s="6"/>
    </row>
    <row r="25" spans="8:8" s="1" ht="18.0" customFormat="1" customHeight="1">
      <c r="A25" s="6">
        <v>20.0</v>
      </c>
      <c r="B25" s="8" t="s">
        <v>35</v>
      </c>
      <c r="C25" s="8"/>
      <c r="D25" s="8" t="s">
        <v>36</v>
      </c>
      <c r="E25" s="7">
        <v>55.0</v>
      </c>
      <c r="F25" s="8">
        <f t="shared" si="0"/>
        <v>4.11764705882353</v>
      </c>
      <c r="G25" s="9">
        <f t="shared" si="1"/>
        <v>0.8499999999999999</v>
      </c>
      <c r="H25" s="14">
        <v>3.5</v>
      </c>
      <c r="I25" s="10">
        <f t="shared" si="2"/>
        <v>192.5</v>
      </c>
      <c r="J25" s="8"/>
    </row>
    <row r="26" spans="8:8" s="1" ht="18.0" customFormat="1" customHeight="1">
      <c r="A26" s="6">
        <v>21.0</v>
      </c>
      <c r="B26" s="8" t="s">
        <v>80</v>
      </c>
      <c r="C26" s="8"/>
      <c r="D26" s="8" t="s">
        <v>15</v>
      </c>
      <c r="E26" s="7">
        <v>5.0</v>
      </c>
      <c r="F26" s="8">
        <f t="shared" si="0"/>
        <v>103.52941176470588</v>
      </c>
      <c r="G26" s="9">
        <f t="shared" si="1"/>
        <v>0.85</v>
      </c>
      <c r="H26" s="14">
        <v>88.0</v>
      </c>
      <c r="I26" s="10">
        <f t="shared" si="2"/>
        <v>440.0</v>
      </c>
      <c r="J26" s="8"/>
    </row>
    <row r="27" spans="8:8" s="1" ht="18.0" customFormat="1" customHeight="1">
      <c r="A27" s="6">
        <v>22.0</v>
      </c>
      <c r="B27" s="8"/>
      <c r="C27" s="8"/>
      <c r="D27" s="8"/>
      <c r="E27" s="7"/>
      <c r="F27" s="8"/>
      <c r="G27" s="9"/>
      <c r="H27" s="14"/>
      <c r="I27" s="10"/>
      <c r="J27" s="8"/>
    </row>
    <row r="28" spans="8:8" s="1" ht="18.0" customFormat="1" customHeight="1">
      <c r="A28" s="6">
        <v>23.0</v>
      </c>
      <c r="B28" s="8"/>
      <c r="C28" s="8"/>
      <c r="D28" s="8"/>
      <c r="E28" s="7"/>
      <c r="F28" s="8"/>
      <c r="G28" s="9"/>
      <c r="H28" s="14"/>
      <c r="I28" s="10"/>
      <c r="J28" s="8"/>
    </row>
    <row r="29" spans="8:8" s="1" ht="18.0" customFormat="1" customHeight="1">
      <c r="A29" s="6">
        <v>24.0</v>
      </c>
      <c r="B29" s="6"/>
      <c r="C29" s="6"/>
      <c r="D29" s="7"/>
      <c r="E29" s="7"/>
      <c r="F29" s="8"/>
      <c r="G29" s="9"/>
      <c r="H29" s="10"/>
      <c r="I29" s="10"/>
      <c r="J29" s="8"/>
    </row>
    <row r="30" spans="8:8" s="1" ht="18.0" customFormat="1" customHeight="1">
      <c r="A30" s="6">
        <v>25.0</v>
      </c>
      <c r="B30" s="8"/>
      <c r="C30" s="8"/>
      <c r="D30" s="8"/>
      <c r="E30" s="7"/>
      <c r="F30" s="8"/>
      <c r="G30" s="9"/>
      <c r="H30" s="14"/>
      <c r="I30" s="10"/>
      <c r="J30" s="8"/>
    </row>
    <row r="31" spans="8:8" s="1" ht="18.0" customFormat="1" customHeight="1">
      <c r="A31" s="6">
        <v>26.0</v>
      </c>
      <c r="B31" s="8"/>
      <c r="C31" s="8"/>
      <c r="D31" s="8"/>
      <c r="E31" s="7"/>
      <c r="F31" s="8"/>
      <c r="G31" s="9"/>
      <c r="H31" s="14"/>
      <c r="I31" s="10"/>
      <c r="J31" s="8"/>
    </row>
    <row r="32" spans="8:8" s="1" ht="18.0" customFormat="1" customHeight="1">
      <c r="A32" s="6">
        <v>27.0</v>
      </c>
      <c r="B32" s="8"/>
      <c r="C32" s="8"/>
      <c r="D32" s="8"/>
      <c r="E32" s="7"/>
      <c r="F32" s="8"/>
      <c r="G32" s="9"/>
      <c r="H32" s="14"/>
      <c r="I32" s="10"/>
      <c r="J32" s="8"/>
    </row>
    <row r="33" spans="8:8" s="1" ht="18.0" customFormat="1" customHeight="1">
      <c r="A33" s="6">
        <v>28.0</v>
      </c>
      <c r="B33" s="8"/>
      <c r="C33" s="8"/>
      <c r="D33" s="8"/>
      <c r="E33" s="7"/>
      <c r="F33" s="8"/>
      <c r="G33" s="9"/>
      <c r="H33" s="14"/>
      <c r="I33" s="10"/>
      <c r="J33" s="8"/>
    </row>
    <row r="34" spans="8:8" s="1" ht="18.0" customFormat="1" customHeight="1">
      <c r="A34" s="6" t="s">
        <v>37</v>
      </c>
      <c r="B34" s="15">
        <f>SUM(I6:I33)</f>
        <v>1721.1399999999999</v>
      </c>
      <c r="C34" s="16"/>
      <c r="D34" s="16"/>
      <c r="E34" s="24"/>
      <c r="F34" s="16"/>
      <c r="G34" s="16"/>
      <c r="H34" s="16"/>
      <c r="I34" s="16"/>
      <c r="J34" s="17"/>
    </row>
    <row r="35" spans="8:8" s="1" ht="18.0" customFormat="1" customHeight="1">
      <c r="A35" s="6" t="s">
        <v>38</v>
      </c>
      <c r="B35" s="18">
        <f>B34</f>
        <v>1721.1399999999999</v>
      </c>
      <c r="C35" s="19"/>
      <c r="D35" s="19"/>
      <c r="E35" s="24"/>
      <c r="F35" s="19"/>
      <c r="G35" s="19"/>
      <c r="H35" s="19"/>
      <c r="I35" s="19"/>
      <c r="J35" s="20"/>
    </row>
    <row r="36" spans="8:8" s="1" ht="18.0" customFormat="1" customHeight="1">
      <c r="A36" s="1" t="s">
        <v>39</v>
      </c>
      <c r="E36" s="21"/>
    </row>
  </sheetData>
  <mergeCells count="4">
    <mergeCell ref="A1:J1"/>
    <mergeCell ref="B34:J34"/>
    <mergeCell ref="B35:J35"/>
    <mergeCell ref="A36:J36"/>
  </mergeCells>
  <conditionalFormatting sqref="B6:B33">
    <cfRule type="duplicateValues" priority="1" dxfId="16"/>
  </conditionalFormatting>
  <conditionalFormatting sqref="B6:C18">
    <cfRule type="duplicateValues" priority="2" dxfId="17"/>
  </conditionalFormatting>
  <pageMargins left="0.751388888888889" right="0.751388888888889" top="0.409027777777778" bottom="0.2125" header="0.5" footer="0.5"/>
  <pageSetup paperSize="9" scale="96"/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35"/>
  <sheetViews>
    <sheetView workbookViewId="0" topLeftCell="A16">
      <selection activeCell="I16" sqref="I1:I1048576"/>
    </sheetView>
  </sheetViews>
  <sheetFormatPr defaultRowHeight="18.0" customHeight="1" defaultColWidth="11"/>
  <cols>
    <col min="1" max="1" customWidth="1" width="9.125" style="1"/>
    <col min="2" max="2" customWidth="1" width="19.25" style="1"/>
    <col min="3" max="3" customWidth="1" width="11.375" style="1"/>
    <col min="4" max="4" customWidth="1" width="5.9414062" style="1"/>
    <col min="5" max="5" customWidth="1" width="5.25" style="21"/>
    <col min="6" max="6" customWidth="1" width="8.0" style="1"/>
    <col min="7" max="7" customWidth="1" width="6.625" style="1"/>
    <col min="8" max="8" customWidth="1" width="7.875" style="1"/>
    <col min="9" max="9" customWidth="1" width="8.625" style="1"/>
    <col min="10" max="10" customWidth="1" width="7.375" style="1"/>
    <col min="11" max="16311" customWidth="1" width="11.6640625" style="1"/>
    <col min="16312" max="16312" customWidth="0" width="11.6640625" style="1"/>
    <col min="16313" max="16318" customWidth="0" width="11.0" style="1"/>
    <col min="16319" max="16384" customWidth="0" width="11.0" style="2"/>
  </cols>
  <sheetData>
    <row r="1" spans="8:8" s="1" ht="24.0" customFormat="1" customHeight="1">
      <c r="A1" s="3" t="s">
        <v>0</v>
      </c>
      <c r="B1" s="3"/>
      <c r="C1" s="3"/>
      <c r="D1" s="3"/>
      <c r="E1" s="22"/>
      <c r="F1" s="3"/>
      <c r="G1" s="3"/>
      <c r="H1" s="3"/>
      <c r="I1" s="3"/>
      <c r="J1" s="3"/>
    </row>
    <row r="2" spans="8:8" s="1" ht="8.0" customFormat="1" customHeight="1">
      <c r="A2" s="3"/>
      <c r="B2" s="3"/>
      <c r="C2" s="3"/>
      <c r="D2" s="3"/>
      <c r="E2" s="22"/>
      <c r="F2" s="3"/>
      <c r="G2" s="3"/>
      <c r="H2" s="3"/>
      <c r="I2" s="3"/>
      <c r="J2" s="3"/>
    </row>
    <row r="3" spans="8:8" s="1" ht="18.0" customFormat="1" customHeight="1">
      <c r="A3" s="1" t="s">
        <v>1</v>
      </c>
      <c r="B3" s="1" t="s">
        <v>2</v>
      </c>
      <c r="E3" s="21"/>
    </row>
    <row r="4" spans="8:8" s="1" ht="18.0" customFormat="1" customHeight="1">
      <c r="A4" s="1" t="s">
        <v>3</v>
      </c>
      <c r="B4" s="4">
        <v>45244.0</v>
      </c>
      <c r="C4" s="4"/>
      <c r="D4" s="5"/>
      <c r="E4" s="23"/>
      <c r="F4" s="5"/>
      <c r="G4" s="5"/>
      <c r="H4" s="4"/>
      <c r="I4" s="4"/>
      <c r="J4" s="4"/>
    </row>
    <row r="5" spans="8:8" s="1" ht="18.0" customFormat="1" customHeight="1">
      <c r="A5" s="6" t="s">
        <v>4</v>
      </c>
      <c r="B5" s="6" t="s">
        <v>5</v>
      </c>
      <c r="C5" s="6" t="s">
        <v>6</v>
      </c>
      <c r="D5" s="6" t="s">
        <v>7</v>
      </c>
      <c r="E5" s="7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</row>
    <row r="6" spans="8:8" s="1" ht="16.0" customFormat="1" customHeight="1">
      <c r="A6" s="6">
        <v>1.0</v>
      </c>
      <c r="B6" s="6" t="s">
        <v>14</v>
      </c>
      <c r="C6" s="6"/>
      <c r="D6" s="7" t="s">
        <v>15</v>
      </c>
      <c r="E6" s="7">
        <v>7.0</v>
      </c>
      <c r="F6" s="8">
        <f t="shared" si="0" ref="F6:F25">H6/0.85</f>
        <v>3.5294117647058822</v>
      </c>
      <c r="G6" s="9">
        <f t="shared" si="1" ref="G6:G25">H6/F6</f>
        <v>0.85</v>
      </c>
      <c r="H6" s="10">
        <v>3.0</v>
      </c>
      <c r="I6" s="10">
        <f t="shared" si="2" ref="I6:I25">E6*H6</f>
        <v>21.0</v>
      </c>
      <c r="J6" s="6"/>
    </row>
    <row r="7" spans="8:8" s="1" ht="16.0" customFormat="1" customHeight="1">
      <c r="A7" s="6">
        <v>2.0</v>
      </c>
      <c r="B7" s="6" t="s">
        <v>71</v>
      </c>
      <c r="C7" s="6"/>
      <c r="D7" s="7" t="s">
        <v>15</v>
      </c>
      <c r="E7" s="7">
        <v>3.0</v>
      </c>
      <c r="F7" s="8">
        <f t="shared" si="0"/>
        <v>4.705882352941177</v>
      </c>
      <c r="G7" s="9">
        <f t="shared" si="1"/>
        <v>0.85</v>
      </c>
      <c r="H7" s="10">
        <v>4.0</v>
      </c>
      <c r="I7" s="10">
        <f t="shared" si="2"/>
        <v>12.0</v>
      </c>
      <c r="J7" s="6"/>
    </row>
    <row r="8" spans="8:8" s="1" ht="16.0" customFormat="1" customHeight="1">
      <c r="A8" s="6">
        <v>3.0</v>
      </c>
      <c r="B8" s="6" t="s">
        <v>58</v>
      </c>
      <c r="C8" s="6" t="s">
        <v>59</v>
      </c>
      <c r="D8" s="7" t="s">
        <v>15</v>
      </c>
      <c r="E8" s="7">
        <v>6.0</v>
      </c>
      <c r="F8" s="8">
        <f t="shared" si="0"/>
        <v>4.11764705882353</v>
      </c>
      <c r="G8" s="9">
        <f t="shared" si="1"/>
        <v>0.8499999999999999</v>
      </c>
      <c r="H8" s="10">
        <v>3.5</v>
      </c>
      <c r="I8" s="10">
        <f t="shared" si="2"/>
        <v>21.0</v>
      </c>
      <c r="J8" s="6"/>
    </row>
    <row r="9" spans="8:8" s="1" ht="16.0" customFormat="1" customHeight="1">
      <c r="A9" s="6">
        <v>4.0</v>
      </c>
      <c r="B9" s="11" t="s">
        <v>17</v>
      </c>
      <c r="C9" s="11"/>
      <c r="D9" s="7" t="s">
        <v>15</v>
      </c>
      <c r="E9" s="7">
        <v>5.0</v>
      </c>
      <c r="F9" s="8">
        <f t="shared" si="0"/>
        <v>4.11764705882353</v>
      </c>
      <c r="G9" s="9">
        <f t="shared" si="1"/>
        <v>0.8499999999999999</v>
      </c>
      <c r="H9" s="10">
        <v>3.5</v>
      </c>
      <c r="I9" s="10">
        <f t="shared" si="2"/>
        <v>17.5</v>
      </c>
      <c r="J9" s="6"/>
    </row>
    <row r="10" spans="8:8" s="1" ht="16.0" customFormat="1" customHeight="1">
      <c r="A10" s="6">
        <v>5.0</v>
      </c>
      <c r="B10" s="6" t="s">
        <v>20</v>
      </c>
      <c r="C10" s="6"/>
      <c r="D10" s="7" t="s">
        <v>15</v>
      </c>
      <c r="E10" s="7">
        <v>20.0</v>
      </c>
      <c r="F10" s="8">
        <f t="shared" si="0"/>
        <v>4.11764705882353</v>
      </c>
      <c r="G10" s="9">
        <f t="shared" si="1"/>
        <v>0.8499999999999999</v>
      </c>
      <c r="H10" s="10">
        <v>3.5</v>
      </c>
      <c r="I10" s="10">
        <f t="shared" si="2"/>
        <v>70.0</v>
      </c>
      <c r="J10" s="6"/>
    </row>
    <row r="11" spans="8:8" s="1" ht="16.0" customFormat="1" customHeight="1">
      <c r="A11" s="6">
        <v>6.0</v>
      </c>
      <c r="B11" s="6" t="s">
        <v>22</v>
      </c>
      <c r="C11" s="6"/>
      <c r="D11" s="7" t="s">
        <v>23</v>
      </c>
      <c r="E11" s="7">
        <v>8.0</v>
      </c>
      <c r="F11" s="8">
        <f t="shared" si="0"/>
        <v>3.5294117647058822</v>
      </c>
      <c r="G11" s="9">
        <f t="shared" si="1"/>
        <v>0.85</v>
      </c>
      <c r="H11" s="10">
        <v>3.0</v>
      </c>
      <c r="I11" s="10">
        <f t="shared" si="2"/>
        <v>24.0</v>
      </c>
      <c r="J11" s="6"/>
    </row>
    <row r="12" spans="8:8" s="1" ht="16.0" customFormat="1" customHeight="1">
      <c r="A12" s="6">
        <v>7.0</v>
      </c>
      <c r="B12" s="11" t="s">
        <v>135</v>
      </c>
      <c r="C12" s="11"/>
      <c r="D12" s="12" t="s">
        <v>15</v>
      </c>
      <c r="E12" s="12">
        <v>13.0</v>
      </c>
      <c r="F12" s="8">
        <f t="shared" si="0"/>
        <v>4.470588235294118</v>
      </c>
      <c r="G12" s="9">
        <f t="shared" si="1"/>
        <v>0.85</v>
      </c>
      <c r="H12" s="10">
        <v>3.8</v>
      </c>
      <c r="I12" s="10">
        <f t="shared" si="2"/>
        <v>49.4</v>
      </c>
      <c r="J12" s="11"/>
    </row>
    <row r="13" spans="8:8" s="1" ht="16.0" customFormat="1" customHeight="1">
      <c r="A13" s="6">
        <v>8.0</v>
      </c>
      <c r="B13" s="11" t="s">
        <v>65</v>
      </c>
      <c r="C13" s="11"/>
      <c r="D13" s="12" t="s">
        <v>15</v>
      </c>
      <c r="E13" s="12">
        <v>8.0</v>
      </c>
      <c r="F13" s="8">
        <f t="shared" si="0"/>
        <v>2.9411764705882355</v>
      </c>
      <c r="G13" s="9">
        <f t="shared" si="1"/>
        <v>0.85</v>
      </c>
      <c r="H13" s="10">
        <v>2.5</v>
      </c>
      <c r="I13" s="10">
        <f t="shared" si="2"/>
        <v>20.0</v>
      </c>
      <c r="J13" s="11"/>
    </row>
    <row r="14" spans="8:8" s="1" ht="16.0" customFormat="1" customHeight="1">
      <c r="A14" s="6">
        <v>9.0</v>
      </c>
      <c r="B14" s="11" t="s">
        <v>24</v>
      </c>
      <c r="C14" s="11"/>
      <c r="D14" s="12" t="s">
        <v>15</v>
      </c>
      <c r="E14" s="12">
        <v>6.0</v>
      </c>
      <c r="F14" s="8">
        <f t="shared" si="0"/>
        <v>6.823529411764706</v>
      </c>
      <c r="G14" s="9">
        <f t="shared" si="1"/>
        <v>0.85</v>
      </c>
      <c r="H14" s="10">
        <v>5.8</v>
      </c>
      <c r="I14" s="10">
        <f t="shared" si="2"/>
        <v>34.8</v>
      </c>
      <c r="J14" s="11"/>
    </row>
    <row r="15" spans="8:8" s="1" ht="16.0" customFormat="1" customHeight="1">
      <c r="A15" s="6">
        <v>10.0</v>
      </c>
      <c r="B15" s="6" t="s">
        <v>136</v>
      </c>
      <c r="C15" s="6"/>
      <c r="D15" s="7" t="s">
        <v>15</v>
      </c>
      <c r="E15" s="7">
        <v>13.3</v>
      </c>
      <c r="F15" s="8">
        <f t="shared" si="0"/>
        <v>4.11764705882353</v>
      </c>
      <c r="G15" s="9">
        <f t="shared" si="1"/>
        <v>0.8499999999999999</v>
      </c>
      <c r="H15" s="10">
        <v>3.5</v>
      </c>
      <c r="I15" s="10">
        <f t="shared" si="2"/>
        <v>46.550000000000004</v>
      </c>
      <c r="J15" s="8"/>
    </row>
    <row r="16" spans="8:8" s="1" ht="16.0" customFormat="1" customHeight="1">
      <c r="A16" s="6">
        <v>11.0</v>
      </c>
      <c r="B16" s="11" t="s">
        <v>86</v>
      </c>
      <c r="C16" s="11"/>
      <c r="D16" s="12" t="s">
        <v>15</v>
      </c>
      <c r="E16" s="12">
        <v>3.0</v>
      </c>
      <c r="F16" s="8">
        <f t="shared" si="0"/>
        <v>5.647058823529412</v>
      </c>
      <c r="G16" s="9">
        <f t="shared" si="1"/>
        <v>0.8499999999999999</v>
      </c>
      <c r="H16" s="10">
        <v>4.8</v>
      </c>
      <c r="I16" s="10">
        <f t="shared" si="2"/>
        <v>14.399999999999999</v>
      </c>
      <c r="J16" s="11"/>
    </row>
    <row r="17" spans="8:8" s="1" ht="16.0" customFormat="1" customHeight="1">
      <c r="A17" s="6">
        <v>12.0</v>
      </c>
      <c r="B17" s="11" t="s">
        <v>66</v>
      </c>
      <c r="C17" s="11"/>
      <c r="D17" s="12" t="s">
        <v>15</v>
      </c>
      <c r="E17" s="12">
        <v>13.0</v>
      </c>
      <c r="F17" s="8">
        <f t="shared" si="0"/>
        <v>2.3529411764705883</v>
      </c>
      <c r="G17" s="9">
        <f t="shared" si="1"/>
        <v>0.85</v>
      </c>
      <c r="H17" s="10">
        <v>2.0</v>
      </c>
      <c r="I17" s="10">
        <f t="shared" si="2"/>
        <v>26.0</v>
      </c>
      <c r="J17" s="11"/>
    </row>
    <row r="18" spans="8:8" s="1" ht="16.0" customFormat="1" customHeight="1">
      <c r="A18" s="6">
        <v>13.0</v>
      </c>
      <c r="B18" s="11" t="s">
        <v>28</v>
      </c>
      <c r="C18" s="11"/>
      <c r="D18" s="12" t="s">
        <v>15</v>
      </c>
      <c r="E18" s="12">
        <v>5.0</v>
      </c>
      <c r="F18" s="8">
        <f t="shared" si="0"/>
        <v>16.23529411764706</v>
      </c>
      <c r="G18" s="9">
        <f t="shared" si="1"/>
        <v>0.8499999999999999</v>
      </c>
      <c r="H18" s="10">
        <v>13.8</v>
      </c>
      <c r="I18" s="10">
        <f t="shared" si="2"/>
        <v>69.0</v>
      </c>
      <c r="J18" s="11"/>
    </row>
    <row r="19" spans="8:8" s="1" ht="16.0" customFormat="1" customHeight="1">
      <c r="A19" s="6">
        <v>14.0</v>
      </c>
      <c r="B19" s="11" t="s">
        <v>137</v>
      </c>
      <c r="C19" s="11"/>
      <c r="D19" s="11" t="s">
        <v>15</v>
      </c>
      <c r="E19" s="12">
        <v>15.0</v>
      </c>
      <c r="F19" s="8">
        <f t="shared" si="0"/>
        <v>32.94117647058824</v>
      </c>
      <c r="G19" s="9">
        <f t="shared" si="1"/>
        <v>0.8499999999999999</v>
      </c>
      <c r="H19" s="10">
        <v>28.0</v>
      </c>
      <c r="I19" s="10">
        <f t="shared" si="2"/>
        <v>420.0</v>
      </c>
      <c r="J19" s="6"/>
    </row>
    <row r="20" spans="8:8" s="1" ht="16.0" customFormat="1" customHeight="1">
      <c r="A20" s="6">
        <v>15.0</v>
      </c>
      <c r="B20" s="6" t="s">
        <v>70</v>
      </c>
      <c r="C20" s="6"/>
      <c r="D20" s="11" t="s">
        <v>15</v>
      </c>
      <c r="E20" s="7">
        <v>5.0</v>
      </c>
      <c r="F20" s="8">
        <f t="shared" si="0"/>
        <v>19.764705882352942</v>
      </c>
      <c r="G20" s="9">
        <f t="shared" si="1"/>
        <v>0.85</v>
      </c>
      <c r="H20" s="10">
        <v>16.8</v>
      </c>
      <c r="I20" s="10">
        <f t="shared" si="2"/>
        <v>84.0</v>
      </c>
      <c r="J20" s="11"/>
    </row>
    <row r="21" spans="8:8" s="1" ht="16.0" customFormat="1" customHeight="1">
      <c r="A21" s="6">
        <v>16.0</v>
      </c>
      <c r="B21" s="6" t="s">
        <v>94</v>
      </c>
      <c r="C21" s="6" t="s">
        <v>95</v>
      </c>
      <c r="D21" s="6" t="s">
        <v>53</v>
      </c>
      <c r="E21" s="7">
        <v>20.0</v>
      </c>
      <c r="F21" s="8">
        <f t="shared" si="0"/>
        <v>10.588235294117647</v>
      </c>
      <c r="G21" s="9">
        <f t="shared" si="1"/>
        <v>0.85</v>
      </c>
      <c r="H21" s="10">
        <v>9.0</v>
      </c>
      <c r="I21" s="10">
        <f t="shared" si="2"/>
        <v>180.0</v>
      </c>
      <c r="J21" s="6"/>
    </row>
    <row r="22" spans="8:8" s="1" ht="16.0" customFormat="1" customHeight="1">
      <c r="A22" s="6">
        <v>17.0</v>
      </c>
      <c r="B22" s="6" t="s">
        <v>138</v>
      </c>
      <c r="C22" s="6"/>
      <c r="D22" s="6" t="s">
        <v>32</v>
      </c>
      <c r="E22" s="7">
        <v>1.0</v>
      </c>
      <c r="F22" s="8">
        <f t="shared" si="0"/>
        <v>76.47058823529412</v>
      </c>
      <c r="G22" s="9">
        <f t="shared" si="1"/>
        <v>0.85</v>
      </c>
      <c r="H22" s="10">
        <v>65.0</v>
      </c>
      <c r="I22" s="10">
        <f t="shared" si="2"/>
        <v>65.0</v>
      </c>
      <c r="J22" s="6"/>
    </row>
    <row r="23" spans="8:8" s="1" ht="16.0" customFormat="1" customHeight="1">
      <c r="A23" s="6">
        <v>18.0</v>
      </c>
      <c r="B23" s="6" t="s">
        <v>139</v>
      </c>
      <c r="C23" s="6" t="s">
        <v>140</v>
      </c>
      <c r="D23" s="6" t="s">
        <v>141</v>
      </c>
      <c r="E23" s="7">
        <v>10.0</v>
      </c>
      <c r="F23" s="8">
        <f t="shared" si="0"/>
        <v>8.0</v>
      </c>
      <c r="G23" s="9">
        <f t="shared" si="1"/>
        <v>0.85</v>
      </c>
      <c r="H23" s="10">
        <v>6.8</v>
      </c>
      <c r="I23" s="10">
        <f t="shared" si="2"/>
        <v>68.0</v>
      </c>
      <c r="J23" s="6"/>
    </row>
    <row r="24" spans="8:8" s="1" ht="18.0" customFormat="1" customHeight="1">
      <c r="A24" s="6">
        <v>19.0</v>
      </c>
      <c r="B24" s="8" t="s">
        <v>35</v>
      </c>
      <c r="C24" s="8"/>
      <c r="D24" s="8" t="s">
        <v>36</v>
      </c>
      <c r="E24" s="7">
        <v>48.0</v>
      </c>
      <c r="F24" s="8">
        <f t="shared" si="0"/>
        <v>4.11764705882353</v>
      </c>
      <c r="G24" s="9">
        <f t="shared" si="1"/>
        <v>0.8499999999999999</v>
      </c>
      <c r="H24" s="10">
        <v>3.5</v>
      </c>
      <c r="I24" s="10">
        <f t="shared" si="2"/>
        <v>168.0</v>
      </c>
      <c r="J24" s="6"/>
    </row>
    <row r="25" spans="8:8" s="1" ht="18.0" customFormat="1" customHeight="1">
      <c r="A25" s="6">
        <v>20.0</v>
      </c>
      <c r="B25" s="8" t="s">
        <v>88</v>
      </c>
      <c r="C25" s="8" t="s">
        <v>89</v>
      </c>
      <c r="D25" s="8" t="s">
        <v>36</v>
      </c>
      <c r="E25" s="7">
        <v>2.0</v>
      </c>
      <c r="F25" s="8">
        <f t="shared" si="0"/>
        <v>4.11764705882353</v>
      </c>
      <c r="G25" s="9">
        <f t="shared" si="1"/>
        <v>0.8499999999999999</v>
      </c>
      <c r="H25" s="10">
        <v>3.5</v>
      </c>
      <c r="I25" s="10">
        <f t="shared" si="2"/>
        <v>7.0</v>
      </c>
      <c r="J25" s="8"/>
    </row>
    <row r="26" spans="8:8" s="1" ht="18.0" customFormat="1" customHeight="1">
      <c r="A26" s="6">
        <v>21.0</v>
      </c>
      <c r="B26" s="8"/>
      <c r="C26" s="8"/>
      <c r="D26" s="8"/>
      <c r="E26" s="7"/>
      <c r="F26" s="8"/>
      <c r="G26" s="9"/>
      <c r="H26" s="14"/>
      <c r="I26" s="10"/>
      <c r="J26" s="8"/>
    </row>
    <row r="27" spans="8:8" s="1" ht="18.0" customFormat="1" customHeight="1">
      <c r="A27" s="6">
        <v>22.0</v>
      </c>
      <c r="B27" s="8"/>
      <c r="C27" s="8"/>
      <c r="D27" s="8"/>
      <c r="E27" s="7"/>
      <c r="F27" s="8"/>
      <c r="G27" s="9"/>
      <c r="H27" s="14"/>
      <c r="I27" s="10"/>
      <c r="J27" s="8"/>
    </row>
    <row r="28" spans="8:8" s="1" ht="18.0" customFormat="1" customHeight="1">
      <c r="A28" s="6">
        <v>23.0</v>
      </c>
      <c r="B28" s="8"/>
      <c r="C28" s="8"/>
      <c r="D28" s="8"/>
      <c r="E28" s="7"/>
      <c r="F28" s="8"/>
      <c r="G28" s="9"/>
      <c r="H28" s="14"/>
      <c r="I28" s="10"/>
      <c r="J28" s="8"/>
    </row>
    <row r="29" spans="8:8" s="1" ht="18.0" customFormat="1" customHeight="1">
      <c r="A29" s="6">
        <v>24.0</v>
      </c>
      <c r="B29" s="8"/>
      <c r="C29" s="8"/>
      <c r="D29" s="8"/>
      <c r="E29" s="7"/>
      <c r="F29" s="8"/>
      <c r="G29" s="9"/>
      <c r="H29" s="14"/>
      <c r="I29" s="10"/>
      <c r="J29" s="8"/>
    </row>
    <row r="30" spans="8:8" s="1" ht="18.0" customFormat="1" customHeight="1">
      <c r="A30" s="6">
        <v>25.0</v>
      </c>
      <c r="B30" s="8"/>
      <c r="C30" s="8"/>
      <c r="D30" s="8"/>
      <c r="E30" s="7"/>
      <c r="F30" s="8"/>
      <c r="G30" s="9"/>
      <c r="H30" s="14"/>
      <c r="I30" s="10"/>
      <c r="J30" s="8"/>
    </row>
    <row r="31" spans="8:8" s="1" ht="18.0" customFormat="1" customHeight="1">
      <c r="A31" s="6">
        <v>26.0</v>
      </c>
      <c r="B31" s="8"/>
      <c r="C31" s="8"/>
      <c r="D31" s="8"/>
      <c r="E31" s="7"/>
      <c r="F31" s="8"/>
      <c r="G31" s="9"/>
      <c r="H31" s="14"/>
      <c r="I31" s="10"/>
      <c r="J31" s="8"/>
    </row>
    <row r="32" spans="8:8" s="1" ht="18.0" customFormat="1" customHeight="1">
      <c r="A32" s="6">
        <v>27.0</v>
      </c>
      <c r="B32" s="8"/>
      <c r="C32" s="8"/>
      <c r="D32" s="8"/>
      <c r="E32" s="7"/>
      <c r="F32" s="8"/>
      <c r="G32" s="9"/>
      <c r="H32" s="14"/>
      <c r="I32" s="10"/>
      <c r="J32" s="8"/>
    </row>
    <row r="33" spans="8:8" s="1" ht="18.0" customFormat="1" customHeight="1">
      <c r="A33" s="6" t="s">
        <v>37</v>
      </c>
      <c r="B33" s="15">
        <f>SUM(I6:I32)</f>
        <v>1417.65</v>
      </c>
      <c r="C33" s="16"/>
      <c r="D33" s="16"/>
      <c r="E33" s="24"/>
      <c r="F33" s="16"/>
      <c r="G33" s="16"/>
      <c r="H33" s="16"/>
      <c r="I33" s="16"/>
      <c r="J33" s="17"/>
    </row>
    <row r="34" spans="8:8" s="1" ht="18.0" customFormat="1" customHeight="1">
      <c r="A34" s="6" t="s">
        <v>38</v>
      </c>
      <c r="B34" s="18">
        <f>B33</f>
        <v>1417.65</v>
      </c>
      <c r="C34" s="19"/>
      <c r="D34" s="19"/>
      <c r="E34" s="24"/>
      <c r="F34" s="19"/>
      <c r="G34" s="19"/>
      <c r="H34" s="19"/>
      <c r="I34" s="19"/>
      <c r="J34" s="20"/>
    </row>
    <row r="35" spans="8:8" s="1" ht="18.0" customFormat="1" customHeight="1">
      <c r="A35" s="1" t="s">
        <v>39</v>
      </c>
      <c r="E35" s="21"/>
    </row>
  </sheetData>
  <mergeCells count="4">
    <mergeCell ref="A1:J1"/>
    <mergeCell ref="B33:J33"/>
    <mergeCell ref="B34:J34"/>
    <mergeCell ref="A35:J35"/>
  </mergeCells>
  <conditionalFormatting sqref="B6:B32">
    <cfRule type="duplicateValues" priority="2" dxfId="18"/>
  </conditionalFormatting>
  <conditionalFormatting sqref="B6:C18">
    <cfRule type="duplicateValues" priority="3" dxfId="19"/>
  </conditionalFormatting>
  <conditionalFormatting sqref="B1:B32 B35:B1048576">
    <cfRule type="duplicateValues" priority="1" dxfId="20"/>
  </conditionalFormatting>
  <pageMargins left="0.751388888888889" right="0.751388888888889" top="0.409027777777778" bottom="0.2125" header="0.5" footer="0.5"/>
  <pageSetup paperSize="9" scale="96"/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36"/>
  <sheetViews>
    <sheetView workbookViewId="0" topLeftCell="A18">
      <selection activeCell="I18" sqref="I1:I1048576"/>
    </sheetView>
  </sheetViews>
  <sheetFormatPr defaultRowHeight="18.0" customHeight="1" defaultColWidth="11"/>
  <cols>
    <col min="1" max="1" customWidth="1" width="9.125" style="1"/>
    <col min="2" max="2" customWidth="1" width="19.25" style="1"/>
    <col min="3" max="3" customWidth="1" width="11.375" style="1"/>
    <col min="4" max="4" customWidth="1" width="5.9414062" style="1"/>
    <col min="5" max="5" customWidth="1" width="5.25" style="21"/>
    <col min="6" max="6" customWidth="1" width="8.0" style="1"/>
    <col min="7" max="7" customWidth="1" width="6.625" style="1"/>
    <col min="8" max="8" customWidth="1" width="7.875" style="1"/>
    <col min="9" max="9" customWidth="1" width="8.625" style="1"/>
    <col min="10" max="10" customWidth="1" width="7.375" style="1"/>
    <col min="11" max="16321" customWidth="1" width="11.6640625" style="1"/>
    <col min="16322" max="16322" customWidth="0" width="11.6640625" style="1"/>
    <col min="16323" max="16328" customWidth="0" width="11.0" style="1"/>
    <col min="16329" max="16384" customWidth="0" width="11.0" style="2"/>
  </cols>
  <sheetData>
    <row r="1" spans="8:8" s="1" ht="24.0" customFormat="1" customHeight="1">
      <c r="A1" s="3" t="s">
        <v>0</v>
      </c>
      <c r="B1" s="3"/>
      <c r="C1" s="3"/>
      <c r="D1" s="3"/>
      <c r="E1" s="22"/>
      <c r="F1" s="3"/>
      <c r="G1" s="3"/>
      <c r="H1" s="3"/>
      <c r="I1" s="3"/>
      <c r="J1" s="3"/>
    </row>
    <row r="2" spans="8:8" s="1" ht="8.0" customFormat="1" customHeight="1">
      <c r="A2" s="3"/>
      <c r="B2" s="3"/>
      <c r="C2" s="3"/>
      <c r="D2" s="3"/>
      <c r="E2" s="22"/>
      <c r="F2" s="3"/>
      <c r="G2" s="3"/>
      <c r="H2" s="3"/>
      <c r="I2" s="3"/>
      <c r="J2" s="3"/>
    </row>
    <row r="3" spans="8:8" s="1" ht="18.0" customFormat="1" customHeight="1">
      <c r="A3" s="1" t="s">
        <v>1</v>
      </c>
      <c r="B3" s="1" t="s">
        <v>2</v>
      </c>
      <c r="E3" s="21"/>
    </row>
    <row r="4" spans="8:8" s="1" ht="18.0" customFormat="1" customHeight="1">
      <c r="A4" s="1" t="s">
        <v>3</v>
      </c>
      <c r="B4" s="4">
        <v>45245.0</v>
      </c>
      <c r="C4" s="4"/>
      <c r="D4" s="5"/>
      <c r="E4" s="23"/>
      <c r="F4" s="5"/>
      <c r="G4" s="5"/>
      <c r="H4" s="4"/>
      <c r="I4" s="4"/>
      <c r="J4" s="4"/>
    </row>
    <row r="5" spans="8:8" s="1" ht="18.0" customFormat="1" customHeight="1">
      <c r="A5" s="6" t="s">
        <v>4</v>
      </c>
      <c r="B5" s="6" t="s">
        <v>5</v>
      </c>
      <c r="C5" s="6" t="s">
        <v>6</v>
      </c>
      <c r="D5" s="6" t="s">
        <v>7</v>
      </c>
      <c r="E5" s="7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</row>
    <row r="6" spans="8:8" s="1" ht="16.0" customFormat="1" customHeight="1">
      <c r="A6" s="6">
        <v>1.0</v>
      </c>
      <c r="B6" s="6" t="s">
        <v>30</v>
      </c>
      <c r="C6" s="6" t="s">
        <v>31</v>
      </c>
      <c r="D6" s="7" t="s">
        <v>32</v>
      </c>
      <c r="E6" s="7">
        <v>2.0</v>
      </c>
      <c r="F6" s="8">
        <f t="shared" si="0" ref="F6:F11">H6/0.85</f>
        <v>411.7647058823529</v>
      </c>
      <c r="G6" s="9">
        <f t="shared" si="1" ref="G6:G11">H6/F6</f>
        <v>0.85</v>
      </c>
      <c r="H6" s="10">
        <v>350.0</v>
      </c>
      <c r="I6" s="10">
        <f t="shared" si="2" ref="I6:I11">E6*H6</f>
        <v>700.0</v>
      </c>
      <c r="J6" s="6"/>
    </row>
    <row r="7" spans="8:8" s="1" ht="16.0" customFormat="1" customHeight="1">
      <c r="A7" s="6">
        <v>2.0</v>
      </c>
      <c r="B7" s="6" t="s">
        <v>14</v>
      </c>
      <c r="C7" s="6"/>
      <c r="D7" s="7" t="s">
        <v>15</v>
      </c>
      <c r="E7" s="7">
        <v>7.0</v>
      </c>
      <c r="F7" s="8">
        <f t="shared" si="0"/>
        <v>3.5294117647058822</v>
      </c>
      <c r="G7" s="9">
        <f t="shared" si="1"/>
        <v>0.85</v>
      </c>
      <c r="H7" s="10">
        <v>3.0</v>
      </c>
      <c r="I7" s="10">
        <f t="shared" si="2"/>
        <v>21.0</v>
      </c>
      <c r="J7" s="6"/>
    </row>
    <row r="8" spans="8:8" s="1" ht="16.0" customFormat="1" customHeight="1">
      <c r="A8" s="6">
        <v>3.0</v>
      </c>
      <c r="B8" s="6" t="s">
        <v>16</v>
      </c>
      <c r="C8" s="6"/>
      <c r="D8" s="7" t="s">
        <v>15</v>
      </c>
      <c r="E8" s="7">
        <v>5.0</v>
      </c>
      <c r="F8" s="8">
        <f t="shared" si="0"/>
        <v>4.11764705882353</v>
      </c>
      <c r="G8" s="9">
        <f t="shared" si="1"/>
        <v>0.8499999999999999</v>
      </c>
      <c r="H8" s="10">
        <v>3.5</v>
      </c>
      <c r="I8" s="10">
        <f t="shared" si="2"/>
        <v>17.5</v>
      </c>
      <c r="J8" s="6"/>
    </row>
    <row r="9" spans="8:8" s="1" ht="16.0" customFormat="1" customHeight="1">
      <c r="A9" s="6">
        <v>4.0</v>
      </c>
      <c r="B9" s="6" t="s">
        <v>17</v>
      </c>
      <c r="C9" s="6"/>
      <c r="D9" s="7" t="s">
        <v>15</v>
      </c>
      <c r="E9" s="7">
        <v>5.0</v>
      </c>
      <c r="F9" s="8">
        <f t="shared" si="0"/>
        <v>4.11764705882353</v>
      </c>
      <c r="G9" s="9">
        <f t="shared" si="1"/>
        <v>0.8499999999999999</v>
      </c>
      <c r="H9" s="10">
        <v>3.5</v>
      </c>
      <c r="I9" s="10">
        <f t="shared" si="2"/>
        <v>17.5</v>
      </c>
      <c r="J9" s="6"/>
    </row>
    <row r="10" spans="8:8" s="1" ht="16.0" customFormat="1" customHeight="1">
      <c r="A10" s="6">
        <v>5.0</v>
      </c>
      <c r="B10" s="6" t="s">
        <v>18</v>
      </c>
      <c r="C10" s="6"/>
      <c r="D10" s="7" t="s">
        <v>15</v>
      </c>
      <c r="E10" s="7">
        <v>4.0</v>
      </c>
      <c r="F10" s="8">
        <f t="shared" si="0"/>
        <v>7.0588235294117645</v>
      </c>
      <c r="G10" s="9">
        <f t="shared" si="1"/>
        <v>0.85</v>
      </c>
      <c r="H10" s="10">
        <v>6.0</v>
      </c>
      <c r="I10" s="10">
        <f t="shared" si="2"/>
        <v>24.0</v>
      </c>
      <c r="J10" s="6"/>
    </row>
    <row r="11" spans="8:8" s="1" ht="16.0" customFormat="1" customHeight="1">
      <c r="A11" s="6">
        <v>6.0</v>
      </c>
      <c r="B11" s="11" t="s">
        <v>102</v>
      </c>
      <c r="C11" s="11"/>
      <c r="D11" s="12" t="s">
        <v>15</v>
      </c>
      <c r="E11" s="12">
        <v>8.0</v>
      </c>
      <c r="F11" s="8">
        <f t="shared" si="0"/>
        <v>4.470588235294118</v>
      </c>
      <c r="G11" s="9">
        <f t="shared" si="1"/>
        <v>0.85</v>
      </c>
      <c r="H11" s="14">
        <v>3.8</v>
      </c>
      <c r="I11" s="10">
        <f t="shared" si="2"/>
        <v>30.4</v>
      </c>
      <c r="J11" s="11"/>
    </row>
    <row r="12" spans="8:8" s="1" ht="16.0" customFormat="1" customHeight="1">
      <c r="A12" s="6">
        <v>7.0</v>
      </c>
      <c r="B12" s="11" t="s">
        <v>63</v>
      </c>
      <c r="C12" s="11"/>
      <c r="D12" s="12" t="s">
        <v>15</v>
      </c>
      <c r="E12" s="12">
        <v>3.0</v>
      </c>
      <c r="F12" s="8">
        <f t="shared" si="3" ref="F12:F23">H12/0.85</f>
        <v>8.823529411764707</v>
      </c>
      <c r="G12" s="9">
        <f t="shared" si="4" ref="G12:G23">H12/F12</f>
        <v>0.85</v>
      </c>
      <c r="H12" s="14">
        <v>7.5</v>
      </c>
      <c r="I12" s="10">
        <f t="shared" si="5" ref="I12:I23">E12*H12</f>
        <v>22.5</v>
      </c>
      <c r="J12" s="11"/>
    </row>
    <row r="13" spans="8:8" s="1" ht="16.0" customFormat="1" customHeight="1">
      <c r="A13" s="6">
        <v>8.0</v>
      </c>
      <c r="B13" s="11" t="s">
        <v>64</v>
      </c>
      <c r="C13" s="11"/>
      <c r="D13" s="12" t="s">
        <v>15</v>
      </c>
      <c r="E13" s="12">
        <v>3.0</v>
      </c>
      <c r="F13" s="8">
        <f t="shared" si="3"/>
        <v>4.705882352941177</v>
      </c>
      <c r="G13" s="9">
        <f t="shared" si="4"/>
        <v>0.85</v>
      </c>
      <c r="H13" s="14">
        <v>4.0</v>
      </c>
      <c r="I13" s="10">
        <f t="shared" si="5"/>
        <v>12.0</v>
      </c>
      <c r="J13" s="11"/>
    </row>
    <row r="14" spans="8:8" s="1" ht="16.0" customFormat="1" customHeight="1">
      <c r="A14" s="6">
        <v>9.0</v>
      </c>
      <c r="B14" s="11" t="s">
        <v>74</v>
      </c>
      <c r="C14" s="11"/>
      <c r="D14" s="12" t="s">
        <v>15</v>
      </c>
      <c r="E14" s="12">
        <v>2.0</v>
      </c>
      <c r="F14" s="8">
        <f t="shared" si="3"/>
        <v>4.470588235294118</v>
      </c>
      <c r="G14" s="9">
        <f t="shared" si="4"/>
        <v>0.85</v>
      </c>
      <c r="H14" s="14">
        <v>3.8</v>
      </c>
      <c r="I14" s="10">
        <f t="shared" si="5"/>
        <v>7.6</v>
      </c>
      <c r="J14" s="11"/>
    </row>
    <row r="15" spans="8:8" s="1" ht="16.0" customFormat="1" customHeight="1">
      <c r="A15" s="6">
        <v>10.0</v>
      </c>
      <c r="B15" s="11" t="s">
        <v>85</v>
      </c>
      <c r="C15" s="11"/>
      <c r="D15" s="12" t="s">
        <v>15</v>
      </c>
      <c r="E15" s="12">
        <v>5.0</v>
      </c>
      <c r="F15" s="8">
        <f t="shared" si="3"/>
        <v>11.529411764705884</v>
      </c>
      <c r="G15" s="9">
        <f t="shared" si="4"/>
        <v>0.85</v>
      </c>
      <c r="H15" s="14">
        <v>9.8</v>
      </c>
      <c r="I15" s="10">
        <f t="shared" si="5"/>
        <v>49.0</v>
      </c>
      <c r="J15" s="11"/>
    </row>
    <row r="16" spans="8:8" s="1" ht="16.0" customFormat="1" customHeight="1">
      <c r="A16" s="6">
        <v>11.0</v>
      </c>
      <c r="B16" s="6" t="s">
        <v>76</v>
      </c>
      <c r="C16" s="6"/>
      <c r="D16" s="7" t="s">
        <v>15</v>
      </c>
      <c r="E16" s="7">
        <v>13.0</v>
      </c>
      <c r="F16" s="8">
        <f t="shared" si="3"/>
        <v>2.1176470588235294</v>
      </c>
      <c r="G16" s="9">
        <f t="shared" si="4"/>
        <v>0.85</v>
      </c>
      <c r="H16" s="14">
        <v>1.8</v>
      </c>
      <c r="I16" s="10">
        <f t="shared" si="5"/>
        <v>23.400000000000002</v>
      </c>
      <c r="J16" s="6"/>
    </row>
    <row r="17" spans="8:8" s="1" ht="16.0" customFormat="1" customHeight="1">
      <c r="A17" s="6">
        <v>12.0</v>
      </c>
      <c r="B17" s="11" t="s">
        <v>116</v>
      </c>
      <c r="C17" s="11"/>
      <c r="D17" s="11" t="s">
        <v>15</v>
      </c>
      <c r="E17" s="12">
        <v>4.7</v>
      </c>
      <c r="F17" s="8">
        <f t="shared" si="3"/>
        <v>5.647058823529412</v>
      </c>
      <c r="G17" s="9">
        <f t="shared" si="4"/>
        <v>0.8499999999999999</v>
      </c>
      <c r="H17" s="14">
        <v>4.8</v>
      </c>
      <c r="I17" s="10">
        <f t="shared" si="5"/>
        <v>22.56</v>
      </c>
      <c r="J17" s="11"/>
    </row>
    <row r="18" spans="8:8" s="1" ht="16.0" customFormat="1" customHeight="1">
      <c r="A18" s="6">
        <v>13.0</v>
      </c>
      <c r="B18" s="6" t="s">
        <v>142</v>
      </c>
      <c r="C18" s="6"/>
      <c r="D18" s="11" t="s">
        <v>15</v>
      </c>
      <c r="E18" s="7">
        <v>7.0</v>
      </c>
      <c r="F18" s="8">
        <f t="shared" si="3"/>
        <v>8.0</v>
      </c>
      <c r="G18" s="9">
        <f t="shared" si="4"/>
        <v>0.85</v>
      </c>
      <c r="H18" s="14">
        <v>6.8</v>
      </c>
      <c r="I18" s="10">
        <f t="shared" si="5"/>
        <v>47.6</v>
      </c>
      <c r="J18" s="6"/>
    </row>
    <row r="19" spans="8:8" s="1" ht="16.0" customFormat="1" customHeight="1">
      <c r="A19" s="6">
        <v>14.0</v>
      </c>
      <c r="B19" s="6" t="s">
        <v>47</v>
      </c>
      <c r="C19" s="6"/>
      <c r="D19" s="6" t="s">
        <v>15</v>
      </c>
      <c r="E19" s="7">
        <v>16.5</v>
      </c>
      <c r="F19" s="8">
        <f t="shared" si="3"/>
        <v>17.411764705882355</v>
      </c>
      <c r="G19" s="9">
        <f t="shared" si="4"/>
        <v>0.85</v>
      </c>
      <c r="H19" s="14">
        <v>14.8</v>
      </c>
      <c r="I19" s="10">
        <f t="shared" si="5"/>
        <v>244.20000000000002</v>
      </c>
      <c r="J19" s="6"/>
    </row>
    <row r="20" spans="8:8" s="1" ht="16.0" customFormat="1" customHeight="1">
      <c r="A20" s="6">
        <v>15.0</v>
      </c>
      <c r="B20" s="6" t="s">
        <v>29</v>
      </c>
      <c r="C20" s="6"/>
      <c r="D20" s="6" t="s">
        <v>15</v>
      </c>
      <c r="E20" s="7">
        <v>8.0</v>
      </c>
      <c r="F20" s="8">
        <f t="shared" si="3"/>
        <v>32.94117647058824</v>
      </c>
      <c r="G20" s="9">
        <f t="shared" si="4"/>
        <v>0.8499999999999999</v>
      </c>
      <c r="H20" s="14">
        <v>28.0</v>
      </c>
      <c r="I20" s="10">
        <f t="shared" si="5"/>
        <v>224.0</v>
      </c>
      <c r="J20" s="6"/>
    </row>
    <row r="21" spans="8:8" s="1" ht="16.0" customFormat="1" customHeight="1">
      <c r="A21" s="6">
        <v>16.0</v>
      </c>
      <c r="B21" s="6" t="s">
        <v>143</v>
      </c>
      <c r="C21" s="6" t="s">
        <v>59</v>
      </c>
      <c r="D21" s="6" t="s">
        <v>15</v>
      </c>
      <c r="E21" s="7">
        <v>1.0</v>
      </c>
      <c r="F21" s="8">
        <f t="shared" si="3"/>
        <v>29.411764705882355</v>
      </c>
      <c r="G21" s="9">
        <f t="shared" si="4"/>
        <v>0.85</v>
      </c>
      <c r="H21" s="14">
        <v>25.0</v>
      </c>
      <c r="I21" s="10">
        <f t="shared" si="5"/>
        <v>25.0</v>
      </c>
      <c r="J21" s="6"/>
    </row>
    <row r="22" spans="8:8" s="1" ht="18.0" customFormat="1" customHeight="1">
      <c r="A22" s="6">
        <v>17.0</v>
      </c>
      <c r="B22" s="8" t="s">
        <v>144</v>
      </c>
      <c r="C22" s="8" t="s">
        <v>145</v>
      </c>
      <c r="D22" s="8" t="s">
        <v>32</v>
      </c>
      <c r="E22" s="7">
        <v>1.0</v>
      </c>
      <c r="F22" s="8">
        <f t="shared" si="3"/>
        <v>411.7647058823529</v>
      </c>
      <c r="G22" s="9">
        <f t="shared" si="4"/>
        <v>0.85</v>
      </c>
      <c r="H22" s="14">
        <v>350.0</v>
      </c>
      <c r="I22" s="10">
        <f t="shared" si="5"/>
        <v>350.0</v>
      </c>
      <c r="J22" s="8"/>
    </row>
    <row r="23" spans="8:8" s="1" ht="18.0" customFormat="1" customHeight="1">
      <c r="A23" s="6">
        <v>18.0</v>
      </c>
      <c r="B23" s="8" t="s">
        <v>35</v>
      </c>
      <c r="C23" s="8"/>
      <c r="D23" s="8" t="s">
        <v>36</v>
      </c>
      <c r="E23" s="7">
        <v>30.0</v>
      </c>
      <c r="F23" s="8">
        <f t="shared" si="3"/>
        <v>4.11764705882353</v>
      </c>
      <c r="G23" s="9">
        <f t="shared" si="4"/>
        <v>0.8499999999999999</v>
      </c>
      <c r="H23" s="14">
        <v>3.5</v>
      </c>
      <c r="I23" s="10">
        <f t="shared" si="5"/>
        <v>105.0</v>
      </c>
      <c r="J23" s="8"/>
    </row>
    <row r="24" spans="8:8" s="1" ht="18.0" customFormat="1" customHeight="1">
      <c r="A24" s="6">
        <v>19.0</v>
      </c>
      <c r="B24" s="8"/>
      <c r="C24" s="8"/>
      <c r="D24" s="8"/>
      <c r="E24" s="7"/>
      <c r="F24" s="8"/>
      <c r="G24" s="9"/>
      <c r="H24" s="14"/>
      <c r="I24" s="10"/>
      <c r="J24" s="8"/>
    </row>
    <row r="25" spans="8:8" s="1" ht="18.0" customFormat="1" customHeight="1">
      <c r="A25" s="6">
        <v>20.0</v>
      </c>
      <c r="B25" s="8"/>
      <c r="C25" s="8"/>
      <c r="D25" s="8"/>
      <c r="E25" s="7"/>
      <c r="F25" s="8"/>
      <c r="G25" s="9"/>
      <c r="H25" s="14"/>
      <c r="I25" s="10"/>
      <c r="J25" s="8"/>
    </row>
    <row r="26" spans="8:8" s="1" ht="18.0" customFormat="1" customHeight="1">
      <c r="A26" s="6">
        <v>21.0</v>
      </c>
      <c r="B26" s="8"/>
      <c r="C26" s="8"/>
      <c r="D26" s="8"/>
      <c r="E26" s="7"/>
      <c r="F26" s="8"/>
      <c r="G26" s="9"/>
      <c r="H26" s="14"/>
      <c r="I26" s="10"/>
      <c r="J26" s="8"/>
    </row>
    <row r="27" spans="8:8" s="1" ht="18.0" customFormat="1" customHeight="1">
      <c r="A27" s="6">
        <v>22.0</v>
      </c>
      <c r="B27" s="8"/>
      <c r="C27" s="8"/>
      <c r="D27" s="8"/>
      <c r="E27" s="7"/>
      <c r="F27" s="8"/>
      <c r="G27" s="9"/>
      <c r="H27" s="14"/>
      <c r="I27" s="10"/>
      <c r="J27" s="8"/>
    </row>
    <row r="28" spans="8:8" s="1" ht="18.0" customFormat="1" customHeight="1">
      <c r="A28" s="6">
        <v>23.0</v>
      </c>
      <c r="B28" s="8"/>
      <c r="C28" s="8"/>
      <c r="D28" s="8"/>
      <c r="E28" s="7"/>
      <c r="F28" s="8"/>
      <c r="G28" s="9"/>
      <c r="H28" s="14"/>
      <c r="I28" s="10"/>
      <c r="J28" s="8"/>
    </row>
    <row r="29" spans="8:8" s="1" ht="18.0" customFormat="1" customHeight="1">
      <c r="A29" s="6">
        <v>24.0</v>
      </c>
      <c r="B29" s="8"/>
      <c r="C29" s="8"/>
      <c r="D29" s="8"/>
      <c r="E29" s="7"/>
      <c r="F29" s="8"/>
      <c r="G29" s="9"/>
      <c r="H29" s="14"/>
      <c r="I29" s="10"/>
      <c r="J29" s="8"/>
    </row>
    <row r="30" spans="8:8" s="1" ht="18.0" customFormat="1" customHeight="1">
      <c r="A30" s="6">
        <v>25.0</v>
      </c>
      <c r="B30" s="8"/>
      <c r="C30" s="8"/>
      <c r="D30" s="8"/>
      <c r="E30" s="7"/>
      <c r="F30" s="8"/>
      <c r="G30" s="9"/>
      <c r="H30" s="14"/>
      <c r="I30" s="10"/>
      <c r="J30" s="8"/>
    </row>
    <row r="31" spans="8:8" s="1" ht="18.0" customFormat="1" customHeight="1">
      <c r="A31" s="6">
        <v>26.0</v>
      </c>
      <c r="B31" s="8"/>
      <c r="C31" s="8"/>
      <c r="D31" s="8"/>
      <c r="E31" s="7"/>
      <c r="F31" s="8"/>
      <c r="G31" s="9"/>
      <c r="H31" s="14"/>
      <c r="I31" s="10"/>
      <c r="J31" s="8"/>
    </row>
    <row r="32" spans="8:8" s="1" ht="18.0" customFormat="1" customHeight="1">
      <c r="A32" s="6">
        <v>27.0</v>
      </c>
      <c r="B32" s="8"/>
      <c r="C32" s="8"/>
      <c r="D32" s="8"/>
      <c r="E32" s="7"/>
      <c r="F32" s="8"/>
      <c r="G32" s="9"/>
      <c r="H32" s="14"/>
      <c r="I32" s="10"/>
      <c r="J32" s="8"/>
    </row>
    <row r="33" spans="8:8" s="1" ht="18.0" customFormat="1" customHeight="1">
      <c r="A33" s="6">
        <v>28.0</v>
      </c>
      <c r="B33" s="8"/>
      <c r="C33" s="8"/>
      <c r="D33" s="8"/>
      <c r="E33" s="7"/>
      <c r="F33" s="8"/>
      <c r="G33" s="9"/>
      <c r="H33" s="14"/>
      <c r="I33" s="10"/>
      <c r="J33" s="8"/>
    </row>
    <row r="34" spans="8:8" s="1" ht="18.0" customFormat="1" customHeight="1">
      <c r="A34" s="6" t="s">
        <v>37</v>
      </c>
      <c r="B34" s="15">
        <f>SUM(I6:I33)</f>
        <v>1943.26</v>
      </c>
      <c r="C34" s="16"/>
      <c r="D34" s="16"/>
      <c r="E34" s="24"/>
      <c r="F34" s="16"/>
      <c r="G34" s="16"/>
      <c r="H34" s="16"/>
      <c r="I34" s="16"/>
      <c r="J34" s="17"/>
    </row>
    <row r="35" spans="8:8" s="1" ht="18.0" customFormat="1" customHeight="1">
      <c r="A35" s="6" t="s">
        <v>38</v>
      </c>
      <c r="B35" s="18">
        <f>B34</f>
        <v>1943.26</v>
      </c>
      <c r="C35" s="19"/>
      <c r="D35" s="19"/>
      <c r="E35" s="24"/>
      <c r="F35" s="19"/>
      <c r="G35" s="19"/>
      <c r="H35" s="19"/>
      <c r="I35" s="19"/>
      <c r="J35" s="20"/>
    </row>
    <row r="36" spans="8:8" s="1" ht="18.0" customFormat="1" customHeight="1">
      <c r="A36" s="1" t="s">
        <v>39</v>
      </c>
      <c r="E36" s="21"/>
    </row>
  </sheetData>
  <mergeCells count="4">
    <mergeCell ref="A1:J1"/>
    <mergeCell ref="B34:J34"/>
    <mergeCell ref="B35:J35"/>
    <mergeCell ref="A36:J36"/>
  </mergeCells>
  <conditionalFormatting sqref="B1:B33 B36:B1048576">
    <cfRule type="duplicateValues" priority="1" dxfId="21"/>
  </conditionalFormatting>
  <conditionalFormatting sqref="B6:B33">
    <cfRule type="duplicateValues" priority="2" dxfId="22"/>
  </conditionalFormatting>
  <conditionalFormatting sqref="B6:C16">
    <cfRule type="duplicateValues" priority="3" dxfId="23"/>
  </conditionalFormatting>
  <pageMargins left="0.751388888888889" right="0.751388888888889" top="0.409027777777778" bottom="0.2125" header="0.5" footer="0.5"/>
  <pageSetup paperSize="9" scale="96"/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35"/>
  <sheetViews>
    <sheetView workbookViewId="0" topLeftCell="A17">
      <selection activeCell="I17" sqref="I1:I1048576"/>
    </sheetView>
  </sheetViews>
  <sheetFormatPr defaultRowHeight="18.0" customHeight="1" defaultColWidth="11"/>
  <cols>
    <col min="1" max="1" customWidth="1" width="9.125" style="1"/>
    <col min="2" max="2" customWidth="1" width="19.25" style="1"/>
    <col min="3" max="3" customWidth="1" width="11.375" style="1"/>
    <col min="4" max="4" customWidth="1" width="5.9414062" style="1"/>
    <col min="5" max="5" customWidth="1" width="5.25" style="21"/>
    <col min="6" max="6" customWidth="1" width="8.0" style="1"/>
    <col min="7" max="7" customWidth="1" width="6.625" style="1"/>
    <col min="8" max="8" customWidth="1" width="7.875" style="1"/>
    <col min="9" max="9" customWidth="1" width="8.625" style="1"/>
    <col min="10" max="10" customWidth="1" width="7.375" style="1"/>
    <col min="11" max="16321" customWidth="1" width="11.6640625" style="1"/>
    <col min="16322" max="16322" customWidth="0" width="11.6640625" style="1"/>
    <col min="16323" max="16328" customWidth="0" width="11.0" style="1"/>
    <col min="16329" max="16384" customWidth="0" width="11.0" style="2"/>
  </cols>
  <sheetData>
    <row r="1" spans="8:8" s="1" ht="24.0" customFormat="1" customHeight="1">
      <c r="A1" s="3" t="s">
        <v>0</v>
      </c>
      <c r="B1" s="3"/>
      <c r="C1" s="3"/>
      <c r="D1" s="3"/>
      <c r="E1" s="22"/>
      <c r="F1" s="3"/>
      <c r="G1" s="3"/>
      <c r="H1" s="3"/>
      <c r="I1" s="3"/>
      <c r="J1" s="3"/>
    </row>
    <row r="2" spans="8:8" s="1" ht="8.0" customFormat="1" customHeight="1">
      <c r="A2" s="3"/>
      <c r="B2" s="3"/>
      <c r="C2" s="3"/>
      <c r="D2" s="3"/>
      <c r="E2" s="22"/>
      <c r="F2" s="3"/>
      <c r="G2" s="3"/>
      <c r="H2" s="3"/>
      <c r="I2" s="3"/>
      <c r="J2" s="3"/>
    </row>
    <row r="3" spans="8:8" s="1" ht="18.0" customFormat="1" customHeight="1">
      <c r="A3" s="1" t="s">
        <v>1</v>
      </c>
      <c r="B3" s="1" t="s">
        <v>2</v>
      </c>
      <c r="E3" s="21"/>
    </row>
    <row r="4" spans="8:8" s="1" ht="18.0" customFormat="1" customHeight="1">
      <c r="A4" s="1" t="s">
        <v>3</v>
      </c>
      <c r="B4" s="4">
        <v>45246.0</v>
      </c>
      <c r="C4" s="4"/>
      <c r="D4" s="5"/>
      <c r="E4" s="23"/>
      <c r="F4" s="5"/>
      <c r="G4" s="5"/>
      <c r="H4" s="4"/>
      <c r="I4" s="4"/>
      <c r="J4" s="4"/>
    </row>
    <row r="5" spans="8:8" s="1" ht="18.0" customFormat="1" customHeight="1">
      <c r="A5" s="6" t="s">
        <v>4</v>
      </c>
      <c r="B5" s="6" t="s">
        <v>5</v>
      </c>
      <c r="C5" s="6" t="s">
        <v>6</v>
      </c>
      <c r="D5" s="6" t="s">
        <v>7</v>
      </c>
      <c r="E5" s="7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</row>
    <row r="6" spans="8:8" s="1" ht="16.0" customFormat="1" customHeight="1">
      <c r="A6" s="6">
        <v>1.0</v>
      </c>
      <c r="B6" s="6" t="s">
        <v>14</v>
      </c>
      <c r="C6" s="6"/>
      <c r="D6" s="7" t="s">
        <v>15</v>
      </c>
      <c r="E6" s="7">
        <v>7.0</v>
      </c>
      <c r="F6" s="8">
        <f t="shared" si="0" ref="F6:F12">H6/0.85</f>
        <v>3.5294117647058822</v>
      </c>
      <c r="G6" s="9">
        <f t="shared" si="1" ref="G6:G12">H6/F6</f>
        <v>0.85</v>
      </c>
      <c r="H6" s="10">
        <v>3.0</v>
      </c>
      <c r="I6" s="10">
        <f t="shared" si="2" ref="I6:I12">E6*H6</f>
        <v>21.0</v>
      </c>
      <c r="J6" s="6"/>
    </row>
    <row r="7" spans="8:8" s="1" ht="16.0" customFormat="1" customHeight="1">
      <c r="A7" s="6">
        <v>2.0</v>
      </c>
      <c r="B7" s="6" t="s">
        <v>16</v>
      </c>
      <c r="C7" s="6"/>
      <c r="D7" s="7" t="s">
        <v>15</v>
      </c>
      <c r="E7" s="7">
        <v>4.0</v>
      </c>
      <c r="F7" s="8">
        <f t="shared" si="0"/>
        <v>4.11764705882353</v>
      </c>
      <c r="G7" s="9">
        <f t="shared" si="1"/>
        <v>0.8499999999999999</v>
      </c>
      <c r="H7" s="10">
        <v>3.5</v>
      </c>
      <c r="I7" s="10">
        <f t="shared" si="2"/>
        <v>14.0</v>
      </c>
      <c r="J7" s="6"/>
    </row>
    <row r="8" spans="8:8" s="1" ht="16.0" customFormat="1" customHeight="1">
      <c r="A8" s="6">
        <v>3.0</v>
      </c>
      <c r="B8" s="6" t="s">
        <v>17</v>
      </c>
      <c r="C8" s="6"/>
      <c r="D8" s="7" t="s">
        <v>15</v>
      </c>
      <c r="E8" s="7">
        <v>7.0</v>
      </c>
      <c r="F8" s="8">
        <f t="shared" si="0"/>
        <v>4.11764705882353</v>
      </c>
      <c r="G8" s="9">
        <f t="shared" si="1"/>
        <v>0.8499999999999999</v>
      </c>
      <c r="H8" s="10">
        <v>3.5</v>
      </c>
      <c r="I8" s="10">
        <f t="shared" si="2"/>
        <v>24.5</v>
      </c>
      <c r="J8" s="6"/>
    </row>
    <row r="9" spans="8:8" s="1" ht="16.0" customFormat="1" customHeight="1">
      <c r="A9" s="6">
        <v>4.0</v>
      </c>
      <c r="B9" s="6" t="s">
        <v>40</v>
      </c>
      <c r="C9" s="6"/>
      <c r="D9" s="7" t="s">
        <v>15</v>
      </c>
      <c r="E9" s="7">
        <v>5.0</v>
      </c>
      <c r="F9" s="8">
        <f t="shared" si="0"/>
        <v>15.058823529411766</v>
      </c>
      <c r="G9" s="9">
        <f t="shared" si="1"/>
        <v>0.85</v>
      </c>
      <c r="H9" s="10">
        <v>12.8</v>
      </c>
      <c r="I9" s="10">
        <f t="shared" si="2"/>
        <v>64.0</v>
      </c>
      <c r="J9" s="6"/>
    </row>
    <row r="10" spans="8:8" s="1" ht="16.0" customFormat="1" customHeight="1">
      <c r="A10" s="6">
        <v>5.0</v>
      </c>
      <c r="B10" s="6" t="s">
        <v>146</v>
      </c>
      <c r="C10" s="6"/>
      <c r="D10" s="7" t="s">
        <v>15</v>
      </c>
      <c r="E10" s="7">
        <v>7.0</v>
      </c>
      <c r="F10" s="8">
        <f t="shared" si="0"/>
        <v>6.823529411764706</v>
      </c>
      <c r="G10" s="9">
        <f t="shared" si="1"/>
        <v>0.85</v>
      </c>
      <c r="H10" s="10">
        <v>5.8</v>
      </c>
      <c r="I10" s="10">
        <f t="shared" si="2"/>
        <v>40.6</v>
      </c>
      <c r="J10" s="6"/>
    </row>
    <row r="11" spans="8:8" s="1" ht="16.0" customFormat="1" customHeight="1">
      <c r="A11" s="6">
        <v>6.0</v>
      </c>
      <c r="B11" s="11" t="s">
        <v>63</v>
      </c>
      <c r="C11" s="11"/>
      <c r="D11" s="12" t="s">
        <v>15</v>
      </c>
      <c r="E11" s="12">
        <v>3.0</v>
      </c>
      <c r="F11" s="8">
        <f t="shared" si="0"/>
        <v>8.823529411764707</v>
      </c>
      <c r="G11" s="9">
        <f t="shared" si="1"/>
        <v>0.85</v>
      </c>
      <c r="H11" s="14">
        <v>7.5</v>
      </c>
      <c r="I11" s="10">
        <f t="shared" si="2"/>
        <v>22.5</v>
      </c>
      <c r="J11" s="11"/>
    </row>
    <row r="12" spans="8:8" s="1" ht="16.0" customFormat="1" customHeight="1">
      <c r="A12" s="6">
        <v>7.0</v>
      </c>
      <c r="B12" s="11" t="s">
        <v>22</v>
      </c>
      <c r="C12" s="11"/>
      <c r="D12" s="12" t="s">
        <v>23</v>
      </c>
      <c r="E12" s="12">
        <v>15.0</v>
      </c>
      <c r="F12" s="8">
        <f t="shared" si="0"/>
        <v>3.5294117647058822</v>
      </c>
      <c r="G12" s="9">
        <f t="shared" si="1"/>
        <v>0.85</v>
      </c>
      <c r="H12" s="14">
        <v>3.0</v>
      </c>
      <c r="I12" s="10">
        <f t="shared" si="2"/>
        <v>45.0</v>
      </c>
      <c r="J12" s="11"/>
    </row>
    <row r="13" spans="8:8" s="1" ht="16.0" customFormat="1" customHeight="1">
      <c r="A13" s="6">
        <v>8.0</v>
      </c>
      <c r="B13" s="11" t="s">
        <v>64</v>
      </c>
      <c r="C13" s="11"/>
      <c r="D13" s="12" t="s">
        <v>15</v>
      </c>
      <c r="E13" s="12">
        <v>3.0</v>
      </c>
      <c r="F13" s="8">
        <f t="shared" si="3" ref="F13:F25">H13/0.85</f>
        <v>4.705882352941177</v>
      </c>
      <c r="G13" s="9">
        <f t="shared" si="4" ref="G13:G25">H13/F13</f>
        <v>0.85</v>
      </c>
      <c r="H13" s="14">
        <v>4.0</v>
      </c>
      <c r="I13" s="10">
        <f t="shared" si="5" ref="I13:I25">E13*H13</f>
        <v>12.0</v>
      </c>
      <c r="J13" s="11"/>
    </row>
    <row r="14" spans="8:8" s="1" ht="16.0" customFormat="1" customHeight="1">
      <c r="A14" s="6">
        <v>9.0</v>
      </c>
      <c r="B14" s="11" t="s">
        <v>74</v>
      </c>
      <c r="C14" s="11"/>
      <c r="D14" s="12" t="s">
        <v>15</v>
      </c>
      <c r="E14" s="12">
        <v>5.0</v>
      </c>
      <c r="F14" s="8">
        <f t="shared" si="3"/>
        <v>4.470588235294118</v>
      </c>
      <c r="G14" s="9">
        <f t="shared" si="4"/>
        <v>0.85</v>
      </c>
      <c r="H14" s="14">
        <v>3.8</v>
      </c>
      <c r="I14" s="10">
        <f t="shared" si="5"/>
        <v>19.0</v>
      </c>
      <c r="J14" s="11"/>
    </row>
    <row r="15" spans="8:8" s="1" ht="16.0" customFormat="1" customHeight="1">
      <c r="A15" s="6">
        <v>10.0</v>
      </c>
      <c r="B15" s="11" t="s">
        <v>44</v>
      </c>
      <c r="C15" s="11"/>
      <c r="D15" s="12" t="s">
        <v>15</v>
      </c>
      <c r="E15" s="12">
        <v>13.0</v>
      </c>
      <c r="F15" s="8">
        <f t="shared" si="3"/>
        <v>5.294117647058823</v>
      </c>
      <c r="G15" s="9">
        <f t="shared" si="4"/>
        <v>0.85</v>
      </c>
      <c r="H15" s="14">
        <v>4.5</v>
      </c>
      <c r="I15" s="10">
        <f t="shared" si="5"/>
        <v>58.5</v>
      </c>
      <c r="J15" s="11"/>
    </row>
    <row r="16" spans="8:8" s="1" ht="16.0" customFormat="1" customHeight="1">
      <c r="A16" s="6">
        <v>11.0</v>
      </c>
      <c r="B16" s="6" t="s">
        <v>135</v>
      </c>
      <c r="C16" s="6"/>
      <c r="D16" s="7" t="s">
        <v>15</v>
      </c>
      <c r="E16" s="7">
        <v>7.0</v>
      </c>
      <c r="F16" s="8">
        <f t="shared" si="3"/>
        <v>4.470588235294118</v>
      </c>
      <c r="G16" s="9">
        <f t="shared" si="4"/>
        <v>0.85</v>
      </c>
      <c r="H16" s="14">
        <v>3.8</v>
      </c>
      <c r="I16" s="10">
        <f t="shared" si="5"/>
        <v>26.599999999999998</v>
      </c>
      <c r="J16" s="6"/>
    </row>
    <row r="17" spans="8:8" s="1" ht="16.0" customFormat="1" customHeight="1">
      <c r="A17" s="6">
        <v>12.0</v>
      </c>
      <c r="B17" s="11" t="s">
        <v>25</v>
      </c>
      <c r="C17" s="11"/>
      <c r="D17" s="11" t="s">
        <v>15</v>
      </c>
      <c r="E17" s="12">
        <v>2.0</v>
      </c>
      <c r="F17" s="8">
        <f t="shared" si="3"/>
        <v>9.176470588235293</v>
      </c>
      <c r="G17" s="9">
        <f t="shared" si="4"/>
        <v>0.8500000000000001</v>
      </c>
      <c r="H17" s="14">
        <v>7.8</v>
      </c>
      <c r="I17" s="10">
        <f t="shared" si="5"/>
        <v>15.6</v>
      </c>
      <c r="J17" s="11"/>
    </row>
    <row r="18" spans="8:8" s="1" ht="16.0" customFormat="1" customHeight="1">
      <c r="A18" s="6">
        <v>13.0</v>
      </c>
      <c r="B18" s="6" t="s">
        <v>45</v>
      </c>
      <c r="C18" s="6"/>
      <c r="D18" s="11" t="s">
        <v>15</v>
      </c>
      <c r="E18" s="7">
        <v>15.0</v>
      </c>
      <c r="F18" s="8">
        <f t="shared" si="3"/>
        <v>5.294117647058823</v>
      </c>
      <c r="G18" s="9">
        <f t="shared" si="4"/>
        <v>0.85</v>
      </c>
      <c r="H18" s="14">
        <v>4.5</v>
      </c>
      <c r="I18" s="10">
        <f t="shared" si="5"/>
        <v>67.5</v>
      </c>
      <c r="J18" s="6"/>
    </row>
    <row r="19" spans="8:8" s="1" ht="16.0" customFormat="1" customHeight="1">
      <c r="A19" s="6">
        <v>14.0</v>
      </c>
      <c r="B19" s="6" t="s">
        <v>28</v>
      </c>
      <c r="C19" s="6"/>
      <c r="D19" s="6" t="s">
        <v>15</v>
      </c>
      <c r="E19" s="7">
        <v>10.0</v>
      </c>
      <c r="F19" s="8">
        <f t="shared" si="3"/>
        <v>16.23529411764706</v>
      </c>
      <c r="G19" s="9">
        <f t="shared" si="4"/>
        <v>0.8499999999999999</v>
      </c>
      <c r="H19" s="14">
        <v>13.8</v>
      </c>
      <c r="I19" s="10">
        <f t="shared" si="5"/>
        <v>138.0</v>
      </c>
      <c r="J19" s="6"/>
    </row>
    <row r="20" spans="8:8" s="1" ht="16.0" customFormat="1" customHeight="1">
      <c r="A20" s="6">
        <v>15.0</v>
      </c>
      <c r="B20" s="6" t="s">
        <v>29</v>
      </c>
      <c r="C20" s="6"/>
      <c r="D20" s="6" t="s">
        <v>15</v>
      </c>
      <c r="E20" s="7">
        <v>18.0</v>
      </c>
      <c r="F20" s="8">
        <f t="shared" si="3"/>
        <v>32.94117647058824</v>
      </c>
      <c r="G20" s="9">
        <f t="shared" si="4"/>
        <v>0.8499999999999999</v>
      </c>
      <c r="H20" s="14">
        <v>28.0</v>
      </c>
      <c r="I20" s="10">
        <f t="shared" si="5"/>
        <v>504.0</v>
      </c>
      <c r="J20" s="6"/>
    </row>
    <row r="21" spans="8:8" s="1" ht="18.0" customFormat="1" customHeight="1">
      <c r="A21" s="6">
        <v>16.0</v>
      </c>
      <c r="B21" s="6" t="s">
        <v>113</v>
      </c>
      <c r="C21" s="6"/>
      <c r="D21" s="7" t="s">
        <v>15</v>
      </c>
      <c r="E21" s="7">
        <v>3.0</v>
      </c>
      <c r="F21" s="8">
        <f t="shared" si="3"/>
        <v>103.52941176470588</v>
      </c>
      <c r="G21" s="9">
        <f t="shared" si="4"/>
        <v>0.85</v>
      </c>
      <c r="H21" s="10">
        <v>88.0</v>
      </c>
      <c r="I21" s="10">
        <f t="shared" si="5"/>
        <v>264.0</v>
      </c>
      <c r="J21" s="8"/>
    </row>
    <row r="22" spans="8:8" s="1" ht="18.0" customFormat="1" customHeight="1">
      <c r="A22" s="6">
        <v>17.0</v>
      </c>
      <c r="B22" s="8" t="s">
        <v>147</v>
      </c>
      <c r="C22" s="8" t="s">
        <v>148</v>
      </c>
      <c r="D22" s="8" t="s">
        <v>149</v>
      </c>
      <c r="E22" s="7">
        <v>1.0</v>
      </c>
      <c r="F22" s="8">
        <f t="shared" si="3"/>
        <v>48.82352941176471</v>
      </c>
      <c r="G22" s="9">
        <f t="shared" si="4"/>
        <v>0.85</v>
      </c>
      <c r="H22" s="14">
        <v>41.5</v>
      </c>
      <c r="I22" s="10">
        <f t="shared" si="5"/>
        <v>41.5</v>
      </c>
      <c r="J22" s="8"/>
    </row>
    <row r="23" spans="8:8" s="1" ht="18.0" customFormat="1" customHeight="1">
      <c r="A23" s="6">
        <v>18.0</v>
      </c>
      <c r="B23" s="8" t="s">
        <v>56</v>
      </c>
      <c r="C23" s="8" t="s">
        <v>57</v>
      </c>
      <c r="D23" s="8" t="s">
        <v>53</v>
      </c>
      <c r="E23" s="7">
        <v>2.0</v>
      </c>
      <c r="F23" s="8">
        <f t="shared" si="3"/>
        <v>205.88235294117646</v>
      </c>
      <c r="G23" s="9">
        <f t="shared" si="4"/>
        <v>0.85</v>
      </c>
      <c r="H23" s="14">
        <v>175.0</v>
      </c>
      <c r="I23" s="10">
        <f t="shared" si="5"/>
        <v>350.0</v>
      </c>
      <c r="J23" s="8"/>
    </row>
    <row r="24" spans="8:8" s="1" ht="18.0" customFormat="1" customHeight="1">
      <c r="A24" s="6">
        <v>19.0</v>
      </c>
      <c r="B24" s="8" t="s">
        <v>33</v>
      </c>
      <c r="C24" s="8" t="s">
        <v>34</v>
      </c>
      <c r="D24" s="8" t="s">
        <v>15</v>
      </c>
      <c r="E24" s="7">
        <v>4.0</v>
      </c>
      <c r="F24" s="8">
        <f t="shared" si="3"/>
        <v>5.764705882352942</v>
      </c>
      <c r="G24" s="9">
        <f t="shared" si="4"/>
        <v>0.85</v>
      </c>
      <c r="H24" s="14">
        <v>4.9</v>
      </c>
      <c r="I24" s="10">
        <f t="shared" si="5"/>
        <v>19.6</v>
      </c>
      <c r="J24" s="8"/>
    </row>
    <row r="25" spans="8:8" s="1" ht="18.0" customFormat="1" customHeight="1">
      <c r="A25" s="6">
        <v>20.0</v>
      </c>
      <c r="B25" s="8" t="s">
        <v>35</v>
      </c>
      <c r="C25" s="8"/>
      <c r="D25" s="8" t="s">
        <v>36</v>
      </c>
      <c r="E25" s="7">
        <v>55.0</v>
      </c>
      <c r="F25" s="8">
        <f t="shared" si="3"/>
        <v>4.11764705882353</v>
      </c>
      <c r="G25" s="9">
        <f t="shared" si="4"/>
        <v>0.8499999999999999</v>
      </c>
      <c r="H25" s="14">
        <v>3.5</v>
      </c>
      <c r="I25" s="10">
        <f t="shared" si="5"/>
        <v>192.5</v>
      </c>
      <c r="J25" s="8"/>
    </row>
    <row r="26" spans="8:8" s="1" ht="18.0" customFormat="1" customHeight="1">
      <c r="A26" s="6">
        <v>21.0</v>
      </c>
      <c r="B26" s="8"/>
      <c r="C26" s="8"/>
      <c r="D26" s="8"/>
      <c r="E26" s="7"/>
      <c r="F26" s="8"/>
      <c r="G26" s="9"/>
      <c r="H26" s="14"/>
      <c r="I26" s="10"/>
      <c r="J26" s="8"/>
    </row>
    <row r="27" spans="8:8" s="1" ht="18.0" customFormat="1" customHeight="1">
      <c r="A27" s="6">
        <v>22.0</v>
      </c>
      <c r="B27" s="8"/>
      <c r="C27" s="8"/>
      <c r="D27" s="8"/>
      <c r="E27" s="7"/>
      <c r="F27" s="8"/>
      <c r="G27" s="9"/>
      <c r="H27" s="14"/>
      <c r="I27" s="10"/>
      <c r="J27" s="8"/>
    </row>
    <row r="28" spans="8:8" s="1" ht="18.0" customFormat="1" customHeight="1">
      <c r="A28" s="6">
        <v>23.0</v>
      </c>
      <c r="B28" s="8"/>
      <c r="C28" s="8"/>
      <c r="D28" s="8"/>
      <c r="E28" s="7"/>
      <c r="F28" s="8"/>
      <c r="G28" s="9"/>
      <c r="H28" s="14"/>
      <c r="I28" s="10"/>
      <c r="J28" s="8"/>
    </row>
    <row r="29" spans="8:8" s="1" ht="18.0" customFormat="1" customHeight="1">
      <c r="A29" s="6">
        <v>24.0</v>
      </c>
      <c r="B29" s="8"/>
      <c r="C29" s="8"/>
      <c r="D29" s="8"/>
      <c r="E29" s="7"/>
      <c r="F29" s="8"/>
      <c r="G29" s="9"/>
      <c r="H29" s="14"/>
      <c r="I29" s="10"/>
      <c r="J29" s="8"/>
    </row>
    <row r="30" spans="8:8" s="1" ht="18.0" customFormat="1" customHeight="1">
      <c r="A30" s="6">
        <v>25.0</v>
      </c>
      <c r="B30" s="8"/>
      <c r="C30" s="8"/>
      <c r="D30" s="8"/>
      <c r="E30" s="7"/>
      <c r="F30" s="8"/>
      <c r="G30" s="9"/>
      <c r="H30" s="14"/>
      <c r="I30" s="10"/>
      <c r="J30" s="8"/>
    </row>
    <row r="31" spans="8:8" s="1" ht="18.0" customFormat="1" customHeight="1">
      <c r="A31" s="6">
        <v>26.0</v>
      </c>
      <c r="B31" s="8"/>
      <c r="C31" s="8"/>
      <c r="D31" s="8"/>
      <c r="E31" s="7"/>
      <c r="F31" s="8"/>
      <c r="G31" s="9"/>
      <c r="H31" s="14"/>
      <c r="I31" s="10"/>
      <c r="J31" s="8"/>
    </row>
    <row r="32" spans="8:8" s="1" ht="18.0" customFormat="1" customHeight="1">
      <c r="A32" s="6">
        <v>27.0</v>
      </c>
      <c r="B32" s="8"/>
      <c r="C32" s="8"/>
      <c r="D32" s="8"/>
      <c r="E32" s="7"/>
      <c r="F32" s="8"/>
      <c r="G32" s="9"/>
      <c r="H32" s="14"/>
      <c r="I32" s="10"/>
      <c r="J32" s="8"/>
    </row>
    <row r="33" spans="8:8" s="1" ht="18.0" customFormat="1" customHeight="1">
      <c r="A33" s="6" t="s">
        <v>37</v>
      </c>
      <c r="B33" s="15">
        <f>SUM(I6:I32)</f>
        <v>1940.4</v>
      </c>
      <c r="C33" s="16"/>
      <c r="D33" s="16"/>
      <c r="E33" s="24"/>
      <c r="F33" s="16"/>
      <c r="G33" s="16"/>
      <c r="H33" s="16"/>
      <c r="I33" s="16"/>
      <c r="J33" s="17"/>
    </row>
    <row r="34" spans="8:8" s="1" ht="18.0" customFormat="1" customHeight="1">
      <c r="A34" s="6" t="s">
        <v>38</v>
      </c>
      <c r="B34" s="18">
        <f>B33</f>
        <v>1940.4</v>
      </c>
      <c r="C34" s="19"/>
      <c r="D34" s="19"/>
      <c r="E34" s="24"/>
      <c r="F34" s="19"/>
      <c r="G34" s="19"/>
      <c r="H34" s="19"/>
      <c r="I34" s="19"/>
      <c r="J34" s="20"/>
    </row>
    <row r="35" spans="8:8" s="1" ht="18.0" customFormat="1" customHeight="1">
      <c r="A35" s="1" t="s">
        <v>39</v>
      </c>
      <c r="E35" s="21"/>
    </row>
  </sheetData>
  <mergeCells count="4">
    <mergeCell ref="A1:J1"/>
    <mergeCell ref="B33:J33"/>
    <mergeCell ref="B34:J34"/>
    <mergeCell ref="A35:J35"/>
  </mergeCells>
  <conditionalFormatting sqref="B6:B20 B22:B32">
    <cfRule type="duplicateValues" priority="4" dxfId="24"/>
  </conditionalFormatting>
  <conditionalFormatting sqref="B21">
    <cfRule type="duplicateValues" priority="2" dxfId="25"/>
    <cfRule type="duplicateValues" priority="1" dxfId="26"/>
  </conditionalFormatting>
  <conditionalFormatting sqref="B6:C16">
    <cfRule type="duplicateValues" priority="5" dxfId="27"/>
  </conditionalFormatting>
  <conditionalFormatting sqref="B1:B20 B35:B1048576 B22:B32">
    <cfRule type="duplicateValues" priority="3" dxfId="28"/>
  </conditionalFormatting>
  <pageMargins left="0.751388888888889" right="0.751388888888889" top="0.409027777777778" bottom="0.2125" header="0.5" footer="0.5"/>
  <pageSetup paperSize="9" scale="96"/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36"/>
  <sheetViews>
    <sheetView workbookViewId="0" topLeftCell="A16">
      <selection activeCell="I16" sqref="I1:I1048576"/>
    </sheetView>
  </sheetViews>
  <sheetFormatPr defaultRowHeight="18.0" customHeight="1" defaultColWidth="11"/>
  <cols>
    <col min="1" max="1" customWidth="1" width="9.125" style="1"/>
    <col min="2" max="2" customWidth="1" width="19.25" style="1"/>
    <col min="3" max="3" customWidth="1" width="11.375" style="1"/>
    <col min="4" max="4" customWidth="1" width="5.9414062" style="1"/>
    <col min="5" max="5" customWidth="1" width="5.25" style="21"/>
    <col min="6" max="6" customWidth="1" width="8.0" style="1"/>
    <col min="7" max="7" customWidth="1" width="6.625" style="1"/>
    <col min="8" max="8" customWidth="1" width="7.875" style="1"/>
    <col min="9" max="9" customWidth="1" width="8.625" style="1"/>
    <col min="10" max="10" customWidth="1" width="7.375" style="1"/>
    <col min="11" max="16306" customWidth="1" width="11.6640625" style="1"/>
    <col min="16307" max="16307" customWidth="0" width="11.6640625" style="1"/>
    <col min="16308" max="16313" customWidth="0" width="11.0" style="1"/>
    <col min="16314" max="16384" customWidth="0" width="11.0" style="2"/>
  </cols>
  <sheetData>
    <row r="1" spans="8:8" s="1" ht="24.0" customFormat="1" customHeight="1">
      <c r="A1" s="3" t="s">
        <v>0</v>
      </c>
      <c r="B1" s="3"/>
      <c r="C1" s="3"/>
      <c r="D1" s="3"/>
      <c r="E1" s="22"/>
      <c r="F1" s="3"/>
      <c r="G1" s="3"/>
      <c r="H1" s="3"/>
      <c r="I1" s="3"/>
      <c r="J1" s="3"/>
    </row>
    <row r="2" spans="8:8" s="1" ht="8.0" customFormat="1" customHeight="1">
      <c r="A2" s="3"/>
      <c r="B2" s="3"/>
      <c r="C2" s="3"/>
      <c r="D2" s="3"/>
      <c r="E2" s="22"/>
      <c r="F2" s="3"/>
      <c r="G2" s="3"/>
      <c r="H2" s="3"/>
      <c r="I2" s="3"/>
      <c r="J2" s="3"/>
    </row>
    <row r="3" spans="8:8" s="1" ht="18.0" customFormat="1" customHeight="1">
      <c r="A3" s="1" t="s">
        <v>1</v>
      </c>
      <c r="B3" s="1" t="s">
        <v>2</v>
      </c>
      <c r="E3" s="21"/>
    </row>
    <row r="4" spans="8:8" s="1" ht="18.0" customFormat="1" customHeight="1">
      <c r="A4" s="1" t="s">
        <v>3</v>
      </c>
      <c r="B4" s="4">
        <v>45247.0</v>
      </c>
      <c r="C4" s="4"/>
      <c r="D4" s="5"/>
      <c r="E4" s="23"/>
      <c r="F4" s="5"/>
      <c r="G4" s="5"/>
      <c r="H4" s="4"/>
      <c r="I4" s="4"/>
      <c r="J4" s="4"/>
    </row>
    <row r="5" spans="8:8" s="1" ht="18.0" customFormat="1" customHeight="1">
      <c r="A5" s="6" t="s">
        <v>4</v>
      </c>
      <c r="B5" s="6" t="s">
        <v>5</v>
      </c>
      <c r="C5" s="6" t="s">
        <v>6</v>
      </c>
      <c r="D5" s="6" t="s">
        <v>7</v>
      </c>
      <c r="E5" s="7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</row>
    <row r="6" spans="8:8" s="1" ht="16.0" customFormat="1" customHeight="1">
      <c r="A6" s="6">
        <v>1.0</v>
      </c>
      <c r="B6" s="6" t="s">
        <v>14</v>
      </c>
      <c r="C6" s="6"/>
      <c r="D6" s="7" t="s">
        <v>15</v>
      </c>
      <c r="E6" s="7">
        <v>2.0</v>
      </c>
      <c r="F6" s="8">
        <f t="shared" si="0" ref="F6:F20">H6/0.85</f>
        <v>3.5294117647058822</v>
      </c>
      <c r="G6" s="9">
        <f t="shared" si="1" ref="G6:G20">H6/F6</f>
        <v>0.85</v>
      </c>
      <c r="H6" s="10">
        <v>3.0</v>
      </c>
      <c r="I6" s="10">
        <f t="shared" si="2" ref="I6:I20">E6*H6</f>
        <v>6.0</v>
      </c>
      <c r="J6" s="6"/>
    </row>
    <row r="7" spans="8:8" s="1" ht="16.0" customFormat="1" customHeight="1">
      <c r="A7" s="6">
        <v>2.0</v>
      </c>
      <c r="B7" s="6" t="s">
        <v>60</v>
      </c>
      <c r="C7" s="6"/>
      <c r="D7" s="7" t="s">
        <v>15</v>
      </c>
      <c r="E7" s="7">
        <v>1.0</v>
      </c>
      <c r="F7" s="8">
        <f t="shared" si="0"/>
        <v>4.11764705882353</v>
      </c>
      <c r="G7" s="9">
        <f t="shared" si="1"/>
        <v>0.8499999999999999</v>
      </c>
      <c r="H7" s="10">
        <v>3.5</v>
      </c>
      <c r="I7" s="10">
        <f t="shared" si="2"/>
        <v>3.5</v>
      </c>
      <c r="J7" s="6"/>
    </row>
    <row r="8" spans="8:8" s="1" ht="16.0" customFormat="1" customHeight="1">
      <c r="A8" s="6">
        <v>3.0</v>
      </c>
      <c r="B8" s="6" t="s">
        <v>17</v>
      </c>
      <c r="C8" s="6"/>
      <c r="D8" s="7" t="s">
        <v>15</v>
      </c>
      <c r="E8" s="7">
        <v>3.0</v>
      </c>
      <c r="F8" s="8">
        <f t="shared" si="0"/>
        <v>4.11764705882353</v>
      </c>
      <c r="G8" s="9">
        <f t="shared" si="1"/>
        <v>0.8499999999999999</v>
      </c>
      <c r="H8" s="10">
        <v>3.5</v>
      </c>
      <c r="I8" s="10">
        <f t="shared" si="2"/>
        <v>10.5</v>
      </c>
      <c r="J8" s="6"/>
    </row>
    <row r="9" spans="8:8" s="1" ht="16.0" customFormat="1" customHeight="1">
      <c r="A9" s="6">
        <v>4.0</v>
      </c>
      <c r="B9" s="11" t="s">
        <v>102</v>
      </c>
      <c r="C9" s="11"/>
      <c r="D9" s="7" t="s">
        <v>15</v>
      </c>
      <c r="E9" s="7">
        <v>6.0</v>
      </c>
      <c r="F9" s="8">
        <f t="shared" si="0"/>
        <v>4.470588235294118</v>
      </c>
      <c r="G9" s="9">
        <f t="shared" si="1"/>
        <v>0.85</v>
      </c>
      <c r="H9" s="10">
        <v>3.8</v>
      </c>
      <c r="I9" s="10">
        <f t="shared" si="2"/>
        <v>22.799999999999997</v>
      </c>
      <c r="J9" s="6"/>
    </row>
    <row r="10" spans="8:8" s="1" ht="16.0" customFormat="1" customHeight="1">
      <c r="A10" s="6">
        <v>5.0</v>
      </c>
      <c r="B10" s="6" t="s">
        <v>20</v>
      </c>
      <c r="C10" s="6"/>
      <c r="D10" s="7" t="s">
        <v>15</v>
      </c>
      <c r="E10" s="7">
        <v>15.0</v>
      </c>
      <c r="F10" s="8">
        <f t="shared" si="0"/>
        <v>4.11764705882353</v>
      </c>
      <c r="G10" s="9">
        <f t="shared" si="1"/>
        <v>0.8499999999999999</v>
      </c>
      <c r="H10" s="10">
        <v>3.5</v>
      </c>
      <c r="I10" s="10">
        <f t="shared" si="2"/>
        <v>52.5</v>
      </c>
      <c r="J10" s="6"/>
    </row>
    <row r="11" spans="8:8" s="1" ht="16.0" customFormat="1" customHeight="1">
      <c r="A11" s="6">
        <v>6.0</v>
      </c>
      <c r="B11" s="6" t="s">
        <v>63</v>
      </c>
      <c r="C11" s="6"/>
      <c r="D11" s="7" t="s">
        <v>15</v>
      </c>
      <c r="E11" s="7">
        <v>2.0</v>
      </c>
      <c r="F11" s="8">
        <f t="shared" si="0"/>
        <v>8.823529411764707</v>
      </c>
      <c r="G11" s="9">
        <f t="shared" si="1"/>
        <v>0.85</v>
      </c>
      <c r="H11" s="10">
        <v>7.5</v>
      </c>
      <c r="I11" s="10">
        <f t="shared" si="2"/>
        <v>15.0</v>
      </c>
      <c r="J11" s="6"/>
    </row>
    <row r="12" spans="8:8" s="1" ht="16.0" customFormat="1" customHeight="1">
      <c r="A12" s="6">
        <v>7.0</v>
      </c>
      <c r="B12" s="11" t="s">
        <v>64</v>
      </c>
      <c r="C12" s="11"/>
      <c r="D12" s="12" t="s">
        <v>15</v>
      </c>
      <c r="E12" s="12">
        <v>4.0</v>
      </c>
      <c r="F12" s="8">
        <f t="shared" si="0"/>
        <v>4.705882352941177</v>
      </c>
      <c r="G12" s="9">
        <f t="shared" si="1"/>
        <v>0.85</v>
      </c>
      <c r="H12" s="14">
        <v>4.0</v>
      </c>
      <c r="I12" s="10">
        <f t="shared" si="2"/>
        <v>16.0</v>
      </c>
      <c r="J12" s="11"/>
    </row>
    <row r="13" spans="8:8" s="1" ht="16.0" customFormat="1" customHeight="1">
      <c r="A13" s="6">
        <v>8.0</v>
      </c>
      <c r="B13" s="11" t="s">
        <v>103</v>
      </c>
      <c r="C13" s="11"/>
      <c r="D13" s="12" t="s">
        <v>15</v>
      </c>
      <c r="E13" s="12">
        <v>5.0</v>
      </c>
      <c r="F13" s="8">
        <f t="shared" si="0"/>
        <v>4.470588235294118</v>
      </c>
      <c r="G13" s="9">
        <f t="shared" si="1"/>
        <v>0.85</v>
      </c>
      <c r="H13" s="14">
        <v>3.8</v>
      </c>
      <c r="I13" s="10">
        <f t="shared" si="2"/>
        <v>19.0</v>
      </c>
      <c r="J13" s="11"/>
    </row>
    <row r="14" spans="8:8" s="1" ht="16.0" customFormat="1" customHeight="1">
      <c r="A14" s="6">
        <v>9.0</v>
      </c>
      <c r="B14" s="11" t="s">
        <v>25</v>
      </c>
      <c r="C14" s="11"/>
      <c r="D14" s="12" t="s">
        <v>15</v>
      </c>
      <c r="E14" s="12">
        <v>1.0</v>
      </c>
      <c r="F14" s="8">
        <f t="shared" si="0"/>
        <v>9.176470588235293</v>
      </c>
      <c r="G14" s="9">
        <f t="shared" si="1"/>
        <v>0.8500000000000001</v>
      </c>
      <c r="H14" s="14">
        <v>7.8</v>
      </c>
      <c r="I14" s="10">
        <f t="shared" si="2"/>
        <v>7.8</v>
      </c>
      <c r="J14" s="11"/>
    </row>
    <row r="15" spans="8:8" s="1" ht="16.0" customFormat="1" customHeight="1">
      <c r="A15" s="6">
        <v>10.0</v>
      </c>
      <c r="B15" s="11" t="s">
        <v>86</v>
      </c>
      <c r="C15" s="11"/>
      <c r="D15" s="12" t="s">
        <v>15</v>
      </c>
      <c r="E15" s="12">
        <v>6.0</v>
      </c>
      <c r="F15" s="8">
        <f t="shared" si="0"/>
        <v>5.647058823529412</v>
      </c>
      <c r="G15" s="9">
        <f t="shared" si="1"/>
        <v>0.8499999999999999</v>
      </c>
      <c r="H15" s="14">
        <v>4.8</v>
      </c>
      <c r="I15" s="10">
        <f t="shared" si="2"/>
        <v>28.799999999999997</v>
      </c>
      <c r="J15" s="11"/>
    </row>
    <row r="16" spans="8:8" s="1" ht="16.0" customFormat="1" customHeight="1">
      <c r="A16" s="6">
        <v>11.0</v>
      </c>
      <c r="B16" s="11" t="s">
        <v>150</v>
      </c>
      <c r="C16" s="11"/>
      <c r="D16" s="12" t="s">
        <v>15</v>
      </c>
      <c r="E16" s="12">
        <v>12.0</v>
      </c>
      <c r="F16" s="8">
        <f t="shared" si="0"/>
        <v>4.11764705882353</v>
      </c>
      <c r="G16" s="9">
        <f t="shared" si="1"/>
        <v>0.8499999999999999</v>
      </c>
      <c r="H16" s="14">
        <v>3.5</v>
      </c>
      <c r="I16" s="10">
        <f t="shared" si="2"/>
        <v>42.0</v>
      </c>
      <c r="J16" s="11"/>
    </row>
    <row r="17" spans="8:8" s="1" ht="16.0" customFormat="1" customHeight="1">
      <c r="A17" s="6">
        <v>12.0</v>
      </c>
      <c r="B17" s="11" t="s">
        <v>26</v>
      </c>
      <c r="C17" s="11"/>
      <c r="D17" s="11" t="s">
        <v>15</v>
      </c>
      <c r="E17" s="12">
        <v>4.0</v>
      </c>
      <c r="F17" s="8">
        <f t="shared" si="0"/>
        <v>16.23529411764706</v>
      </c>
      <c r="G17" s="9">
        <f t="shared" si="1"/>
        <v>0.8499999999999999</v>
      </c>
      <c r="H17" s="14">
        <v>13.8</v>
      </c>
      <c r="I17" s="10">
        <f t="shared" si="2"/>
        <v>55.2</v>
      </c>
      <c r="J17" s="11"/>
    </row>
    <row r="18" spans="8:8" s="1" ht="16.0" customFormat="1" customHeight="1">
      <c r="A18" s="6">
        <v>13.0</v>
      </c>
      <c r="B18" s="6" t="s">
        <v>27</v>
      </c>
      <c r="C18" s="6"/>
      <c r="D18" s="6" t="s">
        <v>15</v>
      </c>
      <c r="E18" s="7">
        <v>12.0</v>
      </c>
      <c r="F18" s="8">
        <f t="shared" si="0"/>
        <v>22.941176470588236</v>
      </c>
      <c r="G18" s="9">
        <f t="shared" si="1"/>
        <v>0.85</v>
      </c>
      <c r="H18" s="14">
        <v>19.5</v>
      </c>
      <c r="I18" s="10">
        <f t="shared" si="2"/>
        <v>234.0</v>
      </c>
      <c r="J18" s="6"/>
    </row>
    <row r="19" spans="8:8" s="1" ht="16.0" customFormat="1" customHeight="1">
      <c r="A19" s="6">
        <v>14.0</v>
      </c>
      <c r="B19" s="11" t="s">
        <v>151</v>
      </c>
      <c r="C19" s="11" t="s">
        <v>152</v>
      </c>
      <c r="D19" s="12" t="s">
        <v>153</v>
      </c>
      <c r="E19" s="12">
        <v>13.0</v>
      </c>
      <c r="F19" s="8">
        <f t="shared" si="0"/>
        <v>2.3529411764705883</v>
      </c>
      <c r="G19" s="9">
        <f t="shared" si="1"/>
        <v>0.85</v>
      </c>
      <c r="H19" s="14">
        <v>2.0</v>
      </c>
      <c r="I19" s="10">
        <f t="shared" si="2"/>
        <v>26.0</v>
      </c>
      <c r="J19" s="6"/>
    </row>
    <row r="20" spans="8:8" s="1" ht="16.0" customFormat="1" customHeight="1">
      <c r="A20" s="6">
        <v>15.0</v>
      </c>
      <c r="B20" s="6" t="s">
        <v>35</v>
      </c>
      <c r="C20" s="6"/>
      <c r="D20" s="6" t="s">
        <v>36</v>
      </c>
      <c r="E20" s="7">
        <v>35.0</v>
      </c>
      <c r="F20" s="8">
        <f t="shared" si="0"/>
        <v>4.11764705882353</v>
      </c>
      <c r="G20" s="9">
        <f t="shared" si="1"/>
        <v>0.8499999999999999</v>
      </c>
      <c r="H20" s="14">
        <v>3.5</v>
      </c>
      <c r="I20" s="10">
        <f t="shared" si="2"/>
        <v>122.5</v>
      </c>
      <c r="J20" s="6"/>
    </row>
    <row r="21" spans="8:8" s="1" ht="16.0" customFormat="1" customHeight="1">
      <c r="A21" s="6">
        <v>16.0</v>
      </c>
      <c r="B21" s="6"/>
      <c r="C21" s="6"/>
      <c r="D21" s="6"/>
      <c r="E21" s="7"/>
      <c r="F21" s="8"/>
      <c r="G21" s="9"/>
      <c r="H21" s="14"/>
      <c r="I21" s="10"/>
      <c r="J21" s="6"/>
    </row>
    <row r="22" spans="8:8" s="1" ht="16.0" customFormat="1" customHeight="1">
      <c r="A22" s="6">
        <v>17.0</v>
      </c>
      <c r="B22" s="6"/>
      <c r="C22" s="6"/>
      <c r="D22" s="6"/>
      <c r="E22" s="7"/>
      <c r="F22" s="8"/>
      <c r="G22" s="9"/>
      <c r="H22" s="14"/>
      <c r="I22" s="10"/>
      <c r="J22" s="6"/>
    </row>
    <row r="23" spans="8:8" s="1" ht="18.0" customFormat="1" customHeight="1">
      <c r="A23" s="6">
        <v>18.0</v>
      </c>
      <c r="B23" s="8"/>
      <c r="C23" s="8"/>
      <c r="D23" s="8"/>
      <c r="E23" s="7"/>
      <c r="F23" s="8"/>
      <c r="G23" s="9"/>
      <c r="H23" s="14"/>
      <c r="I23" s="10"/>
      <c r="J23" s="8"/>
    </row>
    <row r="24" spans="8:8" s="1" ht="18.0" customFormat="1" customHeight="1">
      <c r="A24" s="6">
        <v>19.0</v>
      </c>
      <c r="B24" s="8"/>
      <c r="C24" s="8"/>
      <c r="D24" s="8"/>
      <c r="E24" s="7"/>
      <c r="F24" s="8"/>
      <c r="G24" s="9"/>
      <c r="H24" s="14"/>
      <c r="I24" s="10"/>
      <c r="J24" s="8"/>
    </row>
    <row r="25" spans="8:8" s="1" ht="18.0" customFormat="1" customHeight="1">
      <c r="A25" s="6">
        <v>20.0</v>
      </c>
      <c r="B25" s="8"/>
      <c r="C25" s="8"/>
      <c r="D25" s="8"/>
      <c r="E25" s="7"/>
      <c r="F25" s="8"/>
      <c r="G25" s="9"/>
      <c r="H25" s="14"/>
      <c r="I25" s="10"/>
      <c r="J25" s="8"/>
    </row>
    <row r="26" spans="8:8" s="1" ht="18.0" customFormat="1" customHeight="1">
      <c r="A26" s="6">
        <v>21.0</v>
      </c>
      <c r="B26" s="8"/>
      <c r="C26" s="8"/>
      <c r="D26" s="8"/>
      <c r="E26" s="7"/>
      <c r="F26" s="8"/>
      <c r="G26" s="9"/>
      <c r="H26" s="14"/>
      <c r="I26" s="10"/>
      <c r="J26" s="8"/>
    </row>
    <row r="27" spans="8:8" s="1" ht="18.0" customFormat="1" customHeight="1">
      <c r="A27" s="6">
        <v>22.0</v>
      </c>
      <c r="B27" s="8"/>
      <c r="C27" s="8"/>
      <c r="D27" s="8"/>
      <c r="E27" s="7"/>
      <c r="F27" s="8"/>
      <c r="G27" s="9"/>
      <c r="H27" s="14"/>
      <c r="I27" s="10"/>
      <c r="J27" s="8"/>
    </row>
    <row r="28" spans="8:8" s="1" ht="18.0" customFormat="1" customHeight="1">
      <c r="A28" s="6">
        <v>23.0</v>
      </c>
      <c r="B28" s="8"/>
      <c r="C28" s="8"/>
      <c r="D28" s="8"/>
      <c r="E28" s="7"/>
      <c r="F28" s="8"/>
      <c r="G28" s="9"/>
      <c r="H28" s="14"/>
      <c r="I28" s="10"/>
      <c r="J28" s="8"/>
    </row>
    <row r="29" spans="8:8" s="1" ht="18.0" customFormat="1" customHeight="1">
      <c r="A29" s="6">
        <v>24.0</v>
      </c>
      <c r="B29" s="8"/>
      <c r="C29" s="8"/>
      <c r="D29" s="8"/>
      <c r="E29" s="7"/>
      <c r="F29" s="8"/>
      <c r="G29" s="9"/>
      <c r="H29" s="14"/>
      <c r="I29" s="10"/>
      <c r="J29" s="8"/>
    </row>
    <row r="30" spans="8:8" s="1" ht="18.0" customFormat="1" customHeight="1">
      <c r="A30" s="6">
        <v>25.0</v>
      </c>
      <c r="B30" s="8"/>
      <c r="C30" s="8"/>
      <c r="D30" s="8"/>
      <c r="E30" s="7"/>
      <c r="F30" s="8"/>
      <c r="G30" s="9"/>
      <c r="H30" s="14"/>
      <c r="I30" s="10"/>
      <c r="J30" s="8"/>
    </row>
    <row r="31" spans="8:8" s="1" ht="18.0" customFormat="1" customHeight="1">
      <c r="A31" s="6">
        <v>26.0</v>
      </c>
      <c r="B31" s="8"/>
      <c r="C31" s="8"/>
      <c r="D31" s="8"/>
      <c r="E31" s="7"/>
      <c r="F31" s="8"/>
      <c r="G31" s="9"/>
      <c r="H31" s="14"/>
      <c r="I31" s="10"/>
      <c r="J31" s="8"/>
    </row>
    <row r="32" spans="8:8" s="1" ht="18.0" customFormat="1" customHeight="1">
      <c r="A32" s="6">
        <v>27.0</v>
      </c>
      <c r="B32" s="8"/>
      <c r="C32" s="8"/>
      <c r="D32" s="8"/>
      <c r="E32" s="7"/>
      <c r="F32" s="8"/>
      <c r="G32" s="9"/>
      <c r="H32" s="14"/>
      <c r="I32" s="10"/>
      <c r="J32" s="8"/>
    </row>
    <row r="33" spans="8:8" s="1" ht="18.0" customFormat="1" customHeight="1">
      <c r="A33" s="6">
        <v>28.0</v>
      </c>
      <c r="B33" s="8"/>
      <c r="C33" s="8"/>
      <c r="D33" s="8"/>
      <c r="E33" s="7"/>
      <c r="F33" s="8"/>
      <c r="G33" s="9"/>
      <c r="H33" s="14"/>
      <c r="I33" s="10"/>
      <c r="J33" s="8"/>
    </row>
    <row r="34" spans="8:8" s="1" ht="18.0" customFormat="1" customHeight="1">
      <c r="A34" s="6" t="s">
        <v>37</v>
      </c>
      <c r="B34" s="15">
        <f>SUM(I6:I33)</f>
        <v>661.6</v>
      </c>
      <c r="C34" s="16"/>
      <c r="D34" s="16"/>
      <c r="E34" s="24"/>
      <c r="F34" s="16"/>
      <c r="G34" s="16"/>
      <c r="H34" s="16"/>
      <c r="I34" s="16"/>
      <c r="J34" s="17"/>
    </row>
    <row r="35" spans="8:8" s="1" ht="18.0" customFormat="1" customHeight="1">
      <c r="A35" s="6" t="s">
        <v>38</v>
      </c>
      <c r="B35" s="18">
        <f>B34</f>
        <v>661.6</v>
      </c>
      <c r="C35" s="19"/>
      <c r="D35" s="19"/>
      <c r="E35" s="24"/>
      <c r="F35" s="19"/>
      <c r="G35" s="19"/>
      <c r="H35" s="19"/>
      <c r="I35" s="19"/>
      <c r="J35" s="20"/>
    </row>
    <row r="36" spans="8:8" s="1" ht="18.0" customFormat="1" customHeight="1">
      <c r="A36" s="1" t="s">
        <v>39</v>
      </c>
      <c r="E36" s="21"/>
    </row>
  </sheetData>
  <mergeCells count="4">
    <mergeCell ref="A1:J1"/>
    <mergeCell ref="B34:J34"/>
    <mergeCell ref="B35:J35"/>
    <mergeCell ref="A36:J36"/>
  </mergeCells>
  <conditionalFormatting sqref="B6:B33">
    <cfRule type="duplicateValues" priority="2" dxfId="29"/>
  </conditionalFormatting>
  <conditionalFormatting sqref="B1:B33 B36:B1048576">
    <cfRule type="duplicateValues" priority="1" dxfId="30"/>
  </conditionalFormatting>
  <conditionalFormatting sqref="B6:C17">
    <cfRule type="duplicateValues" priority="3" dxfId="31"/>
  </conditionalFormatting>
  <pageMargins left="0.751388888888889" right="0.751388888888889" top="0.409027777777778" bottom="0.2125" header="0.5" footer="0.5"/>
  <pageSetup paperSize="9" scale="96"/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XFD36"/>
  <sheetViews>
    <sheetView workbookViewId="0" topLeftCell="A15">
      <selection activeCell="I15" sqref="I1:I1048576"/>
    </sheetView>
  </sheetViews>
  <sheetFormatPr defaultRowHeight="18.0" customHeight="1" defaultColWidth="11"/>
  <cols>
    <col min="1" max="1" customWidth="1" width="9.125" style="1"/>
    <col min="2" max="2" customWidth="1" width="19.25" style="1"/>
    <col min="3" max="3" customWidth="1" width="11.375" style="1"/>
    <col min="4" max="4" customWidth="1" width="5.9414062" style="1"/>
    <col min="5" max="5" customWidth="1" width="5.25" style="21"/>
    <col min="6" max="6" customWidth="1" width="8.0" style="1"/>
    <col min="7" max="7" customWidth="1" width="6.625" style="1"/>
    <col min="8" max="8" customWidth="1" width="7.875" style="1"/>
    <col min="9" max="9" customWidth="1" width="8.625" style="1"/>
    <col min="10" max="10" customWidth="1" width="7.375" style="1"/>
    <col min="11" max="16321" customWidth="1" width="11.6640625" style="1"/>
    <col min="16322" max="16322" customWidth="0" width="11.6640625" style="1"/>
    <col min="16323" max="16328" customWidth="0" width="11.0" style="1"/>
    <col min="16329" max="16384" customWidth="0" width="11.0" style="2"/>
  </cols>
  <sheetData>
    <row r="1" spans="8:8" s="1" ht="24.0" customFormat="1" customHeight="1">
      <c r="A1" s="3" t="s">
        <v>0</v>
      </c>
      <c r="B1" s="3"/>
      <c r="C1" s="3"/>
      <c r="D1" s="3"/>
      <c r="E1" s="22"/>
      <c r="F1" s="3"/>
      <c r="G1" s="3"/>
      <c r="H1" s="3"/>
      <c r="I1" s="3"/>
      <c r="J1" s="3"/>
    </row>
    <row r="2" spans="8:8" s="1" ht="8.0" customFormat="1" customHeight="1">
      <c r="A2" s="3"/>
      <c r="B2" s="3"/>
      <c r="C2" s="3"/>
      <c r="D2" s="3"/>
      <c r="E2" s="22"/>
      <c r="F2" s="3"/>
      <c r="G2" s="3"/>
      <c r="H2" s="3"/>
      <c r="I2" s="3"/>
      <c r="J2" s="3"/>
    </row>
    <row r="3" spans="8:8" s="1" ht="18.0" customFormat="1" customHeight="1">
      <c r="A3" s="1" t="s">
        <v>1</v>
      </c>
      <c r="B3" s="1" t="s">
        <v>2</v>
      </c>
      <c r="E3" s="21"/>
    </row>
    <row r="4" spans="8:8" s="1" ht="18.0" customFormat="1" customHeight="1">
      <c r="A4" s="1" t="s">
        <v>3</v>
      </c>
      <c r="B4" s="4">
        <v>45250.0</v>
      </c>
      <c r="C4" s="4"/>
      <c r="D4" s="5"/>
      <c r="E4" s="23"/>
      <c r="F4" s="5"/>
      <c r="G4" s="5"/>
      <c r="H4" s="4"/>
      <c r="I4" s="4"/>
      <c r="J4" s="4"/>
    </row>
    <row r="5" spans="8:8" s="1" ht="18.0" customFormat="1" customHeight="1">
      <c r="A5" s="6" t="s">
        <v>4</v>
      </c>
      <c r="B5" s="6" t="s">
        <v>5</v>
      </c>
      <c r="C5" s="6" t="s">
        <v>6</v>
      </c>
      <c r="D5" s="6" t="s">
        <v>7</v>
      </c>
      <c r="E5" s="7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</row>
    <row r="6" spans="8:8" s="1" ht="16.0" customFormat="1" customHeight="1">
      <c r="A6" s="6">
        <v>1.0</v>
      </c>
      <c r="B6" s="6" t="s">
        <v>14</v>
      </c>
      <c r="C6" s="6"/>
      <c r="D6" s="7" t="s">
        <v>15</v>
      </c>
      <c r="E6" s="7">
        <v>8.0</v>
      </c>
      <c r="F6" s="8">
        <f t="shared" si="0" ref="F6:F28">H6/0.85</f>
        <v>3.5294117647058822</v>
      </c>
      <c r="G6" s="9">
        <f t="shared" si="1" ref="G6:G28">H6/F6</f>
        <v>0.85</v>
      </c>
      <c r="H6" s="10">
        <v>3.0</v>
      </c>
      <c r="I6" s="10">
        <f t="shared" si="2" ref="I6:I28">E6*H6</f>
        <v>24.0</v>
      </c>
      <c r="J6" s="6"/>
    </row>
    <row r="7" spans="8:8" s="1" ht="16.0" customFormat="1" customHeight="1">
      <c r="A7" s="6">
        <v>2.0</v>
      </c>
      <c r="B7" s="6" t="s">
        <v>60</v>
      </c>
      <c r="C7" s="6"/>
      <c r="D7" s="7" t="s">
        <v>15</v>
      </c>
      <c r="E7" s="7">
        <v>2.0</v>
      </c>
      <c r="F7" s="8">
        <f t="shared" si="0"/>
        <v>4.11764705882353</v>
      </c>
      <c r="G7" s="9">
        <f t="shared" si="1"/>
        <v>0.8499999999999999</v>
      </c>
      <c r="H7" s="10">
        <v>3.5</v>
      </c>
      <c r="I7" s="10">
        <f t="shared" si="2"/>
        <v>7.0</v>
      </c>
      <c r="J7" s="6"/>
    </row>
    <row r="8" spans="8:8" s="1" ht="16.0" customFormat="1" customHeight="1">
      <c r="A8" s="6">
        <v>3.0</v>
      </c>
      <c r="B8" s="6" t="s">
        <v>17</v>
      </c>
      <c r="C8" s="6"/>
      <c r="D8" s="7" t="s">
        <v>15</v>
      </c>
      <c r="E8" s="7">
        <v>7.0</v>
      </c>
      <c r="F8" s="8">
        <f t="shared" si="0"/>
        <v>4.11764705882353</v>
      </c>
      <c r="G8" s="9">
        <f t="shared" si="1"/>
        <v>0.8499999999999999</v>
      </c>
      <c r="H8" s="10">
        <v>3.5</v>
      </c>
      <c r="I8" s="10">
        <f t="shared" si="2"/>
        <v>24.5</v>
      </c>
      <c r="J8" s="6"/>
    </row>
    <row r="9" spans="8:8" s="1" ht="16.0" customFormat="1" customHeight="1">
      <c r="A9" s="6">
        <v>4.0</v>
      </c>
      <c r="B9" s="11" t="s">
        <v>126</v>
      </c>
      <c r="C9" s="11"/>
      <c r="D9" s="7" t="s">
        <v>15</v>
      </c>
      <c r="E9" s="7">
        <v>2.0</v>
      </c>
      <c r="F9" s="8">
        <f t="shared" si="0"/>
        <v>4.11764705882353</v>
      </c>
      <c r="G9" s="9">
        <f t="shared" si="1"/>
        <v>0.8499999999999999</v>
      </c>
      <c r="H9" s="10">
        <v>3.5</v>
      </c>
      <c r="I9" s="10">
        <f t="shared" si="2"/>
        <v>7.0</v>
      </c>
      <c r="J9" s="6"/>
    </row>
    <row r="10" spans="8:8" s="1" ht="16.0" customFormat="1" customHeight="1">
      <c r="A10" s="6">
        <v>5.0</v>
      </c>
      <c r="B10" s="6" t="s">
        <v>63</v>
      </c>
      <c r="C10" s="6"/>
      <c r="D10" s="7" t="s">
        <v>15</v>
      </c>
      <c r="E10" s="7">
        <v>3.0</v>
      </c>
      <c r="F10" s="8">
        <f t="shared" si="0"/>
        <v>8.823529411764707</v>
      </c>
      <c r="G10" s="9">
        <f t="shared" si="1"/>
        <v>0.85</v>
      </c>
      <c r="H10" s="10">
        <v>7.5</v>
      </c>
      <c r="I10" s="10">
        <f t="shared" si="2"/>
        <v>22.5</v>
      </c>
      <c r="J10" s="6"/>
    </row>
    <row r="11" spans="8:8" s="1" ht="16.0" customFormat="1" customHeight="1">
      <c r="A11" s="6">
        <v>6.0</v>
      </c>
      <c r="B11" s="6" t="s">
        <v>21</v>
      </c>
      <c r="C11" s="6"/>
      <c r="D11" s="7" t="s">
        <v>15</v>
      </c>
      <c r="E11" s="7">
        <v>5.0</v>
      </c>
      <c r="F11" s="8">
        <f t="shared" si="0"/>
        <v>2.9411764705882355</v>
      </c>
      <c r="G11" s="9">
        <f t="shared" si="1"/>
        <v>0.85</v>
      </c>
      <c r="H11" s="10">
        <v>2.5</v>
      </c>
      <c r="I11" s="10">
        <f t="shared" si="2"/>
        <v>12.5</v>
      </c>
      <c r="J11" s="6"/>
    </row>
    <row r="12" spans="8:8" s="1" ht="16.0" customFormat="1" customHeight="1">
      <c r="A12" s="6">
        <v>7.0</v>
      </c>
      <c r="B12" s="11" t="s">
        <v>22</v>
      </c>
      <c r="C12" s="11"/>
      <c r="D12" s="12" t="s">
        <v>23</v>
      </c>
      <c r="E12" s="12">
        <v>8.0</v>
      </c>
      <c r="F12" s="8">
        <f t="shared" si="0"/>
        <v>3.5294117647058822</v>
      </c>
      <c r="G12" s="9">
        <f t="shared" si="1"/>
        <v>0.85</v>
      </c>
      <c r="H12" s="14">
        <v>3.0</v>
      </c>
      <c r="I12" s="10">
        <f t="shared" si="2"/>
        <v>24.0</v>
      </c>
      <c r="J12" s="11"/>
    </row>
    <row r="13" spans="8:8" s="1" ht="16.0" customFormat="1" customHeight="1">
      <c r="A13" s="6">
        <v>8.0</v>
      </c>
      <c r="B13" s="11" t="s">
        <v>64</v>
      </c>
      <c r="C13" s="11"/>
      <c r="D13" s="12" t="s">
        <v>15</v>
      </c>
      <c r="E13" s="12">
        <v>3.0</v>
      </c>
      <c r="F13" s="8">
        <f t="shared" si="0"/>
        <v>4.705882352941177</v>
      </c>
      <c r="G13" s="9">
        <f t="shared" si="1"/>
        <v>0.85</v>
      </c>
      <c r="H13" s="14">
        <v>4.0</v>
      </c>
      <c r="I13" s="10">
        <f t="shared" si="2"/>
        <v>12.0</v>
      </c>
      <c r="J13" s="11"/>
    </row>
    <row r="14" spans="8:8" s="1" ht="16.0" customFormat="1" customHeight="1">
      <c r="A14" s="6">
        <v>9.0</v>
      </c>
      <c r="B14" s="11" t="s">
        <v>74</v>
      </c>
      <c r="C14" s="11"/>
      <c r="D14" s="12" t="s">
        <v>15</v>
      </c>
      <c r="E14" s="12">
        <v>5.0</v>
      </c>
      <c r="F14" s="8">
        <f t="shared" si="0"/>
        <v>4.470588235294118</v>
      </c>
      <c r="G14" s="9">
        <f t="shared" si="1"/>
        <v>0.85</v>
      </c>
      <c r="H14" s="14">
        <v>3.8</v>
      </c>
      <c r="I14" s="10">
        <f t="shared" si="2"/>
        <v>19.0</v>
      </c>
      <c r="J14" s="11"/>
    </row>
    <row r="15" spans="8:8" s="1" ht="16.0" customFormat="1" customHeight="1">
      <c r="A15" s="6">
        <v>10.0</v>
      </c>
      <c r="B15" s="11" t="s">
        <v>103</v>
      </c>
      <c r="C15" s="11"/>
      <c r="D15" s="12" t="s">
        <v>15</v>
      </c>
      <c r="E15" s="12">
        <v>8.0</v>
      </c>
      <c r="F15" s="8">
        <f t="shared" si="0"/>
        <v>4.470588235294118</v>
      </c>
      <c r="G15" s="9">
        <f t="shared" si="1"/>
        <v>0.85</v>
      </c>
      <c r="H15" s="14">
        <v>3.8</v>
      </c>
      <c r="I15" s="10">
        <f t="shared" si="2"/>
        <v>30.4</v>
      </c>
      <c r="J15" s="11"/>
    </row>
    <row r="16" spans="8:8" s="1" ht="16.0" customFormat="1" customHeight="1">
      <c r="A16" s="6">
        <v>11.0</v>
      </c>
      <c r="B16" s="6" t="s">
        <v>86</v>
      </c>
      <c r="C16" s="6"/>
      <c r="D16" s="11" t="s">
        <v>15</v>
      </c>
      <c r="E16" s="7">
        <v>3.0</v>
      </c>
      <c r="F16" s="8">
        <f t="shared" si="0"/>
        <v>5.647058823529412</v>
      </c>
      <c r="G16" s="9">
        <f t="shared" si="1"/>
        <v>0.8499999999999999</v>
      </c>
      <c r="H16" s="14">
        <v>4.8</v>
      </c>
      <c r="I16" s="10">
        <f t="shared" si="2"/>
        <v>14.399999999999999</v>
      </c>
      <c r="J16" s="11"/>
    </row>
    <row r="17" spans="8:8" s="1" ht="16.0" customFormat="1" customHeight="1">
      <c r="A17" s="6">
        <v>12.0</v>
      </c>
      <c r="B17" s="6" t="s">
        <v>66</v>
      </c>
      <c r="C17" s="6"/>
      <c r="D17" s="6" t="s">
        <v>15</v>
      </c>
      <c r="E17" s="7">
        <v>15.0</v>
      </c>
      <c r="F17" s="8">
        <f t="shared" si="0"/>
        <v>2.3529411764705883</v>
      </c>
      <c r="G17" s="9">
        <f t="shared" si="1"/>
        <v>0.85</v>
      </c>
      <c r="H17" s="14">
        <v>2.0</v>
      </c>
      <c r="I17" s="10">
        <f t="shared" si="2"/>
        <v>30.0</v>
      </c>
      <c r="J17" s="11"/>
    </row>
    <row r="18" spans="8:8" s="1" ht="16.0" customFormat="1" customHeight="1">
      <c r="A18" s="6">
        <v>13.0</v>
      </c>
      <c r="B18" s="6" t="s">
        <v>116</v>
      </c>
      <c r="C18" s="6"/>
      <c r="D18" s="6" t="s">
        <v>15</v>
      </c>
      <c r="E18" s="7">
        <v>4.0</v>
      </c>
      <c r="F18" s="8">
        <f t="shared" si="0"/>
        <v>5.647058823529412</v>
      </c>
      <c r="G18" s="9">
        <f t="shared" si="1"/>
        <v>0.8499999999999999</v>
      </c>
      <c r="H18" s="14">
        <v>4.8</v>
      </c>
      <c r="I18" s="10">
        <f t="shared" si="2"/>
        <v>19.2</v>
      </c>
      <c r="J18" s="6"/>
    </row>
    <row r="19" spans="8:8" s="1" ht="16.0" customFormat="1" customHeight="1">
      <c r="A19" s="6">
        <v>14.0</v>
      </c>
      <c r="B19" s="6" t="s">
        <v>142</v>
      </c>
      <c r="C19" s="6"/>
      <c r="D19" s="6" t="s">
        <v>15</v>
      </c>
      <c r="E19" s="7">
        <v>8.0</v>
      </c>
      <c r="F19" s="8">
        <f t="shared" si="0"/>
        <v>8.0</v>
      </c>
      <c r="G19" s="9">
        <f t="shared" si="1"/>
        <v>0.85</v>
      </c>
      <c r="H19" s="14">
        <v>6.8</v>
      </c>
      <c r="I19" s="10">
        <f t="shared" si="2"/>
        <v>54.4</v>
      </c>
      <c r="J19" s="6"/>
    </row>
    <row r="20" spans="8:8" s="1" ht="16.0" customFormat="1" customHeight="1">
      <c r="A20" s="6">
        <v>15.0</v>
      </c>
      <c r="B20" s="8" t="s">
        <v>67</v>
      </c>
      <c r="C20" s="8" t="s">
        <v>68</v>
      </c>
      <c r="D20" s="8" t="s">
        <v>32</v>
      </c>
      <c r="E20" s="7">
        <v>1.0</v>
      </c>
      <c r="F20" s="8">
        <f t="shared" si="0"/>
        <v>352.94117647058823</v>
      </c>
      <c r="G20" s="9">
        <f t="shared" si="1"/>
        <v>0.85</v>
      </c>
      <c r="H20" s="14">
        <v>300.0</v>
      </c>
      <c r="I20" s="10">
        <f t="shared" si="2"/>
        <v>300.0</v>
      </c>
      <c r="J20" s="6"/>
    </row>
    <row r="21" spans="8:8" s="1" ht="16.0" customFormat="1" customHeight="1">
      <c r="A21" s="6">
        <v>16.0</v>
      </c>
      <c r="B21" s="8" t="s">
        <v>154</v>
      </c>
      <c r="C21" s="8"/>
      <c r="D21" s="8" t="s">
        <v>15</v>
      </c>
      <c r="E21" s="7">
        <v>10.0</v>
      </c>
      <c r="F21" s="8">
        <f t="shared" si="0"/>
        <v>68.23529411764706</v>
      </c>
      <c r="G21" s="9">
        <f t="shared" si="1"/>
        <v>0.85</v>
      </c>
      <c r="H21" s="14">
        <v>58.0</v>
      </c>
      <c r="I21" s="10">
        <f t="shared" si="2"/>
        <v>580.0</v>
      </c>
      <c r="J21" s="6"/>
    </row>
    <row r="22" spans="8:8" s="1" ht="16.0" customFormat="1" customHeight="1">
      <c r="A22" s="6">
        <v>17.0</v>
      </c>
      <c r="B22" s="8" t="s">
        <v>28</v>
      </c>
      <c r="C22" s="8"/>
      <c r="D22" s="8" t="s">
        <v>15</v>
      </c>
      <c r="E22" s="7">
        <v>7.0</v>
      </c>
      <c r="F22" s="8">
        <f t="shared" si="0"/>
        <v>16.23529411764706</v>
      </c>
      <c r="G22" s="9">
        <f t="shared" si="1"/>
        <v>0.8499999999999999</v>
      </c>
      <c r="H22" s="14">
        <v>13.8</v>
      </c>
      <c r="I22" s="10">
        <f t="shared" si="2"/>
        <v>96.60000000000001</v>
      </c>
      <c r="J22" s="6"/>
    </row>
    <row r="23" spans="8:8" s="1" ht="18.0" customFormat="1" customHeight="1">
      <c r="A23" s="6">
        <v>18.0</v>
      </c>
      <c r="B23" s="8" t="s">
        <v>107</v>
      </c>
      <c r="C23" s="8"/>
      <c r="D23" s="8" t="s">
        <v>15</v>
      </c>
      <c r="E23" s="7">
        <v>10.0</v>
      </c>
      <c r="F23" s="8">
        <f t="shared" si="0"/>
        <v>23.529411764705884</v>
      </c>
      <c r="G23" s="9">
        <f t="shared" si="1"/>
        <v>0.85</v>
      </c>
      <c r="H23" s="14">
        <v>20.0</v>
      </c>
      <c r="I23" s="10">
        <f t="shared" si="2"/>
        <v>200.0</v>
      </c>
      <c r="J23" s="8"/>
    </row>
    <row r="24" spans="8:8" s="1" ht="18.0" customFormat="1" customHeight="1">
      <c r="A24" s="6">
        <v>19.0</v>
      </c>
      <c r="B24" s="8" t="s">
        <v>155</v>
      </c>
      <c r="C24" s="8" t="s">
        <v>59</v>
      </c>
      <c r="D24" s="8" t="s">
        <v>15</v>
      </c>
      <c r="E24" s="7">
        <v>5.0</v>
      </c>
      <c r="F24" s="8">
        <f t="shared" si="0"/>
        <v>68.23529411764706</v>
      </c>
      <c r="G24" s="9">
        <f t="shared" si="1"/>
        <v>0.85</v>
      </c>
      <c r="H24" s="14">
        <v>58.0</v>
      </c>
      <c r="I24" s="10">
        <f t="shared" si="2"/>
        <v>290.0</v>
      </c>
      <c r="J24" s="8"/>
    </row>
    <row r="25" spans="8:8" s="1" ht="18.0" customFormat="1" customHeight="1">
      <c r="A25" s="6">
        <v>20.0</v>
      </c>
      <c r="B25" s="8" t="s">
        <v>156</v>
      </c>
      <c r="C25" s="8"/>
      <c r="D25" s="8" t="s">
        <v>15</v>
      </c>
      <c r="E25" s="7">
        <v>5.0</v>
      </c>
      <c r="F25" s="8">
        <f t="shared" si="0"/>
        <v>13.882352941176471</v>
      </c>
      <c r="G25" s="9">
        <f t="shared" si="1"/>
        <v>0.85</v>
      </c>
      <c r="H25" s="14">
        <v>11.8</v>
      </c>
      <c r="I25" s="10">
        <f t="shared" si="2"/>
        <v>59.0</v>
      </c>
      <c r="J25" s="8"/>
    </row>
    <row r="26" spans="8:8" s="1" ht="18.0" customFormat="1" customHeight="1">
      <c r="A26" s="6">
        <v>21.0</v>
      </c>
      <c r="B26" s="8" t="s">
        <v>157</v>
      </c>
      <c r="C26" s="8" t="s">
        <v>59</v>
      </c>
      <c r="D26" s="8" t="s">
        <v>15</v>
      </c>
      <c r="E26" s="7">
        <v>5.0</v>
      </c>
      <c r="F26" s="8">
        <f t="shared" si="0"/>
        <v>8.0</v>
      </c>
      <c r="G26" s="9">
        <f t="shared" si="1"/>
        <v>0.85</v>
      </c>
      <c r="H26" s="14">
        <v>6.8</v>
      </c>
      <c r="I26" s="10">
        <f t="shared" si="2"/>
        <v>34.0</v>
      </c>
      <c r="J26" s="8"/>
    </row>
    <row r="27" spans="8:8" s="1" ht="18.0" customFormat="1" customHeight="1">
      <c r="A27" s="6">
        <v>22.0</v>
      </c>
      <c r="B27" s="6" t="s">
        <v>35</v>
      </c>
      <c r="C27" s="6"/>
      <c r="D27" s="6" t="s">
        <v>36</v>
      </c>
      <c r="E27" s="7">
        <v>50.0</v>
      </c>
      <c r="F27" s="8">
        <f t="shared" si="0"/>
        <v>4.11764705882353</v>
      </c>
      <c r="G27" s="9">
        <f t="shared" si="1"/>
        <v>0.8499999999999999</v>
      </c>
      <c r="H27" s="14">
        <v>3.5</v>
      </c>
      <c r="I27" s="10">
        <f t="shared" si="2"/>
        <v>175.0</v>
      </c>
      <c r="J27" s="8"/>
    </row>
    <row r="28" spans="8:8" s="1" ht="18.0" customFormat="1" customHeight="1">
      <c r="A28" s="6">
        <v>23.0</v>
      </c>
      <c r="B28" s="8"/>
      <c r="C28" s="8"/>
      <c r="D28" s="8"/>
      <c r="E28" s="7"/>
      <c r="F28" s="8"/>
      <c r="G28" s="9"/>
      <c r="H28" s="14"/>
      <c r="I28" s="10"/>
      <c r="J28" s="8"/>
      <c r="XDA28" s="2"/>
      <c r="XDB28" s="2"/>
      <c r="XDC28" s="2"/>
      <c r="XDD28" s="2"/>
      <c r="XDE28" s="2"/>
      <c r="XDF28" s="2"/>
      <c r="XDG28" s="2"/>
      <c r="XDH28" s="2"/>
      <c r="XDI28" s="2"/>
      <c r="XDJ28" s="2"/>
      <c r="XDK28" s="2"/>
      <c r="XDL28" s="2"/>
      <c r="XDM28" s="2"/>
      <c r="XDN28" s="2"/>
      <c r="XDO28" s="2"/>
      <c r="XDP28" s="2"/>
      <c r="XDQ28" s="2"/>
      <c r="XDR28" s="2"/>
      <c r="XDS28" s="2"/>
      <c r="XDT28" s="2"/>
      <c r="XDU28" s="2"/>
      <c r="XDV28" s="2"/>
      <c r="XDW28" s="2"/>
      <c r="XDX28" s="2"/>
      <c r="XDY28" s="2"/>
      <c r="XDZ28" s="2"/>
      <c r="XEA28" s="2"/>
      <c r="XEB28" s="2"/>
      <c r="XEC28" s="2"/>
      <c r="XED28" s="2"/>
      <c r="XEE28" s="2"/>
      <c r="XEF28" s="2"/>
      <c r="XEG28" s="2"/>
      <c r="XEH28" s="2"/>
      <c r="XEI28" s="2"/>
      <c r="XEJ28" s="2"/>
      <c r="XEK28" s="2"/>
      <c r="XEL28" s="2"/>
      <c r="XEM28" s="2"/>
      <c r="XEN28" s="2"/>
      <c r="XEO28" s="2"/>
      <c r="XEP28" s="2"/>
      <c r="XEQ28" s="2"/>
      <c r="XER28" s="2"/>
      <c r="XES28" s="2"/>
      <c r="XET28" s="2"/>
      <c r="XEU28" s="2"/>
      <c r="XEV28" s="2"/>
      <c r="XEW28" s="2"/>
      <c r="XEX28" s="2"/>
      <c r="XEY28" s="2"/>
      <c r="XEZ28" s="2"/>
      <c r="XFA28" s="2"/>
      <c r="XFB28" s="2"/>
      <c r="XFC28" s="2"/>
      <c r="XFD28" s="2"/>
    </row>
    <row r="29" spans="8:8" s="1" ht="18.0" customFormat="1" customHeight="1">
      <c r="A29" s="6">
        <v>24.0</v>
      </c>
      <c r="B29" s="8"/>
      <c r="C29" s="8"/>
      <c r="D29" s="8"/>
      <c r="E29" s="7"/>
      <c r="F29" s="8"/>
      <c r="G29" s="9"/>
      <c r="H29" s="14"/>
      <c r="I29" s="10"/>
      <c r="J29" s="8"/>
    </row>
    <row r="30" spans="8:8" s="1" ht="18.0" customFormat="1" customHeight="1">
      <c r="A30" s="6">
        <v>25.0</v>
      </c>
      <c r="B30" s="8"/>
      <c r="C30" s="8"/>
      <c r="D30" s="8"/>
      <c r="E30" s="7"/>
      <c r="F30" s="8"/>
      <c r="G30" s="9"/>
      <c r="H30" s="14"/>
      <c r="I30" s="10"/>
      <c r="J30" s="8"/>
    </row>
    <row r="31" spans="8:8" s="1" ht="18.0" customFormat="1" customHeight="1">
      <c r="A31" s="6">
        <v>26.0</v>
      </c>
      <c r="B31" s="11"/>
      <c r="C31" s="11"/>
      <c r="D31" s="12"/>
      <c r="E31" s="12"/>
      <c r="F31" s="8"/>
      <c r="G31" s="9"/>
      <c r="H31" s="14"/>
      <c r="I31" s="10"/>
      <c r="J31" s="8"/>
    </row>
    <row r="32" spans="8:8" s="1" ht="18.0" customFormat="1" customHeight="1">
      <c r="A32" s="6">
        <v>27.0</v>
      </c>
      <c r="B32" s="11"/>
      <c r="C32" s="11"/>
      <c r="D32" s="12"/>
      <c r="E32" s="12"/>
      <c r="F32" s="8"/>
      <c r="G32" s="9"/>
      <c r="H32" s="14"/>
      <c r="I32" s="10"/>
      <c r="J32" s="8"/>
    </row>
    <row r="33" spans="8:8" s="1" ht="18.0" customFormat="1" customHeight="1">
      <c r="A33" s="6">
        <v>28.0</v>
      </c>
      <c r="B33" s="8"/>
      <c r="C33" s="8"/>
      <c r="D33" s="8"/>
      <c r="E33" s="7"/>
      <c r="F33" s="8"/>
      <c r="G33" s="9"/>
      <c r="H33" s="14"/>
      <c r="I33" s="10"/>
      <c r="J33" s="8"/>
    </row>
    <row r="34" spans="8:8" s="1" ht="18.0" customFormat="1" customHeight="1">
      <c r="A34" s="6" t="s">
        <v>37</v>
      </c>
      <c r="B34" s="15">
        <f>SUM(I6:I33)</f>
        <v>2035.5</v>
      </c>
      <c r="C34" s="16"/>
      <c r="D34" s="16"/>
      <c r="E34" s="24"/>
      <c r="F34" s="16"/>
      <c r="G34" s="16"/>
      <c r="H34" s="16"/>
      <c r="I34" s="16"/>
      <c r="J34" s="17"/>
    </row>
    <row r="35" spans="8:8" s="1" ht="18.0" customFormat="1" customHeight="1">
      <c r="A35" s="6" t="s">
        <v>38</v>
      </c>
      <c r="B35" s="18">
        <f>B34</f>
        <v>2035.5</v>
      </c>
      <c r="C35" s="19"/>
      <c r="D35" s="19"/>
      <c r="E35" s="24"/>
      <c r="F35" s="19"/>
      <c r="G35" s="19"/>
      <c r="H35" s="19"/>
      <c r="I35" s="19"/>
      <c r="J35" s="20"/>
    </row>
    <row r="36" spans="8:8" s="1" ht="18.0" customFormat="1" customHeight="1">
      <c r="A36" s="1" t="s">
        <v>39</v>
      </c>
      <c r="E36" s="21"/>
    </row>
  </sheetData>
  <mergeCells count="4">
    <mergeCell ref="A1:J1"/>
    <mergeCell ref="B34:J34"/>
    <mergeCell ref="B35:J35"/>
    <mergeCell ref="A36:J36"/>
  </mergeCells>
  <conditionalFormatting sqref="B6:B33">
    <cfRule type="duplicateValues" priority="2" dxfId="32"/>
  </conditionalFormatting>
  <conditionalFormatting sqref="B1:B33 B36:B1048576">
    <cfRule type="duplicateValues" priority="1" dxfId="33"/>
  </conditionalFormatting>
  <conditionalFormatting sqref="B6:C17">
    <cfRule type="duplicateValues" priority="3" dxfId="34"/>
  </conditionalFormatting>
  <pageMargins left="0.751388888888889" right="0.751388888888889" top="0.409027777777778" bottom="0.2125" header="0.5" footer="0.5"/>
  <pageSetup paperSize="9" scale="96"/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36"/>
  <sheetViews>
    <sheetView workbookViewId="0" topLeftCell="A22">
      <selection activeCell="I22" sqref="I1:I1048576"/>
    </sheetView>
  </sheetViews>
  <sheetFormatPr defaultRowHeight="18.0" customHeight="1" defaultColWidth="11"/>
  <cols>
    <col min="1" max="1" customWidth="1" width="9.125" style="1"/>
    <col min="2" max="2" customWidth="1" width="19.25" style="1"/>
    <col min="3" max="3" customWidth="1" width="11.375" style="1"/>
    <col min="4" max="4" customWidth="1" width="5.9414062" style="1"/>
    <col min="5" max="5" customWidth="1" width="5.25" style="21"/>
    <col min="6" max="6" customWidth="1" width="8.0" style="1"/>
    <col min="7" max="7" customWidth="1" width="6.625" style="1"/>
    <col min="8" max="8" customWidth="1" width="7.875" style="1"/>
    <col min="9" max="9" customWidth="1" width="8.625" style="1"/>
    <col min="10" max="10" customWidth="1" width="7.375" style="1"/>
    <col min="11" max="16321" customWidth="1" width="11.6640625" style="1"/>
    <col min="16322" max="16322" customWidth="0" width="11.6640625" style="1"/>
    <col min="16323" max="16328" customWidth="0" width="11.0" style="1"/>
    <col min="16329" max="16384" customWidth="0" width="11.0" style="2"/>
  </cols>
  <sheetData>
    <row r="1" spans="8:8" s="1" ht="24.0" customFormat="1" customHeight="1">
      <c r="A1" s="3" t="s">
        <v>0</v>
      </c>
      <c r="B1" s="3"/>
      <c r="C1" s="3"/>
      <c r="D1" s="3"/>
      <c r="E1" s="22"/>
      <c r="F1" s="3"/>
      <c r="G1" s="3"/>
      <c r="H1" s="3"/>
      <c r="I1" s="3"/>
      <c r="J1" s="3"/>
    </row>
    <row r="2" spans="8:8" s="1" ht="8.0" customFormat="1" customHeight="1">
      <c r="A2" s="3"/>
      <c r="B2" s="3"/>
      <c r="C2" s="3"/>
      <c r="D2" s="3"/>
      <c r="E2" s="22"/>
      <c r="F2" s="3"/>
      <c r="G2" s="3"/>
      <c r="H2" s="3"/>
      <c r="I2" s="3"/>
      <c r="J2" s="3"/>
    </row>
    <row r="3" spans="8:8" s="1" ht="18.0" customFormat="1" customHeight="1">
      <c r="A3" s="1" t="s">
        <v>1</v>
      </c>
      <c r="B3" s="1" t="s">
        <v>2</v>
      </c>
      <c r="E3" s="21"/>
    </row>
    <row r="4" spans="8:8" s="1" ht="18.0" customFormat="1" customHeight="1">
      <c r="A4" s="1" t="s">
        <v>3</v>
      </c>
      <c r="B4" s="4">
        <v>45251.0</v>
      </c>
      <c r="C4" s="4"/>
      <c r="D4" s="5"/>
      <c r="E4" s="23"/>
      <c r="F4" s="5"/>
      <c r="G4" s="5"/>
      <c r="H4" s="4"/>
      <c r="I4" s="4"/>
      <c r="J4" s="4"/>
    </row>
    <row r="5" spans="8:8" s="1" ht="18.0" customFormat="1" customHeight="1">
      <c r="A5" s="6" t="s">
        <v>4</v>
      </c>
      <c r="B5" s="6" t="s">
        <v>5</v>
      </c>
      <c r="C5" s="6" t="s">
        <v>6</v>
      </c>
      <c r="D5" s="6" t="s">
        <v>7</v>
      </c>
      <c r="E5" s="7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</row>
    <row r="6" spans="8:8" s="1" ht="16.0" customFormat="1" customHeight="1">
      <c r="A6" s="6">
        <v>1.0</v>
      </c>
      <c r="B6" s="6" t="s">
        <v>14</v>
      </c>
      <c r="C6" s="6"/>
      <c r="D6" s="7" t="s">
        <v>15</v>
      </c>
      <c r="E6" s="7">
        <v>4.0</v>
      </c>
      <c r="F6" s="8">
        <f t="shared" si="0" ref="F6:F29">H6/0.85</f>
        <v>3.5294117647058822</v>
      </c>
      <c r="G6" s="9">
        <f t="shared" si="1" ref="G6:G29">H6/F6</f>
        <v>0.85</v>
      </c>
      <c r="H6" s="10">
        <v>3.0</v>
      </c>
      <c r="I6" s="10">
        <f t="shared" si="2" ref="I6:I29">E6*H6</f>
        <v>12.0</v>
      </c>
      <c r="J6" s="6"/>
    </row>
    <row r="7" spans="8:8" s="1" ht="16.0" customFormat="1" customHeight="1">
      <c r="A7" s="6">
        <v>2.0</v>
      </c>
      <c r="B7" s="6" t="s">
        <v>16</v>
      </c>
      <c r="C7" s="6"/>
      <c r="D7" s="7" t="s">
        <v>15</v>
      </c>
      <c r="E7" s="7">
        <v>5.0</v>
      </c>
      <c r="F7" s="8">
        <f t="shared" si="0"/>
        <v>4.11764705882353</v>
      </c>
      <c r="G7" s="9">
        <f t="shared" si="1"/>
        <v>0.8499999999999999</v>
      </c>
      <c r="H7" s="10">
        <v>3.5</v>
      </c>
      <c r="I7" s="10">
        <f t="shared" si="2"/>
        <v>17.5</v>
      </c>
      <c r="J7" s="6"/>
    </row>
    <row r="8" spans="8:8" s="1" ht="16.0" customFormat="1" customHeight="1">
      <c r="A8" s="6">
        <v>3.0</v>
      </c>
      <c r="B8" s="6" t="s">
        <v>17</v>
      </c>
      <c r="C8" s="6"/>
      <c r="D8" s="7" t="s">
        <v>15</v>
      </c>
      <c r="E8" s="7">
        <v>4.0</v>
      </c>
      <c r="F8" s="8">
        <f t="shared" si="0"/>
        <v>4.11764705882353</v>
      </c>
      <c r="G8" s="9">
        <f t="shared" si="1"/>
        <v>0.8499999999999999</v>
      </c>
      <c r="H8" s="10">
        <v>3.5</v>
      </c>
      <c r="I8" s="10">
        <f t="shared" si="2"/>
        <v>14.0</v>
      </c>
      <c r="J8" s="6"/>
    </row>
    <row r="9" spans="8:8" s="1" ht="16.0" customFormat="1" customHeight="1">
      <c r="A9" s="6">
        <v>4.0</v>
      </c>
      <c r="B9" s="11" t="s">
        <v>41</v>
      </c>
      <c r="C9" s="11"/>
      <c r="D9" s="7" t="s">
        <v>15</v>
      </c>
      <c r="E9" s="7">
        <v>1.0</v>
      </c>
      <c r="F9" s="8">
        <f t="shared" si="0"/>
        <v>8.0</v>
      </c>
      <c r="G9" s="9">
        <f t="shared" si="1"/>
        <v>0.85</v>
      </c>
      <c r="H9" s="10">
        <v>6.8</v>
      </c>
      <c r="I9" s="10">
        <f t="shared" si="2"/>
        <v>6.8</v>
      </c>
      <c r="J9" s="6"/>
    </row>
    <row r="10" spans="8:8" s="1" ht="16.0" customFormat="1" customHeight="1">
      <c r="A10" s="6">
        <v>5.0</v>
      </c>
      <c r="B10" s="6" t="s">
        <v>42</v>
      </c>
      <c r="C10" s="6"/>
      <c r="D10" s="7" t="s">
        <v>15</v>
      </c>
      <c r="E10" s="7">
        <v>7.0</v>
      </c>
      <c r="F10" s="8">
        <f t="shared" si="0"/>
        <v>21.176470588235293</v>
      </c>
      <c r="G10" s="9">
        <f t="shared" si="1"/>
        <v>0.85</v>
      </c>
      <c r="H10" s="10">
        <v>18.0</v>
      </c>
      <c r="I10" s="10">
        <f t="shared" si="2"/>
        <v>126.0</v>
      </c>
      <c r="J10" s="6"/>
    </row>
    <row r="11" spans="8:8" s="1" ht="16.0" customFormat="1" customHeight="1">
      <c r="A11" s="6">
        <v>6.0</v>
      </c>
      <c r="B11" s="6" t="s">
        <v>81</v>
      </c>
      <c r="C11" s="6"/>
      <c r="D11" s="7" t="s">
        <v>15</v>
      </c>
      <c r="E11" s="7">
        <v>10.0</v>
      </c>
      <c r="F11" s="8">
        <f t="shared" si="0"/>
        <v>4.11764705882353</v>
      </c>
      <c r="G11" s="9">
        <f t="shared" si="1"/>
        <v>0.8499999999999999</v>
      </c>
      <c r="H11" s="10">
        <v>3.5</v>
      </c>
      <c r="I11" s="10">
        <f t="shared" si="2"/>
        <v>35.0</v>
      </c>
      <c r="J11" s="6"/>
    </row>
    <row r="12" spans="8:8" s="1" ht="16.0" customFormat="1" customHeight="1">
      <c r="A12" s="6">
        <v>7.0</v>
      </c>
      <c r="B12" s="11" t="s">
        <v>102</v>
      </c>
      <c r="C12" s="11"/>
      <c r="D12" s="12" t="s">
        <v>15</v>
      </c>
      <c r="E12" s="12">
        <v>15.0</v>
      </c>
      <c r="F12" s="8">
        <f t="shared" si="0"/>
        <v>4.470588235294118</v>
      </c>
      <c r="G12" s="9">
        <f t="shared" si="1"/>
        <v>0.85</v>
      </c>
      <c r="H12" s="14">
        <v>3.8</v>
      </c>
      <c r="I12" s="10">
        <f t="shared" si="2"/>
        <v>57.0</v>
      </c>
      <c r="J12" s="11"/>
    </row>
    <row r="13" spans="8:8" s="1" ht="16.0" customFormat="1" customHeight="1">
      <c r="A13" s="6">
        <v>8.0</v>
      </c>
      <c r="B13" s="11" t="s">
        <v>63</v>
      </c>
      <c r="C13" s="11"/>
      <c r="D13" s="12" t="s">
        <v>15</v>
      </c>
      <c r="E13" s="12">
        <v>2.0</v>
      </c>
      <c r="F13" s="8">
        <f t="shared" si="0"/>
        <v>8.823529411764707</v>
      </c>
      <c r="G13" s="9">
        <f t="shared" si="1"/>
        <v>0.85</v>
      </c>
      <c r="H13" s="14">
        <v>7.5</v>
      </c>
      <c r="I13" s="10">
        <f t="shared" si="2"/>
        <v>15.0</v>
      </c>
      <c r="J13" s="11"/>
    </row>
    <row r="14" spans="8:8" s="1" ht="16.0" customFormat="1" customHeight="1">
      <c r="A14" s="6">
        <v>9.0</v>
      </c>
      <c r="B14" s="11" t="s">
        <v>158</v>
      </c>
      <c r="C14" s="11"/>
      <c r="D14" s="12" t="s">
        <v>15</v>
      </c>
      <c r="E14" s="12">
        <v>12.0</v>
      </c>
      <c r="F14" s="8">
        <f t="shared" si="0"/>
        <v>11.529411764705884</v>
      </c>
      <c r="G14" s="9">
        <f t="shared" si="1"/>
        <v>0.85</v>
      </c>
      <c r="H14" s="14">
        <v>9.8</v>
      </c>
      <c r="I14" s="10">
        <f t="shared" si="2"/>
        <v>117.60000000000001</v>
      </c>
      <c r="J14" s="11"/>
    </row>
    <row r="15" spans="8:8" s="1" ht="16.0" customFormat="1" customHeight="1">
      <c r="A15" s="6">
        <v>10.0</v>
      </c>
      <c r="B15" s="11" t="s">
        <v>64</v>
      </c>
      <c r="C15" s="11"/>
      <c r="D15" s="12" t="s">
        <v>15</v>
      </c>
      <c r="E15" s="12">
        <v>2.0</v>
      </c>
      <c r="F15" s="8">
        <f t="shared" si="0"/>
        <v>4.705882352941177</v>
      </c>
      <c r="G15" s="9">
        <f t="shared" si="1"/>
        <v>0.85</v>
      </c>
      <c r="H15" s="14">
        <v>4.0</v>
      </c>
      <c r="I15" s="10">
        <f t="shared" si="2"/>
        <v>8.0</v>
      </c>
      <c r="J15" s="11"/>
    </row>
    <row r="16" spans="8:8" s="1" ht="16.0" customFormat="1" customHeight="1">
      <c r="A16" s="6">
        <v>11.0</v>
      </c>
      <c r="B16" s="11" t="s">
        <v>25</v>
      </c>
      <c r="C16" s="11"/>
      <c r="D16" s="12" t="s">
        <v>15</v>
      </c>
      <c r="E16" s="12">
        <v>4.0</v>
      </c>
      <c r="F16" s="8">
        <f t="shared" si="0"/>
        <v>9.176470588235293</v>
      </c>
      <c r="G16" s="9">
        <f t="shared" si="1"/>
        <v>0.8500000000000001</v>
      </c>
      <c r="H16" s="14">
        <v>7.8</v>
      </c>
      <c r="I16" s="10">
        <f t="shared" si="2"/>
        <v>31.2</v>
      </c>
      <c r="J16" s="11"/>
    </row>
    <row r="17" spans="8:8" s="1" ht="16.0" customFormat="1" customHeight="1">
      <c r="A17" s="6">
        <v>12.0</v>
      </c>
      <c r="B17" s="11" t="s">
        <v>159</v>
      </c>
      <c r="C17" s="11"/>
      <c r="D17" s="12" t="s">
        <v>15</v>
      </c>
      <c r="E17" s="12">
        <v>13.0</v>
      </c>
      <c r="F17" s="8">
        <f t="shared" si="0"/>
        <v>5.647058823529412</v>
      </c>
      <c r="G17" s="9">
        <f t="shared" si="1"/>
        <v>0.8499999999999999</v>
      </c>
      <c r="H17" s="14">
        <v>4.8</v>
      </c>
      <c r="I17" s="10">
        <f t="shared" si="2"/>
        <v>62.4</v>
      </c>
      <c r="J17" s="11"/>
    </row>
    <row r="18" spans="8:8" s="1" ht="16.0" customFormat="1" customHeight="1">
      <c r="A18" s="6">
        <v>13.0</v>
      </c>
      <c r="B18" s="6" t="s">
        <v>160</v>
      </c>
      <c r="C18" s="6"/>
      <c r="D18" s="7" t="s">
        <v>15</v>
      </c>
      <c r="E18" s="7">
        <v>1.0</v>
      </c>
      <c r="F18" s="8">
        <f t="shared" si="0"/>
        <v>9.411764705882353</v>
      </c>
      <c r="G18" s="9">
        <f t="shared" si="1"/>
        <v>0.85</v>
      </c>
      <c r="H18" s="14">
        <v>8.0</v>
      </c>
      <c r="I18" s="10">
        <f t="shared" si="2"/>
        <v>8.0</v>
      </c>
      <c r="J18" s="6"/>
    </row>
    <row r="19" spans="8:8" s="1" ht="16.0" customFormat="1" customHeight="1">
      <c r="A19" s="6">
        <v>14.0</v>
      </c>
      <c r="B19" s="11" t="s">
        <v>161</v>
      </c>
      <c r="C19" s="11"/>
      <c r="D19" s="11" t="s">
        <v>15</v>
      </c>
      <c r="E19" s="12">
        <v>19.6</v>
      </c>
      <c r="F19" s="8">
        <f t="shared" si="0"/>
        <v>5.294117647058823</v>
      </c>
      <c r="G19" s="9">
        <f t="shared" si="1"/>
        <v>0.85</v>
      </c>
      <c r="H19" s="14">
        <v>4.5</v>
      </c>
      <c r="I19" s="10">
        <f t="shared" si="2"/>
        <v>88.2</v>
      </c>
      <c r="J19" s="11"/>
    </row>
    <row r="20" spans="8:8" s="1" ht="16.0" customFormat="1" customHeight="1">
      <c r="A20" s="6">
        <v>15.0</v>
      </c>
      <c r="B20" s="6" t="s">
        <v>47</v>
      </c>
      <c r="C20" s="6"/>
      <c r="D20" s="6" t="s">
        <v>15</v>
      </c>
      <c r="E20" s="7">
        <v>16.5</v>
      </c>
      <c r="F20" s="8">
        <f t="shared" si="3" ref="F20:F26">H20/0.85</f>
        <v>17.411764705882355</v>
      </c>
      <c r="G20" s="9">
        <f t="shared" si="4" ref="G20:G26">H20/F20</f>
        <v>0.85</v>
      </c>
      <c r="H20" s="14">
        <v>14.8</v>
      </c>
      <c r="I20" s="10">
        <f t="shared" si="5" ref="I20:I26">E20*H20</f>
        <v>244.20000000000002</v>
      </c>
      <c r="J20" s="6"/>
    </row>
    <row r="21" spans="8:8" s="1" ht="16.0" customFormat="1" customHeight="1">
      <c r="A21" s="6">
        <v>16.0</v>
      </c>
      <c r="B21" s="6" t="s">
        <v>118</v>
      </c>
      <c r="C21" s="6"/>
      <c r="D21" s="6" t="s">
        <v>15</v>
      </c>
      <c r="E21" s="7">
        <v>13.5</v>
      </c>
      <c r="F21" s="8">
        <f t="shared" si="3"/>
        <v>16.23529411764706</v>
      </c>
      <c r="G21" s="9">
        <f t="shared" si="4"/>
        <v>0.8499999999999999</v>
      </c>
      <c r="H21" s="14">
        <v>13.8</v>
      </c>
      <c r="I21" s="10">
        <f t="shared" si="5"/>
        <v>186.3</v>
      </c>
      <c r="J21" s="6"/>
    </row>
    <row r="22" spans="8:8" s="1" ht="16.0" customFormat="1" customHeight="1">
      <c r="A22" s="6">
        <v>17.0</v>
      </c>
      <c r="B22" s="6" t="s">
        <v>162</v>
      </c>
      <c r="C22" s="6" t="s">
        <v>59</v>
      </c>
      <c r="D22" s="6" t="s">
        <v>15</v>
      </c>
      <c r="E22" s="7">
        <v>5.0</v>
      </c>
      <c r="F22" s="8">
        <f t="shared" si="3"/>
        <v>18.823529411764707</v>
      </c>
      <c r="G22" s="9">
        <f t="shared" si="4"/>
        <v>0.85</v>
      </c>
      <c r="H22" s="14">
        <v>16.0</v>
      </c>
      <c r="I22" s="10">
        <f t="shared" si="5"/>
        <v>80.0</v>
      </c>
      <c r="J22" s="6"/>
    </row>
    <row r="23" spans="8:8" s="1" ht="16.0" customFormat="1" customHeight="1">
      <c r="A23" s="6">
        <v>18.0</v>
      </c>
      <c r="B23" s="6" t="s">
        <v>163</v>
      </c>
      <c r="C23" s="6" t="s">
        <v>59</v>
      </c>
      <c r="D23" s="6" t="s">
        <v>15</v>
      </c>
      <c r="E23" s="7">
        <v>5.0</v>
      </c>
      <c r="F23" s="8">
        <f t="shared" si="3"/>
        <v>30.58823529411765</v>
      </c>
      <c r="G23" s="9">
        <f t="shared" si="4"/>
        <v>0.85</v>
      </c>
      <c r="H23" s="14">
        <v>26.0</v>
      </c>
      <c r="I23" s="10">
        <f t="shared" si="5"/>
        <v>130.0</v>
      </c>
      <c r="J23" s="6"/>
    </row>
    <row r="24" spans="8:8" s="1" ht="18.0" customFormat="1" customHeight="1">
      <c r="A24" s="6">
        <v>19.0</v>
      </c>
      <c r="B24" s="8" t="s">
        <v>164</v>
      </c>
      <c r="C24" s="8"/>
      <c r="D24" s="8" t="s">
        <v>15</v>
      </c>
      <c r="E24" s="7">
        <v>4.0</v>
      </c>
      <c r="F24" s="8">
        <f t="shared" si="3"/>
        <v>8.823529411764707</v>
      </c>
      <c r="G24" s="9">
        <f t="shared" si="4"/>
        <v>0.85</v>
      </c>
      <c r="H24" s="14">
        <v>7.5</v>
      </c>
      <c r="I24" s="10">
        <f t="shared" si="5"/>
        <v>30.0</v>
      </c>
      <c r="J24" s="8"/>
    </row>
    <row r="25" spans="8:8" s="1" ht="18.0" customFormat="1" customHeight="1">
      <c r="A25" s="6">
        <v>20.0</v>
      </c>
      <c r="B25" s="8" t="s">
        <v>165</v>
      </c>
      <c r="C25" s="8" t="s">
        <v>166</v>
      </c>
      <c r="D25" s="8" t="s">
        <v>32</v>
      </c>
      <c r="E25" s="7">
        <v>3.0</v>
      </c>
      <c r="F25" s="8">
        <v>141.176470588235</v>
      </c>
      <c r="G25" s="9">
        <v>0.85</v>
      </c>
      <c r="H25" s="14">
        <v>120.0</v>
      </c>
      <c r="I25" s="10">
        <f t="shared" si="5"/>
        <v>360.0</v>
      </c>
      <c r="J25" s="8"/>
    </row>
    <row r="26" spans="8:8" s="1" ht="18.0" customFormat="1" customHeight="1">
      <c r="A26" s="6">
        <v>21.0</v>
      </c>
      <c r="B26" s="8" t="s">
        <v>80</v>
      </c>
      <c r="C26" s="8"/>
      <c r="D26" s="8" t="s">
        <v>15</v>
      </c>
      <c r="E26" s="7">
        <v>5.0</v>
      </c>
      <c r="F26" s="8">
        <f t="shared" si="3"/>
        <v>103.52941176470588</v>
      </c>
      <c r="G26" s="9">
        <f t="shared" si="4"/>
        <v>0.85</v>
      </c>
      <c r="H26" s="14">
        <v>88.0</v>
      </c>
      <c r="I26" s="10">
        <f t="shared" si="5"/>
        <v>440.0</v>
      </c>
      <c r="J26" s="8"/>
    </row>
    <row r="27" spans="8:8" s="1" ht="18.0" customFormat="1" customHeight="1">
      <c r="A27" s="6">
        <v>22.0</v>
      </c>
      <c r="B27" s="8"/>
      <c r="C27" s="8"/>
      <c r="D27" s="8"/>
      <c r="E27" s="7"/>
      <c r="F27" s="8"/>
      <c r="G27" s="9"/>
      <c r="H27" s="14"/>
      <c r="I27" s="10"/>
      <c r="J27" s="8"/>
    </row>
    <row r="28" spans="8:8" s="1" ht="18.0" customFormat="1" customHeight="1">
      <c r="A28" s="6">
        <v>23.0</v>
      </c>
      <c r="B28" s="8"/>
      <c r="C28" s="8"/>
      <c r="D28" s="8"/>
      <c r="E28" s="7"/>
      <c r="F28" s="8"/>
      <c r="G28" s="9"/>
      <c r="H28" s="14"/>
      <c r="I28" s="10"/>
      <c r="J28" s="8"/>
    </row>
    <row r="29" spans="8:8" s="1" ht="18.0" customFormat="1" customHeight="1">
      <c r="A29" s="6">
        <v>24.0</v>
      </c>
      <c r="B29" s="8"/>
      <c r="C29" s="8"/>
      <c r="D29" s="8"/>
      <c r="E29" s="7"/>
      <c r="F29" s="8"/>
      <c r="G29" s="9"/>
      <c r="H29" s="14"/>
      <c r="I29" s="10"/>
      <c r="J29" s="8"/>
    </row>
    <row r="30" spans="8:8" s="1" ht="18.0" customFormat="1" customHeight="1">
      <c r="A30" s="6">
        <v>25.0</v>
      </c>
      <c r="B30" s="8"/>
      <c r="C30" s="8"/>
      <c r="D30" s="8"/>
      <c r="E30" s="7"/>
      <c r="F30" s="8"/>
      <c r="G30" s="9"/>
      <c r="H30" s="14"/>
      <c r="I30" s="10"/>
      <c r="J30" s="8"/>
    </row>
    <row r="31" spans="8:8" s="1" ht="18.0" customFormat="1" customHeight="1">
      <c r="A31" s="6">
        <v>26.0</v>
      </c>
      <c r="B31" s="8"/>
      <c r="C31" s="8"/>
      <c r="D31" s="8"/>
      <c r="E31" s="7"/>
      <c r="F31" s="8"/>
      <c r="G31" s="9"/>
      <c r="H31" s="14"/>
      <c r="I31" s="10"/>
      <c r="J31" s="8"/>
    </row>
    <row r="32" spans="8:8" s="1" ht="18.0" customFormat="1" customHeight="1">
      <c r="A32" s="6">
        <v>27.0</v>
      </c>
      <c r="B32" s="8"/>
      <c r="C32" s="8"/>
      <c r="D32" s="8"/>
      <c r="E32" s="7"/>
      <c r="F32" s="8"/>
      <c r="G32" s="9"/>
      <c r="H32" s="14"/>
      <c r="I32" s="10"/>
      <c r="J32" s="8"/>
    </row>
    <row r="33" spans="8:8" s="1" ht="18.0" customFormat="1" customHeight="1">
      <c r="A33" s="6">
        <v>28.0</v>
      </c>
      <c r="B33" s="8"/>
      <c r="C33" s="8"/>
      <c r="D33" s="8"/>
      <c r="E33" s="7"/>
      <c r="F33" s="8"/>
      <c r="G33" s="8"/>
      <c r="H33" s="8"/>
      <c r="I33" s="8"/>
      <c r="J33" s="8"/>
    </row>
    <row r="34" spans="8:8" s="1" ht="18.0" customFormat="1" customHeight="1">
      <c r="A34" s="6" t="s">
        <v>37</v>
      </c>
      <c r="B34" s="15">
        <f>SUM(I6:I33)</f>
        <v>2069.2</v>
      </c>
      <c r="C34" s="16"/>
      <c r="D34" s="16"/>
      <c r="E34" s="24"/>
      <c r="F34" s="16"/>
      <c r="G34" s="16"/>
      <c r="H34" s="16"/>
      <c r="I34" s="16"/>
      <c r="J34" s="17"/>
    </row>
    <row r="35" spans="8:8" s="1" ht="18.0" customFormat="1" customHeight="1">
      <c r="A35" s="6" t="s">
        <v>38</v>
      </c>
      <c r="B35" s="18">
        <f>B34</f>
        <v>2069.2</v>
      </c>
      <c r="C35" s="19"/>
      <c r="D35" s="19"/>
      <c r="E35" s="24"/>
      <c r="F35" s="19"/>
      <c r="G35" s="19"/>
      <c r="H35" s="19"/>
      <c r="I35" s="19"/>
      <c r="J35" s="20"/>
    </row>
    <row r="36" spans="8:8" s="1" ht="18.0" customFormat="1" customHeight="1">
      <c r="A36" s="1" t="s">
        <v>39</v>
      </c>
      <c r="E36" s="21"/>
    </row>
  </sheetData>
  <mergeCells count="4">
    <mergeCell ref="A1:J1"/>
    <mergeCell ref="B34:J34"/>
    <mergeCell ref="B35:J35"/>
    <mergeCell ref="A36:J36"/>
  </mergeCells>
  <conditionalFormatting sqref="B6:C18">
    <cfRule type="duplicateValues" priority="3" dxfId="35"/>
  </conditionalFormatting>
  <conditionalFormatting sqref="B6:B33">
    <cfRule type="duplicateValues" priority="2" dxfId="36"/>
  </conditionalFormatting>
  <conditionalFormatting sqref="B1:B33 B36:B1048576">
    <cfRule type="duplicateValues" priority="1" dxfId="37"/>
  </conditionalFormatting>
  <pageMargins left="0.751388888888889" right="0.751388888888889" top="0.409027777777778" bottom="0.2125" header="0.5" footer="0.5"/>
  <pageSetup paperSize="9" scale="96"/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35"/>
  <sheetViews>
    <sheetView workbookViewId="0" topLeftCell="A14">
      <selection activeCell="I14" sqref="I1:I1048576"/>
    </sheetView>
  </sheetViews>
  <sheetFormatPr defaultRowHeight="18.0" customHeight="1" defaultColWidth="11"/>
  <cols>
    <col min="1" max="1" customWidth="1" width="9.125" style="1"/>
    <col min="2" max="2" customWidth="1" width="19.25" style="1"/>
    <col min="3" max="3" customWidth="1" width="11.375" style="1"/>
    <col min="4" max="4" customWidth="1" width="5.9414062" style="1"/>
    <col min="5" max="5" customWidth="1" width="5.25" style="21"/>
    <col min="6" max="6" customWidth="1" width="8.0" style="1"/>
    <col min="7" max="7" customWidth="1" width="6.625" style="1"/>
    <col min="8" max="8" customWidth="1" width="7.875" style="1"/>
    <col min="9" max="9" customWidth="1" width="8.625" style="1"/>
    <col min="10" max="10" customWidth="1" width="7.375" style="1"/>
    <col min="11" max="16297" customWidth="1" width="11.6640625" style="1"/>
    <col min="16298" max="16298" customWidth="0" width="11.6640625" style="1"/>
    <col min="16299" max="16304" customWidth="0" width="11.0" style="1"/>
    <col min="16305" max="16384" customWidth="0" width="11.0" style="2"/>
  </cols>
  <sheetData>
    <row r="1" spans="8:8" s="1" ht="24.0" customFormat="1" customHeight="1">
      <c r="A1" s="3" t="s">
        <v>0</v>
      </c>
      <c r="B1" s="3"/>
      <c r="C1" s="3"/>
      <c r="D1" s="3"/>
      <c r="E1" s="22"/>
      <c r="F1" s="3"/>
      <c r="G1" s="3"/>
      <c r="H1" s="3"/>
      <c r="I1" s="3"/>
      <c r="J1" s="3"/>
    </row>
    <row r="2" spans="8:8" s="1" ht="8.0" customFormat="1" customHeight="1">
      <c r="A2" s="3"/>
      <c r="B2" s="3"/>
      <c r="C2" s="3"/>
      <c r="D2" s="3"/>
      <c r="E2" s="22"/>
      <c r="F2" s="3"/>
      <c r="G2" s="3"/>
      <c r="H2" s="3"/>
      <c r="I2" s="3"/>
      <c r="J2" s="3"/>
    </row>
    <row r="3" spans="8:8" s="1" ht="18.0" customFormat="1" customHeight="1">
      <c r="A3" s="1" t="s">
        <v>1</v>
      </c>
      <c r="B3" s="1" t="s">
        <v>2</v>
      </c>
      <c r="E3" s="21"/>
    </row>
    <row r="4" spans="8:8" s="1" ht="18.0" customFormat="1" customHeight="1">
      <c r="A4" s="1" t="s">
        <v>3</v>
      </c>
      <c r="B4" s="4">
        <v>45252.0</v>
      </c>
      <c r="C4" s="4"/>
      <c r="D4" s="5"/>
      <c r="E4" s="23"/>
      <c r="F4" s="5"/>
      <c r="G4" s="5"/>
      <c r="H4" s="4"/>
      <c r="I4" s="4"/>
      <c r="J4" s="4"/>
    </row>
    <row r="5" spans="8:8" s="1" ht="18.0" customFormat="1" customHeight="1">
      <c r="A5" s="6" t="s">
        <v>4</v>
      </c>
      <c r="B5" s="6" t="s">
        <v>5</v>
      </c>
      <c r="C5" s="6" t="s">
        <v>6</v>
      </c>
      <c r="D5" s="6" t="s">
        <v>7</v>
      </c>
      <c r="E5" s="7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</row>
    <row r="6" spans="8:8" s="1" ht="16.0" customFormat="1" customHeight="1">
      <c r="A6" s="6">
        <v>1.0</v>
      </c>
      <c r="B6" s="6" t="s">
        <v>14</v>
      </c>
      <c r="C6" s="6"/>
      <c r="D6" s="7" t="s">
        <v>15</v>
      </c>
      <c r="E6" s="7">
        <v>2.0</v>
      </c>
      <c r="F6" s="8">
        <f t="shared" si="0" ref="F6:F28">H6/0.85</f>
        <v>3.5294117647058822</v>
      </c>
      <c r="G6" s="9">
        <f t="shared" si="1" ref="G6:G28">H6/F6</f>
        <v>0.85</v>
      </c>
      <c r="H6" s="10">
        <v>3.0</v>
      </c>
      <c r="I6" s="10">
        <f t="shared" si="2" ref="I6:I28">E6*H6</f>
        <v>6.0</v>
      </c>
      <c r="J6" s="6"/>
    </row>
    <row r="7" spans="8:8" s="1" ht="16.0" customFormat="1" customHeight="1">
      <c r="A7" s="6">
        <v>2.0</v>
      </c>
      <c r="B7" s="6" t="s">
        <v>58</v>
      </c>
      <c r="C7" s="6" t="s">
        <v>59</v>
      </c>
      <c r="D7" s="7" t="s">
        <v>15</v>
      </c>
      <c r="E7" s="7">
        <v>6.0</v>
      </c>
      <c r="F7" s="8">
        <f t="shared" si="0"/>
        <v>4.11764705882353</v>
      </c>
      <c r="G7" s="9">
        <f t="shared" si="1"/>
        <v>0.8499999999999999</v>
      </c>
      <c r="H7" s="10">
        <v>3.5</v>
      </c>
      <c r="I7" s="10">
        <f t="shared" si="2"/>
        <v>21.0</v>
      </c>
      <c r="J7" s="6"/>
    </row>
    <row r="8" spans="8:8" s="1" ht="16.0" customFormat="1" customHeight="1">
      <c r="A8" s="6">
        <v>3.0</v>
      </c>
      <c r="B8" s="6" t="s">
        <v>60</v>
      </c>
      <c r="C8" s="6"/>
      <c r="D8" s="7" t="s">
        <v>15</v>
      </c>
      <c r="E8" s="7">
        <v>1.0</v>
      </c>
      <c r="F8" s="8">
        <f t="shared" si="0"/>
        <v>4.11764705882353</v>
      </c>
      <c r="G8" s="9">
        <f t="shared" si="1"/>
        <v>0.8499999999999999</v>
      </c>
      <c r="H8" s="10">
        <v>3.5</v>
      </c>
      <c r="I8" s="10">
        <f t="shared" si="2"/>
        <v>3.5</v>
      </c>
      <c r="J8" s="6"/>
    </row>
    <row r="9" spans="8:8" s="1" ht="16.0" customFormat="1" customHeight="1">
      <c r="A9" s="6">
        <v>4.0</v>
      </c>
      <c r="B9" s="11" t="s">
        <v>17</v>
      </c>
      <c r="C9" s="11"/>
      <c r="D9" s="7" t="s">
        <v>15</v>
      </c>
      <c r="E9" s="7">
        <v>5.0</v>
      </c>
      <c r="F9" s="8">
        <f t="shared" si="0"/>
        <v>4.11764705882353</v>
      </c>
      <c r="G9" s="9">
        <f t="shared" si="1"/>
        <v>0.8499999999999999</v>
      </c>
      <c r="H9" s="10">
        <v>3.5</v>
      </c>
      <c r="I9" s="10">
        <f t="shared" si="2"/>
        <v>17.5</v>
      </c>
      <c r="J9" s="6"/>
    </row>
    <row r="10" spans="8:8" s="1" ht="16.0" customFormat="1" customHeight="1">
      <c r="A10" s="6">
        <v>5.0</v>
      </c>
      <c r="B10" s="6" t="s">
        <v>167</v>
      </c>
      <c r="C10" s="6"/>
      <c r="D10" s="7" t="s">
        <v>15</v>
      </c>
      <c r="E10" s="7">
        <v>7.0</v>
      </c>
      <c r="F10" s="8">
        <f t="shared" si="0"/>
        <v>2.9411764705882355</v>
      </c>
      <c r="G10" s="9">
        <f t="shared" si="1"/>
        <v>0.85</v>
      </c>
      <c r="H10" s="10">
        <v>2.5</v>
      </c>
      <c r="I10" s="10">
        <f t="shared" si="2"/>
        <v>17.5</v>
      </c>
      <c r="J10" s="6"/>
    </row>
    <row r="11" spans="8:8" s="1" ht="16.0" customFormat="1" customHeight="1">
      <c r="A11" s="6">
        <v>6.0</v>
      </c>
      <c r="B11" s="6" t="s">
        <v>168</v>
      </c>
      <c r="C11" s="6"/>
      <c r="D11" s="7" t="s">
        <v>15</v>
      </c>
      <c r="E11" s="7">
        <v>13.0</v>
      </c>
      <c r="F11" s="8">
        <f t="shared" si="0"/>
        <v>6.823529411764706</v>
      </c>
      <c r="G11" s="9">
        <f t="shared" si="1"/>
        <v>0.85</v>
      </c>
      <c r="H11" s="10">
        <v>5.8</v>
      </c>
      <c r="I11" s="10">
        <f t="shared" si="2"/>
        <v>75.39999999999999</v>
      </c>
      <c r="J11" s="6"/>
    </row>
    <row r="12" spans="8:8" s="1" ht="16.0" customFormat="1" customHeight="1">
      <c r="A12" s="6">
        <v>7.0</v>
      </c>
      <c r="B12" s="11" t="s">
        <v>72</v>
      </c>
      <c r="C12" s="11"/>
      <c r="D12" s="12" t="s">
        <v>15</v>
      </c>
      <c r="E12" s="12">
        <v>4.0</v>
      </c>
      <c r="F12" s="8">
        <f t="shared" si="0"/>
        <v>9.176470588235293</v>
      </c>
      <c r="G12" s="9">
        <f t="shared" si="1"/>
        <v>0.8500000000000001</v>
      </c>
      <c r="H12" s="10">
        <v>7.8</v>
      </c>
      <c r="I12" s="10">
        <f t="shared" si="2"/>
        <v>31.2</v>
      </c>
      <c r="J12" s="11"/>
    </row>
    <row r="13" spans="8:8" s="1" ht="16.0" customFormat="1" customHeight="1">
      <c r="A13" s="6">
        <v>8.0</v>
      </c>
      <c r="B13" s="11" t="s">
        <v>102</v>
      </c>
      <c r="C13" s="11"/>
      <c r="D13" s="12" t="s">
        <v>15</v>
      </c>
      <c r="E13" s="12">
        <v>8.0</v>
      </c>
      <c r="F13" s="8">
        <f t="shared" si="0"/>
        <v>4.470588235294118</v>
      </c>
      <c r="G13" s="9">
        <f t="shared" si="1"/>
        <v>0.85</v>
      </c>
      <c r="H13" s="10">
        <v>3.8</v>
      </c>
      <c r="I13" s="10">
        <f t="shared" si="2"/>
        <v>30.4</v>
      </c>
      <c r="J13" s="11"/>
    </row>
    <row r="14" spans="8:8" s="1" ht="16.0" customFormat="1" customHeight="1">
      <c r="A14" s="6">
        <v>9.0</v>
      </c>
      <c r="B14" s="11" t="s">
        <v>63</v>
      </c>
      <c r="C14" s="11"/>
      <c r="D14" s="12" t="s">
        <v>15</v>
      </c>
      <c r="E14" s="12">
        <v>2.0</v>
      </c>
      <c r="F14" s="8">
        <f t="shared" si="0"/>
        <v>8.823529411764707</v>
      </c>
      <c r="G14" s="9">
        <f t="shared" si="1"/>
        <v>0.85</v>
      </c>
      <c r="H14" s="10">
        <v>7.5</v>
      </c>
      <c r="I14" s="10">
        <f t="shared" si="2"/>
        <v>15.0</v>
      </c>
      <c r="J14" s="11"/>
    </row>
    <row r="15" spans="8:8" s="1" ht="16.0" customFormat="1" customHeight="1">
      <c r="A15" s="6">
        <v>10.0</v>
      </c>
      <c r="B15" s="11" t="s">
        <v>158</v>
      </c>
      <c r="C15" s="11"/>
      <c r="D15" s="12" t="s">
        <v>15</v>
      </c>
      <c r="E15" s="12">
        <v>2.0</v>
      </c>
      <c r="F15" s="8">
        <f t="shared" si="0"/>
        <v>11.529411764705884</v>
      </c>
      <c r="G15" s="9">
        <f t="shared" si="1"/>
        <v>0.85</v>
      </c>
      <c r="H15" s="10">
        <v>9.8</v>
      </c>
      <c r="I15" s="10">
        <f t="shared" si="2"/>
        <v>19.6</v>
      </c>
      <c r="J15" s="11"/>
    </row>
    <row r="16" spans="8:8" s="1" ht="16.0" customFormat="1" customHeight="1">
      <c r="A16" s="6">
        <v>11.0</v>
      </c>
      <c r="B16" s="11" t="s">
        <v>22</v>
      </c>
      <c r="C16" s="11"/>
      <c r="D16" s="12" t="s">
        <v>23</v>
      </c>
      <c r="E16" s="12">
        <v>8.0</v>
      </c>
      <c r="F16" s="8">
        <f t="shared" si="0"/>
        <v>3.5294117647058822</v>
      </c>
      <c r="G16" s="9">
        <f t="shared" si="1"/>
        <v>0.85</v>
      </c>
      <c r="H16" s="10">
        <v>3.0</v>
      </c>
      <c r="I16" s="10">
        <f t="shared" si="2"/>
        <v>24.0</v>
      </c>
      <c r="J16" s="11"/>
    </row>
    <row r="17" spans="8:8" s="1" ht="16.0" customFormat="1" customHeight="1">
      <c r="A17" s="6">
        <v>12.0</v>
      </c>
      <c r="B17" s="11" t="s">
        <v>83</v>
      </c>
      <c r="C17" s="11" t="s">
        <v>84</v>
      </c>
      <c r="D17" s="12" t="s">
        <v>15</v>
      </c>
      <c r="E17" s="12">
        <v>18.0</v>
      </c>
      <c r="F17" s="8">
        <f t="shared" si="0"/>
        <v>10.352941176470589</v>
      </c>
      <c r="G17" s="9">
        <f t="shared" si="1"/>
        <v>0.85</v>
      </c>
      <c r="H17" s="10">
        <v>8.8</v>
      </c>
      <c r="I17" s="10">
        <f t="shared" si="2"/>
        <v>158.4</v>
      </c>
      <c r="J17" s="11"/>
    </row>
    <row r="18" spans="8:8" s="1" ht="16.0" customFormat="1" customHeight="1">
      <c r="A18" s="6">
        <v>13.0</v>
      </c>
      <c r="B18" s="6" t="s">
        <v>45</v>
      </c>
      <c r="C18" s="6"/>
      <c r="D18" s="6" t="s">
        <v>15</v>
      </c>
      <c r="E18" s="7">
        <v>13.0</v>
      </c>
      <c r="F18" s="8">
        <f t="shared" si="0"/>
        <v>5.294117647058823</v>
      </c>
      <c r="G18" s="9">
        <f t="shared" si="1"/>
        <v>0.85</v>
      </c>
      <c r="H18" s="10">
        <v>4.5</v>
      </c>
      <c r="I18" s="10">
        <f t="shared" si="2"/>
        <v>58.5</v>
      </c>
      <c r="J18" s="6"/>
    </row>
    <row r="19" spans="8:8" s="1" ht="16.0" customFormat="1" customHeight="1">
      <c r="A19" s="6">
        <v>14.0</v>
      </c>
      <c r="B19" s="6" t="s">
        <v>69</v>
      </c>
      <c r="C19" s="6"/>
      <c r="D19" s="6" t="s">
        <v>15</v>
      </c>
      <c r="E19" s="7">
        <v>6.0</v>
      </c>
      <c r="F19" s="8">
        <f t="shared" si="0"/>
        <v>23.529411764705884</v>
      </c>
      <c r="G19" s="9">
        <f t="shared" si="1"/>
        <v>0.85</v>
      </c>
      <c r="H19" s="10">
        <v>20.0</v>
      </c>
      <c r="I19" s="10">
        <f t="shared" si="2"/>
        <v>120.0</v>
      </c>
      <c r="J19" s="6"/>
    </row>
    <row r="20" spans="8:8" s="1" ht="16.0" customFormat="1" customHeight="1">
      <c r="A20" s="6">
        <v>15.0</v>
      </c>
      <c r="B20" s="6" t="s">
        <v>29</v>
      </c>
      <c r="C20" s="6"/>
      <c r="D20" s="6" t="s">
        <v>15</v>
      </c>
      <c r="E20" s="7">
        <v>8.0</v>
      </c>
      <c r="F20" s="8">
        <f t="shared" si="0"/>
        <v>32.94117647058824</v>
      </c>
      <c r="G20" s="9">
        <f t="shared" si="1"/>
        <v>0.8499999999999999</v>
      </c>
      <c r="H20" s="10">
        <v>28.0</v>
      </c>
      <c r="I20" s="10">
        <f t="shared" si="2"/>
        <v>224.0</v>
      </c>
      <c r="J20" s="6"/>
    </row>
    <row r="21" spans="8:8" s="1" ht="16.0" customFormat="1" customHeight="1">
      <c r="A21" s="6">
        <v>16.0</v>
      </c>
      <c r="B21" s="8" t="s">
        <v>128</v>
      </c>
      <c r="C21" s="8"/>
      <c r="D21" s="8" t="s">
        <v>15</v>
      </c>
      <c r="E21" s="7">
        <v>5.0</v>
      </c>
      <c r="F21" s="8">
        <f t="shared" si="0"/>
        <v>32.94117647058824</v>
      </c>
      <c r="G21" s="9">
        <f t="shared" si="1"/>
        <v>0.8499999999999999</v>
      </c>
      <c r="H21" s="10">
        <v>28.0</v>
      </c>
      <c r="I21" s="10">
        <f t="shared" si="2"/>
        <v>140.0</v>
      </c>
      <c r="J21" s="6"/>
    </row>
    <row r="22" spans="8:8" s="1" ht="18.0" customFormat="1" customHeight="1">
      <c r="A22" s="6">
        <v>17.0</v>
      </c>
      <c r="B22" s="8" t="s">
        <v>169</v>
      </c>
      <c r="C22" s="8"/>
      <c r="D22" s="8" t="s">
        <v>170</v>
      </c>
      <c r="E22" s="7">
        <v>13.0</v>
      </c>
      <c r="F22" s="8">
        <f t="shared" si="0"/>
        <v>41.1764705882353</v>
      </c>
      <c r="G22" s="9">
        <f t="shared" si="1"/>
        <v>0.85</v>
      </c>
      <c r="H22" s="10">
        <v>35.0</v>
      </c>
      <c r="I22" s="10">
        <f t="shared" si="2"/>
        <v>455.0</v>
      </c>
      <c r="J22" s="8"/>
    </row>
    <row r="23" spans="8:8" s="1" ht="18.0" customFormat="1" customHeight="1">
      <c r="A23" s="6">
        <v>18.0</v>
      </c>
      <c r="B23" s="8" t="s">
        <v>171</v>
      </c>
      <c r="C23" s="8" t="s">
        <v>172</v>
      </c>
      <c r="D23" s="8" t="s">
        <v>53</v>
      </c>
      <c r="E23" s="7">
        <v>2.0</v>
      </c>
      <c r="F23" s="8">
        <f t="shared" si="0"/>
        <v>23.529411764705884</v>
      </c>
      <c r="G23" s="9">
        <f t="shared" si="1"/>
        <v>0.85</v>
      </c>
      <c r="H23" s="10">
        <v>20.0</v>
      </c>
      <c r="I23" s="10">
        <f t="shared" si="2"/>
        <v>40.0</v>
      </c>
      <c r="J23" s="8"/>
    </row>
    <row r="24" spans="8:8" s="1" ht="18.0" customFormat="1" customHeight="1">
      <c r="A24" s="6">
        <v>19.0</v>
      </c>
      <c r="B24" s="8" t="s">
        <v>173</v>
      </c>
      <c r="C24" s="8" t="s">
        <v>59</v>
      </c>
      <c r="D24" s="8" t="s">
        <v>15</v>
      </c>
      <c r="E24" s="7">
        <v>10.0</v>
      </c>
      <c r="F24" s="8">
        <f t="shared" si="0"/>
        <v>14.117647058823529</v>
      </c>
      <c r="G24" s="9">
        <f t="shared" si="1"/>
        <v>0.85</v>
      </c>
      <c r="H24" s="10">
        <v>12.0</v>
      </c>
      <c r="I24" s="10">
        <f t="shared" si="2"/>
        <v>120.0</v>
      </c>
      <c r="J24" s="8"/>
    </row>
    <row r="25" spans="8:8" s="1" ht="18.0" customFormat="1" customHeight="1">
      <c r="A25" s="6">
        <v>20.0</v>
      </c>
      <c r="B25" s="8" t="s">
        <v>33</v>
      </c>
      <c r="C25" s="8" t="s">
        <v>34</v>
      </c>
      <c r="D25" s="8" t="s">
        <v>15</v>
      </c>
      <c r="E25" s="7">
        <v>4.0</v>
      </c>
      <c r="F25" s="8">
        <f t="shared" si="0"/>
        <v>5.764705882352942</v>
      </c>
      <c r="G25" s="9">
        <f t="shared" si="1"/>
        <v>0.85</v>
      </c>
      <c r="H25" s="10">
        <v>4.9</v>
      </c>
      <c r="I25" s="10">
        <f t="shared" si="2"/>
        <v>19.6</v>
      </c>
      <c r="J25" s="8"/>
    </row>
    <row r="26" spans="8:8" s="1" ht="18.0" customFormat="1" customHeight="1">
      <c r="A26" s="6">
        <v>21.0</v>
      </c>
      <c r="B26" s="8" t="s">
        <v>35</v>
      </c>
      <c r="C26" s="8"/>
      <c r="D26" s="8" t="s">
        <v>36</v>
      </c>
      <c r="E26" s="7">
        <v>58.0</v>
      </c>
      <c r="F26" s="8">
        <f t="shared" si="0"/>
        <v>4.11764705882353</v>
      </c>
      <c r="G26" s="9">
        <f t="shared" si="1"/>
        <v>0.8499999999999999</v>
      </c>
      <c r="H26" s="10">
        <v>3.5</v>
      </c>
      <c r="I26" s="10">
        <f t="shared" si="2"/>
        <v>203.0</v>
      </c>
      <c r="J26" s="8"/>
    </row>
    <row r="27" spans="8:8" s="1" ht="18.0" customFormat="1" customHeight="1">
      <c r="A27" s="6">
        <v>22.0</v>
      </c>
      <c r="B27" s="8" t="s">
        <v>80</v>
      </c>
      <c r="C27" s="8"/>
      <c r="D27" s="8" t="s">
        <v>15</v>
      </c>
      <c r="E27" s="7">
        <v>3.0</v>
      </c>
      <c r="F27" s="8">
        <f t="shared" si="0"/>
        <v>103.52941176470588</v>
      </c>
      <c r="G27" s="9">
        <f t="shared" si="1"/>
        <v>0.85</v>
      </c>
      <c r="H27" s="10">
        <v>88.0</v>
      </c>
      <c r="I27" s="10">
        <f t="shared" si="2"/>
        <v>264.0</v>
      </c>
      <c r="J27" s="8"/>
    </row>
    <row r="28" spans="8:8" s="1" ht="18.0" customFormat="1" customHeight="1">
      <c r="A28" s="6">
        <v>23.0</v>
      </c>
      <c r="B28" s="6"/>
      <c r="C28" s="6"/>
      <c r="D28" s="11"/>
      <c r="E28" s="7"/>
      <c r="F28" s="8"/>
      <c r="G28" s="9"/>
      <c r="H28" s="10"/>
      <c r="I28" s="10"/>
      <c r="J28" s="8"/>
    </row>
    <row r="29" spans="8:8" s="1" ht="18.0" customFormat="1" customHeight="1">
      <c r="A29" s="6">
        <v>24.0</v>
      </c>
      <c r="B29" s="6"/>
      <c r="C29" s="6"/>
      <c r="D29" s="11"/>
      <c r="E29" s="7"/>
      <c r="F29" s="8"/>
      <c r="G29" s="9"/>
      <c r="H29" s="10"/>
      <c r="I29" s="10"/>
      <c r="J29" s="8"/>
    </row>
    <row r="30" spans="8:8" s="1" ht="18.0" customFormat="1" customHeight="1">
      <c r="A30" s="6">
        <v>25.0</v>
      </c>
      <c r="B30" s="6"/>
      <c r="C30" s="6"/>
      <c r="D30" s="11"/>
      <c r="E30" s="7"/>
      <c r="F30" s="8"/>
      <c r="G30" s="9"/>
      <c r="H30" s="10"/>
      <c r="I30" s="10"/>
      <c r="J30" s="8"/>
    </row>
    <row r="31" spans="8:8" s="1" ht="18.0" customFormat="1" customHeight="1">
      <c r="A31" s="6">
        <v>26.0</v>
      </c>
      <c r="B31" s="6"/>
      <c r="C31" s="6"/>
      <c r="D31" s="11"/>
      <c r="E31" s="7"/>
      <c r="F31" s="8"/>
      <c r="G31" s="9"/>
      <c r="H31" s="10"/>
      <c r="I31" s="10"/>
      <c r="J31" s="8"/>
    </row>
    <row r="32" spans="8:8" s="1" ht="18.0" customFormat="1" customHeight="1">
      <c r="A32" s="6">
        <v>27.0</v>
      </c>
      <c r="B32" s="8"/>
      <c r="C32" s="8"/>
      <c r="D32" s="8"/>
      <c r="E32" s="7"/>
      <c r="F32" s="8"/>
      <c r="G32" s="9"/>
      <c r="H32" s="14"/>
      <c r="I32" s="10"/>
      <c r="J32" s="8"/>
    </row>
    <row r="33" spans="8:8" s="1" ht="18.0" customFormat="1" customHeight="1">
      <c r="A33" s="6" t="s">
        <v>37</v>
      </c>
      <c r="B33" s="15">
        <f>SUM(I6:I32)</f>
        <v>2063.6</v>
      </c>
      <c r="C33" s="16"/>
      <c r="D33" s="16"/>
      <c r="E33" s="24"/>
      <c r="F33" s="16"/>
      <c r="G33" s="16"/>
      <c r="H33" s="16"/>
      <c r="I33" s="16"/>
      <c r="J33" s="17"/>
    </row>
    <row r="34" spans="8:8" s="1" ht="18.0" customFormat="1" customHeight="1">
      <c r="A34" s="6" t="s">
        <v>38</v>
      </c>
      <c r="B34" s="18">
        <f>B33</f>
        <v>2063.6</v>
      </c>
      <c r="C34" s="19"/>
      <c r="D34" s="19"/>
      <c r="E34" s="24"/>
      <c r="F34" s="19"/>
      <c r="G34" s="19"/>
      <c r="H34" s="19"/>
      <c r="I34" s="19"/>
      <c r="J34" s="20"/>
    </row>
    <row r="35" spans="8:8" s="1" ht="18.0" customFormat="1" customHeight="1">
      <c r="A35" s="1" t="s">
        <v>39</v>
      </c>
      <c r="E35" s="21"/>
    </row>
  </sheetData>
  <mergeCells count="4">
    <mergeCell ref="A1:J1"/>
    <mergeCell ref="B33:J33"/>
    <mergeCell ref="B34:J34"/>
    <mergeCell ref="A35:J35"/>
  </mergeCells>
  <conditionalFormatting sqref="B1:B32 B35:B1048576">
    <cfRule type="duplicateValues" priority="1" dxfId="38"/>
  </conditionalFormatting>
  <conditionalFormatting sqref="B6:B32">
    <cfRule type="duplicateValues" priority="2" dxfId="39"/>
  </conditionalFormatting>
  <conditionalFormatting sqref="B6:C17">
    <cfRule type="duplicateValues" priority="3" dxfId="40"/>
  </conditionalFormatting>
  <pageMargins left="0.751388888888889" right="0.751388888888889" top="0.409027777777778" bottom="0.2125" header="0.5" footer="0.5"/>
  <pageSetup paperSize="9" scale="96"/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35"/>
  <sheetViews>
    <sheetView workbookViewId="0" topLeftCell="A15">
      <selection activeCell="I15" sqref="I1:I1048576"/>
    </sheetView>
  </sheetViews>
  <sheetFormatPr defaultRowHeight="18.0" customHeight="1" defaultColWidth="11"/>
  <cols>
    <col min="1" max="1" customWidth="1" width="9.125" style="1"/>
    <col min="2" max="2" customWidth="1" width="19.25" style="1"/>
    <col min="3" max="3" customWidth="1" width="11.375" style="1"/>
    <col min="4" max="4" customWidth="1" width="5.9414062" style="1"/>
    <col min="5" max="5" customWidth="1" width="5.25" style="21"/>
    <col min="6" max="6" customWidth="1" width="8.0" style="1"/>
    <col min="7" max="7" customWidth="1" width="6.625" style="1"/>
    <col min="8" max="8" customWidth="1" width="7.875" style="1"/>
    <col min="9" max="9" customWidth="1" width="8.625" style="1"/>
    <col min="10" max="10" customWidth="1" width="7.375" style="1"/>
    <col min="11" max="16314" customWidth="1" width="11.6640625" style="1"/>
    <col min="16315" max="16315" customWidth="0" width="11.6640625" style="1"/>
    <col min="16316" max="16321" customWidth="0" width="11.0" style="1"/>
    <col min="16322" max="16384" customWidth="0" width="11.0" style="2"/>
  </cols>
  <sheetData>
    <row r="1" spans="8:8" s="1" ht="24.0" customFormat="1" customHeight="1">
      <c r="A1" s="3" t="s">
        <v>0</v>
      </c>
      <c r="B1" s="3"/>
      <c r="C1" s="3"/>
      <c r="D1" s="3"/>
      <c r="E1" s="22"/>
      <c r="F1" s="3"/>
      <c r="G1" s="3"/>
      <c r="H1" s="3"/>
      <c r="I1" s="3"/>
      <c r="J1" s="3"/>
    </row>
    <row r="2" spans="8:8" s="1" ht="8.0" customFormat="1" customHeight="1">
      <c r="A2" s="3"/>
      <c r="B2" s="3"/>
      <c r="C2" s="3"/>
      <c r="D2" s="3"/>
      <c r="E2" s="22"/>
      <c r="F2" s="3"/>
      <c r="G2" s="3"/>
      <c r="H2" s="3"/>
      <c r="I2" s="3"/>
      <c r="J2" s="3"/>
    </row>
    <row r="3" spans="8:8" s="1" ht="18.0" customFormat="1" customHeight="1">
      <c r="A3" s="1" t="s">
        <v>1</v>
      </c>
      <c r="B3" s="1" t="s">
        <v>2</v>
      </c>
      <c r="E3" s="21"/>
    </row>
    <row r="4" spans="8:8" s="1" ht="18.0" customFormat="1" customHeight="1">
      <c r="A4" s="1" t="s">
        <v>3</v>
      </c>
      <c r="B4" s="4">
        <v>45253.0</v>
      </c>
      <c r="C4" s="4"/>
      <c r="D4" s="5"/>
      <c r="E4" s="23"/>
      <c r="F4" s="5"/>
      <c r="G4" s="5"/>
      <c r="H4" s="4"/>
      <c r="I4" s="4"/>
      <c r="J4" s="4"/>
    </row>
    <row r="5" spans="8:8" s="1" ht="18.0" customFormat="1" customHeight="1">
      <c r="A5" s="6" t="s">
        <v>4</v>
      </c>
      <c r="B5" s="6" t="s">
        <v>5</v>
      </c>
      <c r="C5" s="6" t="s">
        <v>6</v>
      </c>
      <c r="D5" s="6" t="s">
        <v>7</v>
      </c>
      <c r="E5" s="7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</row>
    <row r="6" spans="8:8" s="1" ht="16.0" customFormat="1" customHeight="1">
      <c r="A6" s="6">
        <v>1.0</v>
      </c>
      <c r="B6" s="6" t="s">
        <v>30</v>
      </c>
      <c r="C6" s="6" t="s">
        <v>31</v>
      </c>
      <c r="D6" s="7" t="s">
        <v>32</v>
      </c>
      <c r="E6" s="7">
        <v>2.0</v>
      </c>
      <c r="F6" s="8">
        <f>H6/0.85</f>
        <v>411.7647058823529</v>
      </c>
      <c r="G6" s="9">
        <f>H6/F6</f>
        <v>0.85</v>
      </c>
      <c r="H6" s="10">
        <v>350.0</v>
      </c>
      <c r="I6" s="10">
        <f>E6*H6</f>
        <v>700.0</v>
      </c>
      <c r="J6" s="6"/>
    </row>
    <row r="7" spans="8:8" s="1" ht="16.0" customFormat="1" customHeight="1">
      <c r="A7" s="6">
        <v>2.0</v>
      </c>
      <c r="B7" s="6" t="s">
        <v>14</v>
      </c>
      <c r="C7" s="6"/>
      <c r="D7" s="7" t="s">
        <v>15</v>
      </c>
      <c r="E7" s="7">
        <v>5.0</v>
      </c>
      <c r="F7" s="8">
        <f>H7/0.85</f>
        <v>3.5294117647058822</v>
      </c>
      <c r="G7" s="9">
        <f>H7/F7</f>
        <v>0.85</v>
      </c>
      <c r="H7" s="10">
        <v>3.0</v>
      </c>
      <c r="I7" s="10">
        <f>E7*H7</f>
        <v>15.0</v>
      </c>
      <c r="J7" s="6"/>
    </row>
    <row r="8" spans="8:8" s="1" ht="16.0" customFormat="1" customHeight="1">
      <c r="A8" s="6">
        <v>3.0</v>
      </c>
      <c r="B8" s="6" t="s">
        <v>17</v>
      </c>
      <c r="C8" s="6"/>
      <c r="D8" s="7" t="s">
        <v>15</v>
      </c>
      <c r="E8" s="7">
        <v>3.0</v>
      </c>
      <c r="F8" s="8">
        <f>H8/0.85</f>
        <v>4.11764705882353</v>
      </c>
      <c r="G8" s="9">
        <f>H8/F8</f>
        <v>0.8499999999999999</v>
      </c>
      <c r="H8" s="10">
        <v>3.5</v>
      </c>
      <c r="I8" s="10">
        <f>E8*H8</f>
        <v>10.5</v>
      </c>
      <c r="J8" s="6"/>
    </row>
    <row r="9" spans="8:8" s="1" ht="16.0" customFormat="1" customHeight="1">
      <c r="A9" s="6">
        <v>4.0</v>
      </c>
      <c r="B9" s="11" t="s">
        <v>102</v>
      </c>
      <c r="C9" s="11"/>
      <c r="D9" s="7" t="s">
        <v>15</v>
      </c>
      <c r="E9" s="7">
        <v>5.0</v>
      </c>
      <c r="F9" s="8">
        <f>H9/0.85</f>
        <v>4.470588235294118</v>
      </c>
      <c r="G9" s="9">
        <f>H9/F9</f>
        <v>0.85</v>
      </c>
      <c r="H9" s="10">
        <v>3.8</v>
      </c>
      <c r="I9" s="10">
        <f>E9*H9</f>
        <v>19.0</v>
      </c>
      <c r="J9" s="6"/>
    </row>
    <row r="10" spans="8:8" s="1" ht="16.0" customFormat="1" customHeight="1">
      <c r="A10" s="6">
        <v>5.0</v>
      </c>
      <c r="B10" s="6" t="s">
        <v>63</v>
      </c>
      <c r="C10" s="6"/>
      <c r="D10" s="7" t="s">
        <v>15</v>
      </c>
      <c r="E10" s="7">
        <v>3.0</v>
      </c>
      <c r="F10" s="8">
        <f>H10/0.85</f>
        <v>8.823529411764707</v>
      </c>
      <c r="G10" s="9">
        <f>H10/F10</f>
        <v>0.85</v>
      </c>
      <c r="H10" s="10">
        <v>7.5</v>
      </c>
      <c r="I10" s="10">
        <f>E10*H10</f>
        <v>22.5</v>
      </c>
      <c r="J10" s="6"/>
    </row>
    <row r="11" spans="8:8" s="1" ht="16.0" customFormat="1" customHeight="1">
      <c r="A11" s="6">
        <v>6.0</v>
      </c>
      <c r="B11" s="11" t="s">
        <v>90</v>
      </c>
      <c r="C11" s="11"/>
      <c r="D11" s="12" t="s">
        <v>15</v>
      </c>
      <c r="E11" s="12">
        <v>10.0</v>
      </c>
      <c r="F11" s="8">
        <f t="shared" si="0" ref="F11:F24">H11/0.85</f>
        <v>10.352941176470589</v>
      </c>
      <c r="G11" s="9">
        <f t="shared" si="1" ref="G11:G24">H11/F11</f>
        <v>0.85</v>
      </c>
      <c r="H11" s="14">
        <v>8.8</v>
      </c>
      <c r="I11" s="10">
        <f t="shared" si="2" ref="I11:I24">E11*H11</f>
        <v>88.0</v>
      </c>
      <c r="J11" s="11"/>
    </row>
    <row r="12" spans="8:8" s="1" ht="16.0" customFormat="1" customHeight="1">
      <c r="A12" s="6">
        <v>7.0</v>
      </c>
      <c r="B12" s="11" t="s">
        <v>64</v>
      </c>
      <c r="C12" s="11"/>
      <c r="D12" s="12" t="s">
        <v>15</v>
      </c>
      <c r="E12" s="12">
        <v>3.0</v>
      </c>
      <c r="F12" s="8">
        <f t="shared" si="0"/>
        <v>4.705882352941177</v>
      </c>
      <c r="G12" s="9">
        <f t="shared" si="1"/>
        <v>0.85</v>
      </c>
      <c r="H12" s="14">
        <v>4.0</v>
      </c>
      <c r="I12" s="10">
        <f t="shared" si="2"/>
        <v>12.0</v>
      </c>
      <c r="J12" s="11"/>
    </row>
    <row r="13" spans="8:8" s="1" ht="16.0" customFormat="1" customHeight="1">
      <c r="A13" s="6">
        <v>8.0</v>
      </c>
      <c r="B13" s="11" t="s">
        <v>74</v>
      </c>
      <c r="C13" s="11"/>
      <c r="D13" s="12" t="s">
        <v>15</v>
      </c>
      <c r="E13" s="12">
        <v>4.0</v>
      </c>
      <c r="F13" s="8">
        <f t="shared" si="0"/>
        <v>4.470588235294118</v>
      </c>
      <c r="G13" s="9">
        <f t="shared" si="1"/>
        <v>0.85</v>
      </c>
      <c r="H13" s="14">
        <v>3.8</v>
      </c>
      <c r="I13" s="10">
        <f t="shared" si="2"/>
        <v>15.2</v>
      </c>
      <c r="J13" s="11"/>
    </row>
    <row r="14" spans="8:8" s="1" ht="16.0" customFormat="1" customHeight="1">
      <c r="A14" s="6">
        <v>9.0</v>
      </c>
      <c r="B14" s="11" t="s">
        <v>25</v>
      </c>
      <c r="C14" s="11"/>
      <c r="D14" s="12" t="s">
        <v>15</v>
      </c>
      <c r="E14" s="12">
        <v>1.0</v>
      </c>
      <c r="F14" s="8">
        <f t="shared" si="0"/>
        <v>9.176470588235293</v>
      </c>
      <c r="G14" s="9">
        <f t="shared" si="1"/>
        <v>0.8500000000000001</v>
      </c>
      <c r="H14" s="14">
        <v>7.8</v>
      </c>
      <c r="I14" s="10">
        <f t="shared" si="2"/>
        <v>7.8</v>
      </c>
      <c r="J14" s="11"/>
    </row>
    <row r="15" spans="8:8" s="1" ht="16.0" customFormat="1" customHeight="1">
      <c r="A15" s="6">
        <v>10.0</v>
      </c>
      <c r="B15" s="6" t="s">
        <v>91</v>
      </c>
      <c r="C15" s="6"/>
      <c r="D15" s="11" t="s">
        <v>15</v>
      </c>
      <c r="E15" s="7">
        <v>20.3</v>
      </c>
      <c r="F15" s="8">
        <f t="shared" si="0"/>
        <v>2.9411764705882355</v>
      </c>
      <c r="G15" s="9">
        <f t="shared" si="1"/>
        <v>0.85</v>
      </c>
      <c r="H15" s="14">
        <v>2.5</v>
      </c>
      <c r="I15" s="10">
        <f t="shared" si="2"/>
        <v>50.75</v>
      </c>
      <c r="J15" s="6"/>
    </row>
    <row r="16" spans="8:8" s="1" ht="16.0" customFormat="1" customHeight="1">
      <c r="A16" s="6">
        <v>11.0</v>
      </c>
      <c r="B16" s="6" t="s">
        <v>116</v>
      </c>
      <c r="C16" s="6"/>
      <c r="D16" s="6" t="s">
        <v>15</v>
      </c>
      <c r="E16" s="7">
        <v>6.0</v>
      </c>
      <c r="F16" s="8">
        <f t="shared" si="0"/>
        <v>5.647058823529412</v>
      </c>
      <c r="G16" s="9">
        <f t="shared" si="1"/>
        <v>0.8499999999999999</v>
      </c>
      <c r="H16" s="14">
        <v>4.8</v>
      </c>
      <c r="I16" s="10">
        <f t="shared" si="2"/>
        <v>28.799999999999997</v>
      </c>
      <c r="J16" s="6"/>
    </row>
    <row r="17" spans="8:8" s="1" ht="16.0" customFormat="1" customHeight="1">
      <c r="A17" s="6">
        <v>12.0</v>
      </c>
      <c r="B17" s="6" t="s">
        <v>174</v>
      </c>
      <c r="C17" s="6"/>
      <c r="D17" s="6" t="s">
        <v>15</v>
      </c>
      <c r="E17" s="7">
        <v>19.2</v>
      </c>
      <c r="F17" s="8">
        <f t="shared" si="0"/>
        <v>8.0</v>
      </c>
      <c r="G17" s="9">
        <f t="shared" si="1"/>
        <v>0.85</v>
      </c>
      <c r="H17" s="14">
        <v>6.8</v>
      </c>
      <c r="I17" s="10">
        <f t="shared" si="2"/>
        <v>130.56</v>
      </c>
      <c r="J17" s="6"/>
    </row>
    <row r="18" spans="8:8" s="1" ht="18.0" customFormat="1" customHeight="1">
      <c r="A18" s="6">
        <v>13.0</v>
      </c>
      <c r="B18" s="8" t="s">
        <v>26</v>
      </c>
      <c r="C18" s="8"/>
      <c r="D18" s="8" t="s">
        <v>15</v>
      </c>
      <c r="E18" s="7">
        <v>1.0</v>
      </c>
      <c r="F18" s="8">
        <f t="shared" si="0"/>
        <v>16.23529411764706</v>
      </c>
      <c r="G18" s="9">
        <f t="shared" si="1"/>
        <v>0.8499999999999999</v>
      </c>
      <c r="H18" s="14">
        <v>13.8</v>
      </c>
      <c r="I18" s="10">
        <f t="shared" si="2"/>
        <v>13.8</v>
      </c>
      <c r="J18" s="8"/>
    </row>
    <row r="19" spans="8:8" s="1" ht="18.0" customFormat="1" customHeight="1">
      <c r="A19" s="6">
        <v>14.0</v>
      </c>
      <c r="B19" s="8" t="s">
        <v>28</v>
      </c>
      <c r="C19" s="8"/>
      <c r="D19" s="8" t="s">
        <v>15</v>
      </c>
      <c r="E19" s="7">
        <v>2.0</v>
      </c>
      <c r="F19" s="8">
        <f t="shared" si="0"/>
        <v>16.23529411764706</v>
      </c>
      <c r="G19" s="9">
        <f t="shared" si="1"/>
        <v>0.8499999999999999</v>
      </c>
      <c r="H19" s="14">
        <v>13.8</v>
      </c>
      <c r="I19" s="10">
        <f t="shared" si="2"/>
        <v>27.6</v>
      </c>
      <c r="J19" s="8"/>
    </row>
    <row r="20" spans="8:8" s="1" ht="18.0" customFormat="1" customHeight="1">
      <c r="A20" s="6">
        <v>15.0</v>
      </c>
      <c r="B20" s="8" t="s">
        <v>175</v>
      </c>
      <c r="C20" s="8" t="s">
        <v>176</v>
      </c>
      <c r="D20" s="8" t="s">
        <v>141</v>
      </c>
      <c r="E20" s="7">
        <v>3.0</v>
      </c>
      <c r="F20" s="8">
        <f t="shared" si="0"/>
        <v>16.23529411764706</v>
      </c>
      <c r="G20" s="9">
        <f t="shared" si="1"/>
        <v>0.8499999999999999</v>
      </c>
      <c r="H20" s="14">
        <v>13.8</v>
      </c>
      <c r="I20" s="10">
        <f t="shared" si="2"/>
        <v>41.400000000000006</v>
      </c>
      <c r="J20" s="8"/>
    </row>
    <row r="21" spans="8:8" s="1" ht="18.0" customFormat="1" customHeight="1">
      <c r="A21" s="6">
        <v>16.0</v>
      </c>
      <c r="B21" s="8" t="s">
        <v>177</v>
      </c>
      <c r="C21" s="8" t="s">
        <v>178</v>
      </c>
      <c r="D21" s="8" t="s">
        <v>51</v>
      </c>
      <c r="E21" s="7">
        <v>2.0</v>
      </c>
      <c r="F21" s="8">
        <f t="shared" si="0"/>
        <v>19.411764705882355</v>
      </c>
      <c r="G21" s="9">
        <f t="shared" si="1"/>
        <v>0.8499999999999999</v>
      </c>
      <c r="H21" s="14">
        <v>16.5</v>
      </c>
      <c r="I21" s="10">
        <f t="shared" si="2"/>
        <v>33.0</v>
      </c>
      <c r="J21" s="8"/>
    </row>
    <row r="22" spans="8:8" s="1" ht="18.0" customFormat="1" customHeight="1">
      <c r="A22" s="6">
        <v>17.0</v>
      </c>
      <c r="B22" s="8" t="s">
        <v>113</v>
      </c>
      <c r="C22" s="8"/>
      <c r="D22" s="8" t="s">
        <v>15</v>
      </c>
      <c r="E22" s="7">
        <v>8.0</v>
      </c>
      <c r="F22" s="8">
        <f t="shared" si="0"/>
        <v>103.52941176470588</v>
      </c>
      <c r="G22" s="9">
        <f t="shared" si="1"/>
        <v>0.85</v>
      </c>
      <c r="H22" s="14">
        <v>88.0</v>
      </c>
      <c r="I22" s="10">
        <f t="shared" si="2"/>
        <v>704.0</v>
      </c>
      <c r="J22" s="8"/>
    </row>
    <row r="23" spans="8:8" s="1" ht="18.0" customFormat="1" customHeight="1">
      <c r="A23" s="6">
        <v>18.0</v>
      </c>
      <c r="B23" s="8" t="s">
        <v>179</v>
      </c>
      <c r="C23" s="8"/>
      <c r="D23" s="8" t="s">
        <v>15</v>
      </c>
      <c r="E23" s="7">
        <v>7.0</v>
      </c>
      <c r="F23" s="8">
        <f t="shared" si="0"/>
        <v>64.70588235294117</v>
      </c>
      <c r="G23" s="9">
        <f t="shared" si="1"/>
        <v>0.85</v>
      </c>
      <c r="H23" s="14">
        <v>55.0</v>
      </c>
      <c r="I23" s="10">
        <f t="shared" si="2"/>
        <v>385.0</v>
      </c>
      <c r="J23" s="8"/>
    </row>
    <row r="24" spans="8:8" s="1" ht="18.0" customFormat="1" customHeight="1">
      <c r="A24" s="6">
        <v>19.0</v>
      </c>
      <c r="B24" s="8"/>
      <c r="C24" s="8"/>
      <c r="D24" s="8"/>
      <c r="E24" s="7"/>
      <c r="F24" s="8"/>
      <c r="G24" s="9"/>
      <c r="H24" s="14"/>
      <c r="I24" s="10"/>
      <c r="J24" s="8"/>
    </row>
    <row r="25" spans="8:8" s="1" ht="18.0" customFormat="1" customHeight="1">
      <c r="A25" s="6">
        <v>20.0</v>
      </c>
      <c r="B25" s="8"/>
      <c r="C25" s="8"/>
      <c r="D25" s="8"/>
      <c r="E25" s="7"/>
      <c r="F25" s="8"/>
      <c r="G25" s="9"/>
      <c r="H25" s="14"/>
      <c r="I25" s="10"/>
      <c r="J25" s="8"/>
    </row>
    <row r="26" spans="8:8" s="1" ht="18.0" customFormat="1" customHeight="1">
      <c r="A26" s="6">
        <v>21.0</v>
      </c>
      <c r="B26" s="8"/>
      <c r="C26" s="8"/>
      <c r="D26" s="8"/>
      <c r="E26" s="7"/>
      <c r="F26" s="8"/>
      <c r="G26" s="9"/>
      <c r="H26" s="14"/>
      <c r="I26" s="10"/>
      <c r="J26" s="8"/>
    </row>
    <row r="27" spans="8:8" s="1" ht="18.0" customFormat="1" customHeight="1">
      <c r="A27" s="6">
        <v>22.0</v>
      </c>
      <c r="B27" s="8"/>
      <c r="C27" s="8"/>
      <c r="D27" s="8"/>
      <c r="E27" s="7"/>
      <c r="F27" s="8"/>
      <c r="G27" s="9"/>
      <c r="H27" s="14"/>
      <c r="I27" s="10"/>
      <c r="J27" s="8"/>
    </row>
    <row r="28" spans="8:8" s="1" ht="18.0" customFormat="1" customHeight="1">
      <c r="A28" s="6">
        <v>23.0</v>
      </c>
      <c r="B28" s="8"/>
      <c r="C28" s="8"/>
      <c r="D28" s="8"/>
      <c r="E28" s="7"/>
      <c r="F28" s="8"/>
      <c r="G28" s="9"/>
      <c r="H28" s="14"/>
      <c r="I28" s="10"/>
      <c r="J28" s="8"/>
    </row>
    <row r="29" spans="8:8" s="1" ht="18.0" customFormat="1" customHeight="1">
      <c r="A29" s="6">
        <v>24.0</v>
      </c>
      <c r="B29" s="8"/>
      <c r="C29" s="8"/>
      <c r="D29" s="8"/>
      <c r="E29" s="7"/>
      <c r="F29" s="8"/>
      <c r="G29" s="9"/>
      <c r="H29" s="14"/>
      <c r="I29" s="10"/>
      <c r="J29" s="8"/>
    </row>
    <row r="30" spans="8:8" s="1" ht="18.0" customFormat="1" customHeight="1">
      <c r="A30" s="6">
        <v>25.0</v>
      </c>
      <c r="B30" s="8"/>
      <c r="C30" s="8"/>
      <c r="D30" s="8"/>
      <c r="E30" s="7"/>
      <c r="F30" s="8"/>
      <c r="G30" s="9"/>
      <c r="H30" s="14"/>
      <c r="I30" s="10"/>
      <c r="J30" s="8"/>
    </row>
    <row r="31" spans="8:8" s="1" ht="18.0" customFormat="1" customHeight="1">
      <c r="A31" s="6">
        <v>26.0</v>
      </c>
      <c r="B31" s="8"/>
      <c r="C31" s="8"/>
      <c r="D31" s="8"/>
      <c r="E31" s="7"/>
      <c r="F31" s="8"/>
      <c r="G31" s="9"/>
      <c r="H31" s="14"/>
      <c r="I31" s="10"/>
      <c r="J31" s="8"/>
    </row>
    <row r="32" spans="8:8" s="1" ht="18.0" customFormat="1" customHeight="1">
      <c r="A32" s="6">
        <v>27.0</v>
      </c>
      <c r="B32" s="8"/>
      <c r="C32" s="8"/>
      <c r="D32" s="8"/>
      <c r="E32" s="7"/>
      <c r="F32" s="8"/>
      <c r="G32" s="9"/>
      <c r="H32" s="14"/>
      <c r="I32" s="10"/>
      <c r="J32" s="8"/>
    </row>
    <row r="33" spans="8:8" s="1" ht="18.0" customFormat="1" customHeight="1">
      <c r="A33" s="6" t="s">
        <v>37</v>
      </c>
      <c r="B33" s="15">
        <f>SUM(I6:I32)</f>
        <v>2304.91</v>
      </c>
      <c r="C33" s="16"/>
      <c r="D33" s="16"/>
      <c r="E33" s="24"/>
      <c r="F33" s="16"/>
      <c r="G33" s="16"/>
      <c r="H33" s="16"/>
      <c r="I33" s="16"/>
      <c r="J33" s="17"/>
    </row>
    <row r="34" spans="8:8" s="1" ht="18.0" customFormat="1" customHeight="1">
      <c r="A34" s="6" t="s">
        <v>38</v>
      </c>
      <c r="B34" s="18">
        <f>B33</f>
        <v>2304.91</v>
      </c>
      <c r="C34" s="19"/>
      <c r="D34" s="19"/>
      <c r="E34" s="24"/>
      <c r="F34" s="19"/>
      <c r="G34" s="19"/>
      <c r="H34" s="19"/>
      <c r="I34" s="19"/>
      <c r="J34" s="20"/>
    </row>
    <row r="35" spans="8:8" s="1" ht="18.0" customFormat="1" customHeight="1">
      <c r="A35" s="1" t="s">
        <v>39</v>
      </c>
      <c r="E35" s="21"/>
    </row>
  </sheetData>
  <mergeCells count="4">
    <mergeCell ref="A1:J1"/>
    <mergeCell ref="B33:J33"/>
    <mergeCell ref="B34:J34"/>
    <mergeCell ref="A35:J35"/>
  </mergeCells>
  <conditionalFormatting sqref="B6:B32">
    <cfRule type="duplicateValues" priority="4" dxfId="41"/>
  </conditionalFormatting>
  <conditionalFormatting sqref="B6:C14">
    <cfRule type="duplicateValues" priority="5" dxfId="42"/>
  </conditionalFormatting>
  <conditionalFormatting sqref="B1:B32 B35:B1048576">
    <cfRule type="duplicateValues" priority="3" dxfId="43"/>
  </conditionalFormatting>
  <pageMargins left="0.751388888888889" right="0.751388888888889" top="0.409027777777778" bottom="0.2125" header="0.5" footer="0.5"/>
  <pageSetup paperSize="9" scale="96"/>
</worksheet>
</file>

<file path=xl/worksheets/sheet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36"/>
  <sheetViews>
    <sheetView workbookViewId="0" topLeftCell="A17">
      <selection activeCell="I17" sqref="I1:I1048576"/>
    </sheetView>
  </sheetViews>
  <sheetFormatPr defaultRowHeight="18.0" customHeight="1" defaultColWidth="11"/>
  <cols>
    <col min="1" max="1" customWidth="1" width="9.125" style="1"/>
    <col min="2" max="2" customWidth="1" width="19.25" style="1"/>
    <col min="3" max="3" customWidth="1" width="11.375" style="1"/>
    <col min="4" max="4" customWidth="1" width="5.9414062" style="1"/>
    <col min="5" max="5" customWidth="1" width="6.125" style="21"/>
    <col min="6" max="6" customWidth="1" width="8.0" style="1"/>
    <col min="7" max="7" customWidth="1" width="6.625" style="1"/>
    <col min="8" max="8" customWidth="1" width="7.875" style="1"/>
    <col min="9" max="9" customWidth="1" width="8.625" style="1"/>
    <col min="10" max="10" customWidth="1" width="7.375" style="1"/>
    <col min="11" max="16321" customWidth="1" width="11.6640625" style="1"/>
    <col min="16322" max="16322" customWidth="0" width="11.6640625" style="1"/>
    <col min="16323" max="16328" customWidth="0" width="11.0" style="1"/>
    <col min="16329" max="16384" customWidth="0" width="11.0" style="2"/>
  </cols>
  <sheetData>
    <row r="1" spans="8:8" s="1" ht="24.0" customFormat="1" customHeight="1">
      <c r="A1" s="3" t="s">
        <v>0</v>
      </c>
      <c r="B1" s="3"/>
      <c r="C1" s="3"/>
      <c r="D1" s="3"/>
      <c r="E1" s="22"/>
      <c r="F1" s="3"/>
      <c r="G1" s="3"/>
      <c r="H1" s="3"/>
      <c r="I1" s="3"/>
      <c r="J1" s="3"/>
    </row>
    <row r="2" spans="8:8" s="1" ht="8.0" customFormat="1" customHeight="1">
      <c r="A2" s="3"/>
      <c r="B2" s="3"/>
      <c r="C2" s="3"/>
      <c r="D2" s="3"/>
      <c r="E2" s="22"/>
      <c r="F2" s="3"/>
      <c r="G2" s="3"/>
      <c r="H2" s="3"/>
      <c r="I2" s="3"/>
      <c r="J2" s="3"/>
    </row>
    <row r="3" spans="8:8" s="1" ht="18.0" customFormat="1" customHeight="1">
      <c r="A3" s="1" t="s">
        <v>1</v>
      </c>
      <c r="B3" s="1" t="s">
        <v>2</v>
      </c>
      <c r="E3" s="21"/>
    </row>
    <row r="4" spans="8:8" s="1" ht="18.0" customFormat="1" customHeight="1">
      <c r="A4" s="1" t="s">
        <v>3</v>
      </c>
      <c r="B4" s="4">
        <v>45254.0</v>
      </c>
      <c r="C4" s="4"/>
      <c r="D4" s="5"/>
      <c r="E4" s="23"/>
      <c r="F4" s="5"/>
      <c r="G4" s="5"/>
      <c r="H4" s="4"/>
      <c r="I4" s="4"/>
      <c r="J4" s="4"/>
    </row>
    <row r="5" spans="8:8" s="1" ht="18.0" customFormat="1" customHeight="1">
      <c r="A5" s="6" t="s">
        <v>4</v>
      </c>
      <c r="B5" s="6" t="s">
        <v>5</v>
      </c>
      <c r="C5" s="6" t="s">
        <v>6</v>
      </c>
      <c r="D5" s="6" t="s">
        <v>7</v>
      </c>
      <c r="E5" s="7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</row>
    <row r="6" spans="8:8" s="1" ht="16.0" customFormat="1" customHeight="1">
      <c r="A6" s="6">
        <v>1.0</v>
      </c>
      <c r="B6" s="6" t="s">
        <v>14</v>
      </c>
      <c r="C6" s="6"/>
      <c r="D6" s="7" t="s">
        <v>15</v>
      </c>
      <c r="E6" s="7">
        <v>5.0</v>
      </c>
      <c r="F6" s="8">
        <f t="shared" si="0" ref="F6:F31">H6/0.85</f>
        <v>3.5294117647058822</v>
      </c>
      <c r="G6" s="9">
        <f t="shared" si="1" ref="G6:G31">H6/F6</f>
        <v>0.85</v>
      </c>
      <c r="H6" s="10">
        <v>3.0</v>
      </c>
      <c r="I6" s="10">
        <f t="shared" si="2" ref="I6:I31">E6*H6</f>
        <v>15.0</v>
      </c>
      <c r="J6" s="6"/>
    </row>
    <row r="7" spans="8:8" s="1" ht="16.0" customFormat="1" customHeight="1">
      <c r="A7" s="6">
        <v>2.0</v>
      </c>
      <c r="B7" s="6" t="s">
        <v>58</v>
      </c>
      <c r="C7" s="6" t="s">
        <v>59</v>
      </c>
      <c r="D7" s="7" t="s">
        <v>15</v>
      </c>
      <c r="E7" s="7">
        <v>6.0</v>
      </c>
      <c r="F7" s="8">
        <f t="shared" si="0"/>
        <v>4.11764705882353</v>
      </c>
      <c r="G7" s="9">
        <f t="shared" si="1"/>
        <v>0.8499999999999999</v>
      </c>
      <c r="H7" s="10">
        <v>3.5</v>
      </c>
      <c r="I7" s="10">
        <f t="shared" si="2"/>
        <v>21.0</v>
      </c>
      <c r="J7" s="6"/>
    </row>
    <row r="8" spans="8:8" s="1" ht="16.0" customFormat="1" customHeight="1">
      <c r="A8" s="6">
        <v>3.0</v>
      </c>
      <c r="B8" s="6" t="s">
        <v>60</v>
      </c>
      <c r="C8" s="6"/>
      <c r="D8" s="7" t="s">
        <v>15</v>
      </c>
      <c r="E8" s="7">
        <v>1.0</v>
      </c>
      <c r="F8" s="8">
        <f t="shared" si="0"/>
        <v>4.11764705882353</v>
      </c>
      <c r="G8" s="9">
        <f t="shared" si="1"/>
        <v>0.8499999999999999</v>
      </c>
      <c r="H8" s="10">
        <v>3.5</v>
      </c>
      <c r="I8" s="10">
        <f t="shared" si="2"/>
        <v>3.5</v>
      </c>
      <c r="J8" s="6"/>
    </row>
    <row r="9" spans="8:8" s="1" ht="16.0" customFormat="1" customHeight="1">
      <c r="A9" s="6">
        <v>4.0</v>
      </c>
      <c r="B9" s="11" t="s">
        <v>17</v>
      </c>
      <c r="C9" s="11"/>
      <c r="D9" s="7" t="s">
        <v>15</v>
      </c>
      <c r="E9" s="7">
        <v>3.0</v>
      </c>
      <c r="F9" s="8">
        <f t="shared" si="0"/>
        <v>4.11764705882353</v>
      </c>
      <c r="G9" s="9">
        <f t="shared" si="1"/>
        <v>0.8499999999999999</v>
      </c>
      <c r="H9" s="10">
        <v>3.5</v>
      </c>
      <c r="I9" s="10">
        <f t="shared" si="2"/>
        <v>10.5</v>
      </c>
      <c r="J9" s="6"/>
    </row>
    <row r="10" spans="8:8" s="1" ht="16.0" customFormat="1" customHeight="1">
      <c r="A10" s="6">
        <v>5.0</v>
      </c>
      <c r="B10" s="6" t="s">
        <v>63</v>
      </c>
      <c r="C10" s="6"/>
      <c r="D10" s="7" t="s">
        <v>15</v>
      </c>
      <c r="E10" s="7">
        <v>4.0</v>
      </c>
      <c r="F10" s="8">
        <f t="shared" si="0"/>
        <v>8.823529411764707</v>
      </c>
      <c r="G10" s="9">
        <f t="shared" si="1"/>
        <v>0.85</v>
      </c>
      <c r="H10" s="10">
        <v>7.5</v>
      </c>
      <c r="I10" s="10">
        <f t="shared" si="2"/>
        <v>30.0</v>
      </c>
      <c r="J10" s="6"/>
    </row>
    <row r="11" spans="8:8" s="1" ht="16.0" customFormat="1" customHeight="1">
      <c r="A11" s="6">
        <v>6.0</v>
      </c>
      <c r="B11" s="6" t="s">
        <v>180</v>
      </c>
      <c r="C11" s="6"/>
      <c r="D11" s="7" t="s">
        <v>15</v>
      </c>
      <c r="E11" s="7">
        <v>2.0</v>
      </c>
      <c r="F11" s="8">
        <f t="shared" si="0"/>
        <v>4.11764705882353</v>
      </c>
      <c r="G11" s="9">
        <f t="shared" si="1"/>
        <v>0.8499999999999999</v>
      </c>
      <c r="H11" s="10">
        <v>3.5</v>
      </c>
      <c r="I11" s="10">
        <f t="shared" si="2"/>
        <v>7.0</v>
      </c>
      <c r="J11" s="6"/>
    </row>
    <row r="12" spans="8:8" s="1" ht="16.0" customFormat="1" customHeight="1">
      <c r="A12" s="6">
        <v>7.0</v>
      </c>
      <c r="B12" s="11" t="s">
        <v>22</v>
      </c>
      <c r="C12" s="11"/>
      <c r="D12" s="12" t="s">
        <v>23</v>
      </c>
      <c r="E12" s="12">
        <v>8.0</v>
      </c>
      <c r="F12" s="8">
        <f t="shared" si="0"/>
        <v>3.5294117647058822</v>
      </c>
      <c r="G12" s="9">
        <f t="shared" si="1"/>
        <v>0.85</v>
      </c>
      <c r="H12" s="14">
        <v>3.0</v>
      </c>
      <c r="I12" s="10">
        <f t="shared" si="2"/>
        <v>24.0</v>
      </c>
      <c r="J12" s="11"/>
    </row>
    <row r="13" spans="8:8" s="1" ht="16.0" customFormat="1" customHeight="1">
      <c r="A13" s="6">
        <v>8.0</v>
      </c>
      <c r="B13" s="11" t="s">
        <v>74</v>
      </c>
      <c r="C13" s="11"/>
      <c r="D13" s="12" t="s">
        <v>15</v>
      </c>
      <c r="E13" s="12">
        <v>5.0</v>
      </c>
      <c r="F13" s="8">
        <f t="shared" si="0"/>
        <v>4.470588235294118</v>
      </c>
      <c r="G13" s="9">
        <f t="shared" si="1"/>
        <v>0.85</v>
      </c>
      <c r="H13" s="14">
        <v>3.8</v>
      </c>
      <c r="I13" s="10">
        <f t="shared" si="2"/>
        <v>19.0</v>
      </c>
      <c r="J13" s="11"/>
    </row>
    <row r="14" spans="8:8" s="1" ht="16.0" customFormat="1" customHeight="1">
      <c r="A14" s="6">
        <v>9.0</v>
      </c>
      <c r="B14" s="11" t="s">
        <v>103</v>
      </c>
      <c r="C14" s="11"/>
      <c r="D14" s="12" t="s">
        <v>15</v>
      </c>
      <c r="E14" s="12">
        <v>5.0</v>
      </c>
      <c r="F14" s="8">
        <f t="shared" si="0"/>
        <v>4.470588235294118</v>
      </c>
      <c r="G14" s="9">
        <f t="shared" si="1"/>
        <v>0.85</v>
      </c>
      <c r="H14" s="14">
        <v>3.8</v>
      </c>
      <c r="I14" s="10">
        <f t="shared" si="2"/>
        <v>19.0</v>
      </c>
      <c r="J14" s="11"/>
    </row>
    <row r="15" spans="8:8" s="1" ht="16.0" customFormat="1" customHeight="1">
      <c r="A15" s="6">
        <v>10.0</v>
      </c>
      <c r="B15" s="11" t="s">
        <v>104</v>
      </c>
      <c r="C15" s="11"/>
      <c r="D15" s="12" t="s">
        <v>15</v>
      </c>
      <c r="E15" s="12">
        <v>16.0</v>
      </c>
      <c r="F15" s="8">
        <f t="shared" si="0"/>
        <v>2.9411764705882355</v>
      </c>
      <c r="G15" s="9">
        <f t="shared" si="1"/>
        <v>0.85</v>
      </c>
      <c r="H15" s="14">
        <v>2.5</v>
      </c>
      <c r="I15" s="10">
        <f t="shared" si="2"/>
        <v>40.0</v>
      </c>
      <c r="J15" s="11"/>
    </row>
    <row r="16" spans="8:8" s="1" ht="16.0" customFormat="1" customHeight="1">
      <c r="A16" s="6">
        <v>11.0</v>
      </c>
      <c r="B16" s="11" t="s">
        <v>181</v>
      </c>
      <c r="C16" s="11"/>
      <c r="D16" s="12" t="s">
        <v>15</v>
      </c>
      <c r="E16" s="12">
        <v>12.0</v>
      </c>
      <c r="F16" s="8">
        <f t="shared" si="0"/>
        <v>4.11764705882353</v>
      </c>
      <c r="G16" s="9">
        <f t="shared" si="1"/>
        <v>0.8499999999999999</v>
      </c>
      <c r="H16" s="14">
        <v>3.5</v>
      </c>
      <c r="I16" s="10">
        <f t="shared" si="2"/>
        <v>42.0</v>
      </c>
      <c r="J16" s="11"/>
    </row>
    <row r="17" spans="8:8" s="1" ht="16.0" customFormat="1" customHeight="1">
      <c r="A17" s="6">
        <v>12.0</v>
      </c>
      <c r="B17" s="6" t="s">
        <v>28</v>
      </c>
      <c r="C17" s="6"/>
      <c r="D17" s="6" t="s">
        <v>15</v>
      </c>
      <c r="E17" s="7">
        <v>3.0</v>
      </c>
      <c r="F17" s="8">
        <f t="shared" si="0"/>
        <v>16.23529411764706</v>
      </c>
      <c r="G17" s="9">
        <f t="shared" si="1"/>
        <v>0.8499999999999999</v>
      </c>
      <c r="H17" s="14">
        <v>13.8</v>
      </c>
      <c r="I17" s="10">
        <f t="shared" si="2"/>
        <v>41.400000000000006</v>
      </c>
      <c r="J17" s="11"/>
    </row>
    <row r="18" spans="8:8" s="1" ht="16.0" customFormat="1" customHeight="1">
      <c r="A18" s="6">
        <v>13.0</v>
      </c>
      <c r="B18" s="6" t="s">
        <v>69</v>
      </c>
      <c r="C18" s="6"/>
      <c r="D18" s="6" t="s">
        <v>15</v>
      </c>
      <c r="E18" s="7">
        <v>5.0</v>
      </c>
      <c r="F18" s="8">
        <f t="shared" si="0"/>
        <v>23.529411764705884</v>
      </c>
      <c r="G18" s="9">
        <f t="shared" si="1"/>
        <v>0.85</v>
      </c>
      <c r="H18" s="14">
        <v>20.0</v>
      </c>
      <c r="I18" s="10">
        <f t="shared" si="2"/>
        <v>100.0</v>
      </c>
      <c r="J18" s="6"/>
    </row>
    <row r="19" spans="8:8" s="1" ht="16.0" customFormat="1" customHeight="1">
      <c r="A19" s="6">
        <v>14.0</v>
      </c>
      <c r="B19" s="8" t="s">
        <v>107</v>
      </c>
      <c r="C19" s="8"/>
      <c r="D19" s="8" t="s">
        <v>15</v>
      </c>
      <c r="E19" s="7">
        <v>5.0</v>
      </c>
      <c r="F19" s="8">
        <f t="shared" si="0"/>
        <v>23.529411764705884</v>
      </c>
      <c r="G19" s="9">
        <f t="shared" si="1"/>
        <v>0.85</v>
      </c>
      <c r="H19" s="14">
        <v>20.0</v>
      </c>
      <c r="I19" s="10">
        <f t="shared" si="2"/>
        <v>100.0</v>
      </c>
      <c r="J19" s="6"/>
    </row>
    <row r="20" spans="8:8" s="1" ht="18.0" customFormat="1" customHeight="1">
      <c r="A20" s="6">
        <v>15.0</v>
      </c>
      <c r="B20" s="8" t="s">
        <v>182</v>
      </c>
      <c r="C20" s="8"/>
      <c r="D20" s="8" t="s">
        <v>15</v>
      </c>
      <c r="E20" s="7">
        <v>12.0</v>
      </c>
      <c r="F20" s="8">
        <f t="shared" si="0"/>
        <v>44.70588235294118</v>
      </c>
      <c r="G20" s="9">
        <f t="shared" si="1"/>
        <v>0.8499999999999999</v>
      </c>
      <c r="H20" s="14">
        <v>38.0</v>
      </c>
      <c r="I20" s="10">
        <f t="shared" si="2"/>
        <v>456.0</v>
      </c>
      <c r="J20" s="8"/>
    </row>
    <row r="21" spans="8:8" s="1" ht="18.0" customFormat="1" customHeight="1">
      <c r="A21" s="6">
        <v>16.0</v>
      </c>
      <c r="B21" s="8" t="s">
        <v>183</v>
      </c>
      <c r="C21" s="8" t="s">
        <v>184</v>
      </c>
      <c r="D21" s="8" t="s">
        <v>149</v>
      </c>
      <c r="E21" s="7">
        <v>1.0</v>
      </c>
      <c r="F21" s="8">
        <f t="shared" si="0"/>
        <v>12.941176470588236</v>
      </c>
      <c r="G21" s="9">
        <f t="shared" si="1"/>
        <v>0.85</v>
      </c>
      <c r="H21" s="14">
        <v>11.0</v>
      </c>
      <c r="I21" s="10">
        <f t="shared" si="2"/>
        <v>11.0</v>
      </c>
      <c r="J21" s="8"/>
    </row>
    <row r="22" spans="8:8" s="1" ht="18.0" customFormat="1" customHeight="1">
      <c r="A22" s="6">
        <v>17.0</v>
      </c>
      <c r="B22" s="8" t="s">
        <v>35</v>
      </c>
      <c r="C22" s="8"/>
      <c r="D22" s="8" t="s">
        <v>36</v>
      </c>
      <c r="E22" s="7">
        <v>40.0</v>
      </c>
      <c r="F22" s="8">
        <f t="shared" si="0"/>
        <v>4.11764705882353</v>
      </c>
      <c r="G22" s="9">
        <f t="shared" si="1"/>
        <v>0.8499999999999999</v>
      </c>
      <c r="H22" s="14">
        <v>3.5</v>
      </c>
      <c r="I22" s="10">
        <f t="shared" si="2"/>
        <v>140.0</v>
      </c>
      <c r="J22" s="8"/>
    </row>
    <row r="23" spans="8:8" s="1" ht="18.0" customFormat="1" customHeight="1">
      <c r="A23" s="6">
        <v>18.0</v>
      </c>
      <c r="B23" s="8" t="s">
        <v>80</v>
      </c>
      <c r="C23" s="8"/>
      <c r="D23" s="8" t="s">
        <v>15</v>
      </c>
      <c r="E23" s="7">
        <v>5.0</v>
      </c>
      <c r="F23" s="8">
        <f t="shared" si="0"/>
        <v>103.52941176470588</v>
      </c>
      <c r="G23" s="9">
        <f t="shared" si="1"/>
        <v>0.85</v>
      </c>
      <c r="H23" s="14">
        <v>88.0</v>
      </c>
      <c r="I23" s="10">
        <f t="shared" si="2"/>
        <v>440.0</v>
      </c>
      <c r="J23" s="8"/>
    </row>
    <row r="24" spans="8:8" s="1" ht="18.0" customFormat="1" customHeight="1">
      <c r="A24" s="6">
        <v>19.0</v>
      </c>
      <c r="B24" s="8"/>
      <c r="C24" s="8"/>
      <c r="D24" s="8"/>
      <c r="E24" s="7"/>
      <c r="F24" s="8"/>
      <c r="G24" s="9"/>
      <c r="H24" s="14"/>
      <c r="I24" s="10"/>
      <c r="J24" s="8"/>
    </row>
    <row r="25" spans="8:8" s="1" ht="18.0" customFormat="1" customHeight="1">
      <c r="A25" s="6">
        <v>20.0</v>
      </c>
      <c r="B25" s="8"/>
      <c r="C25" s="8"/>
      <c r="D25" s="8"/>
      <c r="E25" s="7"/>
      <c r="F25" s="8"/>
      <c r="G25" s="9"/>
      <c r="H25" s="14"/>
      <c r="I25" s="10"/>
      <c r="J25" s="8"/>
    </row>
    <row r="26" spans="8:8" s="1" ht="18.0" customFormat="1" customHeight="1">
      <c r="A26" s="6">
        <v>21.0</v>
      </c>
      <c r="B26" s="8"/>
      <c r="C26" s="8"/>
      <c r="D26" s="8"/>
      <c r="E26" s="7"/>
      <c r="F26" s="8"/>
      <c r="G26" s="9"/>
      <c r="H26" s="14"/>
      <c r="I26" s="10"/>
      <c r="J26" s="8"/>
    </row>
    <row r="27" spans="8:8" s="1" ht="18.0" customFormat="1" customHeight="1">
      <c r="A27" s="6">
        <v>22.0</v>
      </c>
      <c r="B27" s="8"/>
      <c r="C27" s="8"/>
      <c r="D27" s="8"/>
      <c r="E27" s="7"/>
      <c r="F27" s="8"/>
      <c r="G27" s="9"/>
      <c r="H27" s="14"/>
      <c r="I27" s="10"/>
      <c r="J27" s="8"/>
    </row>
    <row r="28" spans="8:8" s="1" ht="18.0" customFormat="1" customHeight="1">
      <c r="A28" s="6">
        <v>23.0</v>
      </c>
      <c r="B28" s="8"/>
      <c r="C28" s="8"/>
      <c r="D28" s="8"/>
      <c r="E28" s="7"/>
      <c r="F28" s="8"/>
      <c r="G28" s="9"/>
      <c r="H28" s="14"/>
      <c r="I28" s="10"/>
      <c r="J28" s="8"/>
    </row>
    <row r="29" spans="8:8" s="1" ht="18.0" customFormat="1" customHeight="1">
      <c r="A29" s="6">
        <v>24.0</v>
      </c>
      <c r="B29" s="8"/>
      <c r="C29" s="8"/>
      <c r="D29" s="8"/>
      <c r="E29" s="7"/>
      <c r="F29" s="8"/>
      <c r="G29" s="9"/>
      <c r="H29" s="14"/>
      <c r="I29" s="10"/>
      <c r="J29" s="8"/>
    </row>
    <row r="30" spans="8:8" s="1" ht="18.0" customFormat="1" customHeight="1">
      <c r="A30" s="6">
        <v>25.0</v>
      </c>
      <c r="B30" s="8"/>
      <c r="C30" s="8"/>
      <c r="D30" s="8"/>
      <c r="E30" s="7"/>
      <c r="F30" s="8"/>
      <c r="G30" s="9"/>
      <c r="H30" s="14"/>
      <c r="I30" s="10"/>
      <c r="J30" s="8"/>
    </row>
    <row r="31" spans="8:8" s="1" ht="18.0" customFormat="1" customHeight="1">
      <c r="A31" s="6">
        <v>26.0</v>
      </c>
      <c r="B31" s="8"/>
      <c r="C31" s="8"/>
      <c r="D31" s="8"/>
      <c r="E31" s="7"/>
      <c r="F31" s="8"/>
      <c r="G31" s="9"/>
      <c r="H31" s="14"/>
      <c r="I31" s="10"/>
      <c r="J31" s="8"/>
    </row>
    <row r="32" spans="8:8" s="1" ht="18.0" customFormat="1" customHeight="1">
      <c r="A32" s="6">
        <v>27.0</v>
      </c>
      <c r="B32" s="8"/>
      <c r="C32" s="8"/>
      <c r="D32" s="8"/>
      <c r="E32" s="7"/>
      <c r="F32" s="8"/>
      <c r="G32" s="9"/>
      <c r="H32" s="14"/>
      <c r="I32" s="10"/>
      <c r="J32" s="8"/>
    </row>
    <row r="33" spans="8:8" s="1" ht="18.0" customFormat="1" customHeight="1">
      <c r="A33" s="6">
        <v>28.0</v>
      </c>
      <c r="B33" s="8"/>
      <c r="C33" s="8"/>
      <c r="D33" s="8"/>
      <c r="E33" s="7"/>
      <c r="F33" s="8"/>
      <c r="G33" s="9"/>
      <c r="H33" s="14"/>
      <c r="I33" s="10"/>
      <c r="J33" s="8"/>
    </row>
    <row r="34" spans="8:8" s="1" ht="18.0" customFormat="1" customHeight="1">
      <c r="A34" s="6" t="s">
        <v>37</v>
      </c>
      <c r="B34" s="15">
        <f>SUM(I6:I33)</f>
        <v>1519.4</v>
      </c>
      <c r="C34" s="16"/>
      <c r="D34" s="16"/>
      <c r="E34" s="24"/>
      <c r="F34" s="16"/>
      <c r="G34" s="16"/>
      <c r="H34" s="16"/>
      <c r="I34" s="16"/>
      <c r="J34" s="17"/>
    </row>
    <row r="35" spans="8:8" s="1" ht="18.0" customFormat="1" customHeight="1">
      <c r="A35" s="6" t="s">
        <v>38</v>
      </c>
      <c r="B35" s="18">
        <f>B34</f>
        <v>1519.4</v>
      </c>
      <c r="C35" s="19"/>
      <c r="D35" s="19"/>
      <c r="E35" s="24"/>
      <c r="F35" s="19"/>
      <c r="G35" s="19"/>
      <c r="H35" s="19"/>
      <c r="I35" s="19"/>
      <c r="J35" s="20"/>
    </row>
    <row r="36" spans="8:8" s="1" ht="18.0" customFormat="1" customHeight="1">
      <c r="A36" s="1" t="s">
        <v>39</v>
      </c>
      <c r="E36" s="21"/>
    </row>
  </sheetData>
  <mergeCells count="4">
    <mergeCell ref="A1:J1"/>
    <mergeCell ref="B34:J34"/>
    <mergeCell ref="B35:J35"/>
    <mergeCell ref="A36:J36"/>
  </mergeCells>
  <conditionalFormatting sqref="B6:C17">
    <cfRule type="duplicateValues" priority="3" dxfId="44"/>
  </conditionalFormatting>
  <conditionalFormatting sqref="B1:B33 B36:B1048576">
    <cfRule type="duplicateValues" priority="1" dxfId="45"/>
  </conditionalFormatting>
  <conditionalFormatting sqref="B6:B33">
    <cfRule type="duplicateValues" priority="2" dxfId="46"/>
  </conditionalFormatting>
  <pageMargins left="0.751388888888889" right="0.751388888888889" top="0.409027777777778" bottom="0.2125" header="0.5" footer="0.5"/>
  <pageSetup paperSize="9" scale="95"/>
</worksheet>
</file>

<file path=xl/worksheets/sheet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36"/>
  <sheetViews>
    <sheetView workbookViewId="0" topLeftCell="A18">
      <selection activeCell="I18" sqref="I1:I1048576"/>
    </sheetView>
  </sheetViews>
  <sheetFormatPr defaultRowHeight="18.0" customHeight="1" defaultColWidth="11"/>
  <cols>
    <col min="1" max="1" customWidth="1" width="9.125" style="1"/>
    <col min="2" max="2" customWidth="1" width="19.25" style="1"/>
    <col min="3" max="3" customWidth="1" width="12.5" style="1"/>
    <col min="4" max="4" customWidth="1" width="5.9414062" style="1"/>
    <col min="5" max="5" customWidth="1" width="5.25" style="21"/>
    <col min="6" max="6" customWidth="1" width="8.0" style="1"/>
    <col min="7" max="7" customWidth="1" width="6.625" style="1"/>
    <col min="8" max="8" customWidth="1" width="7.875" style="1"/>
    <col min="9" max="9" customWidth="1" width="8.625" style="1"/>
    <col min="10" max="10" customWidth="1" width="7.375" style="1"/>
    <col min="11" max="16321" customWidth="1" width="11.6640625" style="1"/>
    <col min="16322" max="16322" customWidth="0" width="11.6640625" style="1"/>
    <col min="16323" max="16328" customWidth="0" width="11.0" style="1"/>
    <col min="16329" max="16384" customWidth="0" width="11.0" style="2"/>
  </cols>
  <sheetData>
    <row r="1" spans="8:8" s="1" ht="24.0" customFormat="1" customHeight="1">
      <c r="A1" s="3" t="s">
        <v>0</v>
      </c>
      <c r="B1" s="3"/>
      <c r="C1" s="3"/>
      <c r="D1" s="3"/>
      <c r="E1" s="22"/>
      <c r="F1" s="3"/>
      <c r="G1" s="3"/>
      <c r="H1" s="3"/>
      <c r="I1" s="3"/>
      <c r="J1" s="3"/>
    </row>
    <row r="2" spans="8:8" s="1" ht="8.0" customFormat="1" customHeight="1">
      <c r="A2" s="3"/>
      <c r="B2" s="3"/>
      <c r="C2" s="3"/>
      <c r="D2" s="3"/>
      <c r="E2" s="22"/>
      <c r="F2" s="3"/>
      <c r="G2" s="3"/>
      <c r="H2" s="3"/>
      <c r="I2" s="3"/>
      <c r="J2" s="3"/>
    </row>
    <row r="3" spans="8:8" s="1" ht="18.0" customFormat="1" customHeight="1">
      <c r="A3" s="1" t="s">
        <v>1</v>
      </c>
      <c r="B3" s="1" t="s">
        <v>2</v>
      </c>
      <c r="E3" s="21"/>
    </row>
    <row r="4" spans="8:8" s="1" ht="18.0" customFormat="1" customHeight="1">
      <c r="A4" s="1" t="s">
        <v>3</v>
      </c>
      <c r="B4" s="4">
        <v>45257.0</v>
      </c>
      <c r="C4" s="4"/>
      <c r="D4" s="5"/>
      <c r="E4" s="23"/>
      <c r="F4" s="5"/>
      <c r="G4" s="5"/>
      <c r="H4" s="4"/>
      <c r="I4" s="4"/>
      <c r="J4" s="4"/>
    </row>
    <row r="5" spans="8:8" s="1" ht="18.0" customFormat="1" customHeight="1">
      <c r="A5" s="6" t="s">
        <v>4</v>
      </c>
      <c r="B5" s="6" t="s">
        <v>5</v>
      </c>
      <c r="C5" s="6" t="s">
        <v>6</v>
      </c>
      <c r="D5" s="6" t="s">
        <v>7</v>
      </c>
      <c r="E5" s="7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</row>
    <row r="6" spans="8:8" s="1" ht="16.0" customFormat="1" customHeight="1">
      <c r="A6" s="6">
        <v>1.0</v>
      </c>
      <c r="B6" s="6" t="s">
        <v>14</v>
      </c>
      <c r="C6" s="6"/>
      <c r="D6" s="7" t="s">
        <v>15</v>
      </c>
      <c r="E6" s="7">
        <v>7.0</v>
      </c>
      <c r="F6" s="8">
        <f>H6/0.85</f>
        <v>3.5294117647058822</v>
      </c>
      <c r="G6" s="9">
        <f>H6/F6</f>
        <v>0.85</v>
      </c>
      <c r="H6" s="10">
        <v>3.0</v>
      </c>
      <c r="I6" s="10">
        <f>E6*H6</f>
        <v>21.0</v>
      </c>
      <c r="J6" s="6"/>
    </row>
    <row r="7" spans="8:8" s="1" ht="16.0" customFormat="1" customHeight="1">
      <c r="A7" s="6">
        <v>2.0</v>
      </c>
      <c r="B7" s="6" t="s">
        <v>60</v>
      </c>
      <c r="C7" s="6"/>
      <c r="D7" s="7" t="s">
        <v>15</v>
      </c>
      <c r="E7" s="7">
        <v>2.0</v>
      </c>
      <c r="F7" s="8">
        <f t="shared" si="0" ref="F7:F26">H7/0.85</f>
        <v>4.11764705882353</v>
      </c>
      <c r="G7" s="9">
        <f t="shared" si="1" ref="G7:G26">H7/F7</f>
        <v>0.8499999999999999</v>
      </c>
      <c r="H7" s="10">
        <v>3.5</v>
      </c>
      <c r="I7" s="10">
        <f t="shared" si="2" ref="I7:I26">E7*H7</f>
        <v>7.0</v>
      </c>
      <c r="J7" s="6"/>
    </row>
    <row r="8" spans="8:8" s="1" ht="16.0" customFormat="1" customHeight="1">
      <c r="A8" s="6">
        <v>3.0</v>
      </c>
      <c r="B8" s="6" t="s">
        <v>16</v>
      </c>
      <c r="C8" s="6"/>
      <c r="D8" s="7" t="s">
        <v>15</v>
      </c>
      <c r="E8" s="7">
        <v>6.0</v>
      </c>
      <c r="F8" s="8">
        <f t="shared" si="0"/>
        <v>4.11764705882353</v>
      </c>
      <c r="G8" s="9">
        <f t="shared" si="1"/>
        <v>0.8499999999999999</v>
      </c>
      <c r="H8" s="10">
        <v>3.5</v>
      </c>
      <c r="I8" s="10">
        <f t="shared" si="2"/>
        <v>21.0</v>
      </c>
      <c r="J8" s="6"/>
    </row>
    <row r="9" spans="8:8" s="1" ht="16.0" customFormat="1" customHeight="1">
      <c r="A9" s="6">
        <v>4.0</v>
      </c>
      <c r="B9" s="11" t="s">
        <v>17</v>
      </c>
      <c r="C9" s="11"/>
      <c r="D9" s="7" t="s">
        <v>15</v>
      </c>
      <c r="E9" s="7">
        <v>5.0</v>
      </c>
      <c r="F9" s="8">
        <f t="shared" si="0"/>
        <v>4.11764705882353</v>
      </c>
      <c r="G9" s="9">
        <f t="shared" si="1"/>
        <v>0.8499999999999999</v>
      </c>
      <c r="H9" s="10">
        <v>3.5</v>
      </c>
      <c r="I9" s="10">
        <f t="shared" si="2"/>
        <v>17.5</v>
      </c>
      <c r="J9" s="6"/>
    </row>
    <row r="10" spans="8:8" s="1" ht="16.0" customFormat="1" customHeight="1">
      <c r="A10" s="6">
        <v>5.0</v>
      </c>
      <c r="B10" s="6" t="s">
        <v>19</v>
      </c>
      <c r="C10" s="6"/>
      <c r="D10" s="7" t="s">
        <v>15</v>
      </c>
      <c r="E10" s="7">
        <v>8.0</v>
      </c>
      <c r="F10" s="8">
        <f t="shared" si="0"/>
        <v>2.9411764705882355</v>
      </c>
      <c r="G10" s="9">
        <f t="shared" si="1"/>
        <v>0.85</v>
      </c>
      <c r="H10" s="10">
        <v>2.5</v>
      </c>
      <c r="I10" s="10">
        <f t="shared" si="2"/>
        <v>20.0</v>
      </c>
      <c r="J10" s="6"/>
    </row>
    <row r="11" spans="8:8" s="1" ht="16.0" customFormat="1" customHeight="1">
      <c r="A11" s="6">
        <v>6.0</v>
      </c>
      <c r="B11" s="6" t="s">
        <v>81</v>
      </c>
      <c r="C11" s="6"/>
      <c r="D11" s="7" t="s">
        <v>15</v>
      </c>
      <c r="E11" s="7">
        <v>5.0</v>
      </c>
      <c r="F11" s="8">
        <f t="shared" si="0"/>
        <v>4.11764705882353</v>
      </c>
      <c r="G11" s="9">
        <f t="shared" si="1"/>
        <v>0.8499999999999999</v>
      </c>
      <c r="H11" s="10">
        <v>3.5</v>
      </c>
      <c r="I11" s="10">
        <f t="shared" si="2"/>
        <v>17.5</v>
      </c>
      <c r="J11" s="6"/>
    </row>
    <row r="12" spans="8:8" s="1" ht="16.0" customFormat="1" customHeight="1">
      <c r="A12" s="6">
        <v>7.0</v>
      </c>
      <c r="B12" s="11" t="s">
        <v>63</v>
      </c>
      <c r="C12" s="11"/>
      <c r="D12" s="12" t="s">
        <v>15</v>
      </c>
      <c r="E12" s="12">
        <v>2.0</v>
      </c>
      <c r="F12" s="8">
        <f t="shared" si="0"/>
        <v>8.823529411764707</v>
      </c>
      <c r="G12" s="9">
        <f t="shared" si="1"/>
        <v>0.85</v>
      </c>
      <c r="H12" s="10">
        <v>7.5</v>
      </c>
      <c r="I12" s="10">
        <f t="shared" si="2"/>
        <v>15.0</v>
      </c>
      <c r="J12" s="11"/>
    </row>
    <row r="13" spans="8:8" s="1" ht="16.0" customFormat="1" customHeight="1">
      <c r="A13" s="6">
        <v>8.0</v>
      </c>
      <c r="B13" s="11" t="s">
        <v>22</v>
      </c>
      <c r="C13" s="11"/>
      <c r="D13" s="12" t="s">
        <v>23</v>
      </c>
      <c r="E13" s="12">
        <v>8.0</v>
      </c>
      <c r="F13" s="8">
        <f t="shared" si="0"/>
        <v>3.5294117647058822</v>
      </c>
      <c r="G13" s="9">
        <f t="shared" si="1"/>
        <v>0.85</v>
      </c>
      <c r="H13" s="10">
        <v>3.0</v>
      </c>
      <c r="I13" s="10">
        <f t="shared" si="2"/>
        <v>24.0</v>
      </c>
      <c r="J13" s="11"/>
    </row>
    <row r="14" spans="8:8" s="1" ht="16.0" customFormat="1" customHeight="1">
      <c r="A14" s="6">
        <v>9.0</v>
      </c>
      <c r="B14" s="11" t="s">
        <v>64</v>
      </c>
      <c r="C14" s="11"/>
      <c r="D14" s="12" t="s">
        <v>15</v>
      </c>
      <c r="E14" s="12">
        <v>2.0</v>
      </c>
      <c r="F14" s="8">
        <f t="shared" si="0"/>
        <v>4.705882352941177</v>
      </c>
      <c r="G14" s="9">
        <f t="shared" si="1"/>
        <v>0.85</v>
      </c>
      <c r="H14" s="10">
        <v>4.0</v>
      </c>
      <c r="I14" s="10">
        <f t="shared" si="2"/>
        <v>8.0</v>
      </c>
      <c r="J14" s="11"/>
    </row>
    <row r="15" spans="8:8" s="1" ht="16.0" customFormat="1" customHeight="1">
      <c r="A15" s="6">
        <v>10.0</v>
      </c>
      <c r="B15" s="11" t="s">
        <v>185</v>
      </c>
      <c r="C15" s="11"/>
      <c r="D15" s="12" t="s">
        <v>15</v>
      </c>
      <c r="E15" s="12">
        <v>5.0</v>
      </c>
      <c r="F15" s="8">
        <f t="shared" si="0"/>
        <v>6.823529411764706</v>
      </c>
      <c r="G15" s="9">
        <f t="shared" si="1"/>
        <v>0.85</v>
      </c>
      <c r="H15" s="10">
        <v>5.8</v>
      </c>
      <c r="I15" s="10">
        <f t="shared" si="2"/>
        <v>29.0</v>
      </c>
      <c r="J15" s="11"/>
    </row>
    <row r="16" spans="8:8" s="1" ht="16.0" customFormat="1" customHeight="1">
      <c r="A16" s="6">
        <v>11.0</v>
      </c>
      <c r="B16" s="11" t="s">
        <v>85</v>
      </c>
      <c r="C16" s="11"/>
      <c r="D16" s="12" t="s">
        <v>15</v>
      </c>
      <c r="E16" s="12">
        <v>2.0</v>
      </c>
      <c r="F16" s="8">
        <f t="shared" si="0"/>
        <v>11.529411764705884</v>
      </c>
      <c r="G16" s="9">
        <f t="shared" si="1"/>
        <v>0.85</v>
      </c>
      <c r="H16" s="10">
        <v>9.8</v>
      </c>
      <c r="I16" s="10">
        <f t="shared" si="2"/>
        <v>19.6</v>
      </c>
      <c r="J16" s="11"/>
    </row>
    <row r="17" spans="8:8" s="1" ht="16.0" customFormat="1" customHeight="1">
      <c r="A17" s="6">
        <v>12.0</v>
      </c>
      <c r="B17" s="6" t="s">
        <v>86</v>
      </c>
      <c r="C17" s="6"/>
      <c r="D17" s="11" t="s">
        <v>15</v>
      </c>
      <c r="E17" s="7">
        <v>7.0</v>
      </c>
      <c r="F17" s="8">
        <f t="shared" si="0"/>
        <v>5.647058823529412</v>
      </c>
      <c r="G17" s="9">
        <f t="shared" si="1"/>
        <v>0.8499999999999999</v>
      </c>
      <c r="H17" s="10">
        <v>4.8</v>
      </c>
      <c r="I17" s="10">
        <f t="shared" si="2"/>
        <v>33.6</v>
      </c>
      <c r="J17" s="6"/>
    </row>
    <row r="18" spans="8:8" s="1" ht="18.0" customFormat="1" customHeight="1">
      <c r="A18" s="6">
        <v>13.0</v>
      </c>
      <c r="B18" s="8" t="s">
        <v>45</v>
      </c>
      <c r="C18" s="8"/>
      <c r="D18" s="8" t="s">
        <v>15</v>
      </c>
      <c r="E18" s="7">
        <v>13.0</v>
      </c>
      <c r="F18" s="8">
        <f t="shared" si="0"/>
        <v>5.294117647058823</v>
      </c>
      <c r="G18" s="9">
        <f t="shared" si="1"/>
        <v>0.85</v>
      </c>
      <c r="H18" s="10">
        <v>4.5</v>
      </c>
      <c r="I18" s="10">
        <f t="shared" si="2"/>
        <v>58.5</v>
      </c>
      <c r="J18" s="8"/>
    </row>
    <row r="19" spans="8:8" s="1" ht="18.0" customFormat="1" customHeight="1">
      <c r="A19" s="6">
        <v>14.0</v>
      </c>
      <c r="B19" s="8" t="s">
        <v>28</v>
      </c>
      <c r="C19" s="8"/>
      <c r="D19" s="8" t="s">
        <v>15</v>
      </c>
      <c r="E19" s="7">
        <v>4.0</v>
      </c>
      <c r="F19" s="8">
        <f t="shared" si="0"/>
        <v>16.23529411764706</v>
      </c>
      <c r="G19" s="9">
        <f t="shared" si="1"/>
        <v>0.8499999999999999</v>
      </c>
      <c r="H19" s="10">
        <v>13.8</v>
      </c>
      <c r="I19" s="10">
        <f t="shared" si="2"/>
        <v>55.2</v>
      </c>
      <c r="J19" s="8"/>
    </row>
    <row r="20" spans="8:8" s="1" ht="18.0" customFormat="1" customHeight="1">
      <c r="A20" s="6">
        <v>15.0</v>
      </c>
      <c r="B20" s="8" t="s">
        <v>186</v>
      </c>
      <c r="C20" s="8"/>
      <c r="D20" s="8" t="s">
        <v>15</v>
      </c>
      <c r="E20" s="7">
        <v>9.7</v>
      </c>
      <c r="F20" s="8">
        <f t="shared" si="0"/>
        <v>28.235294117647058</v>
      </c>
      <c r="G20" s="9">
        <f t="shared" si="1"/>
        <v>0.85</v>
      </c>
      <c r="H20" s="10">
        <v>24.0</v>
      </c>
      <c r="I20" s="10">
        <f t="shared" si="2"/>
        <v>232.79999999999998</v>
      </c>
      <c r="J20" s="8"/>
    </row>
    <row r="21" spans="8:8" s="1" ht="18.0" customFormat="1" customHeight="1">
      <c r="A21" s="6">
        <v>16.0</v>
      </c>
      <c r="B21" s="8" t="s">
        <v>175</v>
      </c>
      <c r="C21" s="8" t="s">
        <v>176</v>
      </c>
      <c r="D21" s="8" t="s">
        <v>141</v>
      </c>
      <c r="E21" s="7">
        <v>2.0</v>
      </c>
      <c r="F21" s="8">
        <f t="shared" si="0"/>
        <v>16.23529411764706</v>
      </c>
      <c r="G21" s="9">
        <f t="shared" si="1"/>
        <v>0.8499999999999999</v>
      </c>
      <c r="H21" s="10">
        <v>13.8</v>
      </c>
      <c r="I21" s="10">
        <f t="shared" si="2"/>
        <v>27.6</v>
      </c>
      <c r="J21" s="8"/>
    </row>
    <row r="22" spans="8:8" s="1" ht="18.0" customFormat="1" customHeight="1">
      <c r="A22" s="6">
        <v>17.0</v>
      </c>
      <c r="B22" s="8" t="s">
        <v>131</v>
      </c>
      <c r="C22" s="8" t="s">
        <v>132</v>
      </c>
      <c r="D22" s="8" t="s">
        <v>53</v>
      </c>
      <c r="E22" s="7">
        <v>10.0</v>
      </c>
      <c r="F22" s="8">
        <f t="shared" si="0"/>
        <v>2.3529411764705883</v>
      </c>
      <c r="G22" s="9">
        <f t="shared" si="1"/>
        <v>0.85</v>
      </c>
      <c r="H22" s="10">
        <v>2.0</v>
      </c>
      <c r="I22" s="10">
        <f t="shared" si="2"/>
        <v>20.0</v>
      </c>
      <c r="J22" s="8"/>
    </row>
    <row r="23" spans="8:8" s="1" ht="18.0" customFormat="1" customHeight="1">
      <c r="A23" s="6">
        <v>18.0</v>
      </c>
      <c r="B23" s="8" t="s">
        <v>187</v>
      </c>
      <c r="C23" s="8" t="s">
        <v>188</v>
      </c>
      <c r="D23" s="8" t="s">
        <v>53</v>
      </c>
      <c r="E23" s="7">
        <v>1.0</v>
      </c>
      <c r="F23" s="8">
        <f t="shared" si="0"/>
        <v>129.41176470588235</v>
      </c>
      <c r="G23" s="9">
        <f t="shared" si="1"/>
        <v>0.85</v>
      </c>
      <c r="H23" s="10">
        <v>110.0</v>
      </c>
      <c r="I23" s="10">
        <f t="shared" si="2"/>
        <v>110.0</v>
      </c>
      <c r="J23" s="8"/>
    </row>
    <row r="24" spans="8:8" s="1" ht="18.0" customFormat="1" customHeight="1">
      <c r="A24" s="6">
        <v>19.0</v>
      </c>
      <c r="B24" s="8" t="s">
        <v>189</v>
      </c>
      <c r="C24" s="8" t="s">
        <v>59</v>
      </c>
      <c r="D24" s="8" t="s">
        <v>15</v>
      </c>
      <c r="E24" s="7">
        <v>3.0</v>
      </c>
      <c r="F24" s="8">
        <f t="shared" si="0"/>
        <v>5.294117647058823</v>
      </c>
      <c r="G24" s="9">
        <f t="shared" si="1"/>
        <v>0.85</v>
      </c>
      <c r="H24" s="10">
        <v>4.5</v>
      </c>
      <c r="I24" s="10">
        <f t="shared" si="2"/>
        <v>13.5</v>
      </c>
      <c r="J24" s="8"/>
    </row>
    <row r="25" spans="8:8" s="1" ht="18.0" customFormat="1" customHeight="1">
      <c r="A25" s="6">
        <v>20.0</v>
      </c>
      <c r="B25" s="8" t="s">
        <v>35</v>
      </c>
      <c r="C25" s="8"/>
      <c r="D25" s="8" t="s">
        <v>36</v>
      </c>
      <c r="E25" s="7">
        <v>50.0</v>
      </c>
      <c r="F25" s="8">
        <f t="shared" si="0"/>
        <v>4.11764705882353</v>
      </c>
      <c r="G25" s="9">
        <f t="shared" si="1"/>
        <v>0.8499999999999999</v>
      </c>
      <c r="H25" s="10">
        <v>3.5</v>
      </c>
      <c r="I25" s="10">
        <f t="shared" si="2"/>
        <v>175.0</v>
      </c>
      <c r="J25" s="8"/>
    </row>
    <row r="26" spans="8:8" s="1" ht="18.0" customFormat="1" customHeight="1">
      <c r="A26" s="6">
        <v>21.0</v>
      </c>
      <c r="B26" s="8"/>
      <c r="C26" s="8"/>
      <c r="D26" s="8"/>
      <c r="E26" s="7"/>
      <c r="F26" s="8"/>
      <c r="G26" s="9"/>
      <c r="H26" s="10"/>
      <c r="I26" s="10"/>
      <c r="J26" s="8"/>
    </row>
    <row r="27" spans="8:8" s="1" ht="18.0" customFormat="1" customHeight="1">
      <c r="A27" s="6">
        <v>22.0</v>
      </c>
      <c r="B27" s="8"/>
      <c r="C27" s="8"/>
      <c r="D27" s="8"/>
      <c r="E27" s="7"/>
      <c r="F27" s="8"/>
      <c r="G27" s="9"/>
      <c r="H27" s="10"/>
      <c r="I27" s="10"/>
      <c r="J27" s="8"/>
    </row>
    <row r="28" spans="8:8" s="1" ht="18.0" customFormat="1" customHeight="1">
      <c r="A28" s="6">
        <v>23.0</v>
      </c>
      <c r="B28" s="8"/>
      <c r="C28" s="8"/>
      <c r="D28" s="8"/>
      <c r="E28" s="7"/>
      <c r="F28" s="8"/>
      <c r="G28" s="9"/>
      <c r="H28" s="10"/>
      <c r="I28" s="10"/>
      <c r="J28" s="8"/>
    </row>
    <row r="29" spans="8:8" s="1" ht="18.0" customFormat="1" customHeight="1">
      <c r="A29" s="6">
        <v>24.0</v>
      </c>
      <c r="B29" s="8"/>
      <c r="C29" s="8"/>
      <c r="D29" s="8"/>
      <c r="E29" s="7"/>
      <c r="F29" s="8"/>
      <c r="G29" s="9"/>
      <c r="H29" s="10"/>
      <c r="I29" s="10"/>
      <c r="J29" s="8"/>
    </row>
    <row r="30" spans="8:8" s="1" ht="18.0" customFormat="1" customHeight="1">
      <c r="A30" s="6">
        <v>25.0</v>
      </c>
      <c r="B30" s="8"/>
      <c r="C30" s="8"/>
      <c r="D30" s="8"/>
      <c r="E30" s="7"/>
      <c r="F30" s="8"/>
      <c r="G30" s="9"/>
      <c r="H30" s="10"/>
      <c r="I30" s="10"/>
      <c r="J30" s="8"/>
    </row>
    <row r="31" spans="8:8" s="1" ht="18.0" customFormat="1" customHeight="1">
      <c r="A31" s="6">
        <v>26.0</v>
      </c>
      <c r="B31" s="8"/>
      <c r="C31" s="8"/>
      <c r="D31" s="8"/>
      <c r="E31" s="7"/>
      <c r="F31" s="8"/>
      <c r="G31" s="9"/>
      <c r="H31" s="10"/>
      <c r="I31" s="10"/>
      <c r="J31" s="8"/>
    </row>
    <row r="32" spans="8:8" s="1" ht="18.0" customFormat="1" customHeight="1">
      <c r="A32" s="6">
        <v>27.0</v>
      </c>
      <c r="B32" s="8"/>
      <c r="C32" s="8"/>
      <c r="D32" s="8"/>
      <c r="E32" s="7"/>
      <c r="F32" s="8"/>
      <c r="G32" s="9"/>
      <c r="H32" s="10"/>
      <c r="I32" s="10"/>
      <c r="J32" s="8"/>
    </row>
    <row r="33" spans="8:8" s="1" ht="18.0" customFormat="1" customHeight="1">
      <c r="A33" s="6">
        <v>28.0</v>
      </c>
      <c r="B33" s="8"/>
      <c r="C33" s="8"/>
      <c r="D33" s="8"/>
      <c r="E33" s="7"/>
      <c r="F33" s="8"/>
      <c r="G33" s="9"/>
      <c r="H33" s="10"/>
      <c r="I33" s="10"/>
      <c r="J33" s="8"/>
    </row>
    <row r="34" spans="8:8" s="1" ht="18.0" customFormat="1" customHeight="1">
      <c r="A34" s="6" t="s">
        <v>37</v>
      </c>
      <c r="B34" s="15">
        <f>SUM(I6:I33)</f>
        <v>925.8</v>
      </c>
      <c r="C34" s="16"/>
      <c r="D34" s="16"/>
      <c r="E34" s="24"/>
      <c r="F34" s="16"/>
      <c r="G34" s="16"/>
      <c r="H34" s="16"/>
      <c r="I34" s="16"/>
      <c r="J34" s="17"/>
    </row>
    <row r="35" spans="8:8" s="1" ht="18.0" customFormat="1" customHeight="1">
      <c r="A35" s="6" t="s">
        <v>38</v>
      </c>
      <c r="B35" s="18">
        <f>B34</f>
        <v>925.8</v>
      </c>
      <c r="C35" s="19"/>
      <c r="D35" s="19"/>
      <c r="E35" s="24"/>
      <c r="F35" s="19"/>
      <c r="G35" s="19"/>
      <c r="H35" s="19"/>
      <c r="I35" s="19"/>
      <c r="J35" s="20"/>
    </row>
    <row r="36" spans="8:8" s="1" ht="18.0" customFormat="1" customHeight="1">
      <c r="A36" s="1" t="s">
        <v>39</v>
      </c>
      <c r="E36" s="21"/>
    </row>
  </sheetData>
  <mergeCells count="4">
    <mergeCell ref="A1:J1"/>
    <mergeCell ref="B34:J34"/>
    <mergeCell ref="B35:J35"/>
    <mergeCell ref="A36:J36"/>
  </mergeCells>
  <conditionalFormatting sqref="B6:C16">
    <cfRule type="duplicateValues" priority="3" dxfId="47"/>
  </conditionalFormatting>
  <conditionalFormatting sqref="B6:B33">
    <cfRule type="duplicateValues" priority="2" dxfId="48"/>
  </conditionalFormatting>
  <conditionalFormatting sqref="B1:B33 B36:B1048576">
    <cfRule type="duplicateValues" priority="1" dxfId="49"/>
  </conditionalFormatting>
  <pageMargins left="0.751388888888889" right="0.751388888888889" top="0.409027777777778" bottom="0.2125" header="0.5" footer="0.5"/>
  <pageSetup paperSize="9" scale="95"/>
</worksheet>
</file>

<file path=xl/worksheets/sheet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35"/>
  <sheetViews>
    <sheetView workbookViewId="0" topLeftCell="A18">
      <selection activeCell="I18" sqref="I1:I1048576"/>
    </sheetView>
  </sheetViews>
  <sheetFormatPr defaultRowHeight="18.0" customHeight="1" defaultColWidth="11"/>
  <cols>
    <col min="1" max="1" customWidth="1" width="9.25" style="1"/>
    <col min="2" max="2" customWidth="1" width="22.75" style="1"/>
    <col min="3" max="3" customWidth="1" width="11.125" style="1"/>
    <col min="4" max="4" customWidth="1" width="5.9414062" style="1"/>
    <col min="5" max="5" customWidth="1" width="5.25" style="21"/>
    <col min="6" max="6" customWidth="1" width="8.0" style="1"/>
    <col min="7" max="7" customWidth="1" width="6.625" style="1"/>
    <col min="8" max="8" customWidth="1" width="7.875" style="1"/>
    <col min="9" max="9" customWidth="1" width="8.625" style="1"/>
    <col min="10" max="10" customWidth="1" width="7.375" style="1"/>
    <col min="11" max="16321" customWidth="1" width="11.6640625" style="1"/>
    <col min="16322" max="16322" customWidth="0" width="11.6640625" style="1"/>
    <col min="16323" max="16328" customWidth="0" width="11.0" style="1"/>
    <col min="16329" max="16384" customWidth="0" width="11.0" style="2"/>
  </cols>
  <sheetData>
    <row r="1" spans="8:8" s="1" ht="24.0" customFormat="1" customHeight="1">
      <c r="A1" s="3" t="s">
        <v>0</v>
      </c>
      <c r="B1" s="3"/>
      <c r="C1" s="3"/>
      <c r="D1" s="3"/>
      <c r="E1" s="22"/>
      <c r="F1" s="3"/>
      <c r="G1" s="3"/>
      <c r="H1" s="3"/>
      <c r="I1" s="3"/>
      <c r="J1" s="3"/>
    </row>
    <row r="2" spans="8:8" s="1" ht="8.0" customFormat="1" customHeight="1">
      <c r="A2" s="3"/>
      <c r="B2" s="3"/>
      <c r="C2" s="3"/>
      <c r="D2" s="3"/>
      <c r="E2" s="22"/>
      <c r="F2" s="3"/>
      <c r="G2" s="3"/>
      <c r="H2" s="3"/>
      <c r="I2" s="3"/>
      <c r="J2" s="3"/>
    </row>
    <row r="3" spans="8:8" s="1" ht="18.0" customFormat="1" customHeight="1">
      <c r="A3" s="1" t="s">
        <v>1</v>
      </c>
      <c r="B3" s="1" t="s">
        <v>2</v>
      </c>
      <c r="E3" s="21"/>
    </row>
    <row r="4" spans="8:8" s="1" ht="18.0" customFormat="1" customHeight="1">
      <c r="A4" s="1" t="s">
        <v>3</v>
      </c>
      <c r="B4" s="4">
        <v>45258.0</v>
      </c>
      <c r="C4" s="4"/>
      <c r="D4" s="5"/>
      <c r="E4" s="23"/>
      <c r="F4" s="5"/>
      <c r="G4" s="5"/>
      <c r="H4" s="4"/>
      <c r="I4" s="4"/>
      <c r="J4" s="4"/>
    </row>
    <row r="5" spans="8:8" s="1" ht="18.0" customFormat="1" customHeight="1">
      <c r="A5" s="6" t="s">
        <v>4</v>
      </c>
      <c r="B5" s="6" t="s">
        <v>5</v>
      </c>
      <c r="C5" s="6" t="s">
        <v>6</v>
      </c>
      <c r="D5" s="6" t="s">
        <v>7</v>
      </c>
      <c r="E5" s="7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</row>
    <row r="6" spans="8:8" s="1" ht="16.0" customFormat="1" customHeight="1">
      <c r="A6" s="6">
        <v>1.0</v>
      </c>
      <c r="B6" s="6" t="s">
        <v>14</v>
      </c>
      <c r="C6" s="6"/>
      <c r="D6" s="7" t="s">
        <v>15</v>
      </c>
      <c r="E6" s="7">
        <v>5.0</v>
      </c>
      <c r="F6" s="8">
        <f t="shared" si="0" ref="F6:F26">H6/0.85</f>
        <v>3.5294117647058822</v>
      </c>
      <c r="G6" s="9">
        <f t="shared" si="1" ref="G6:G26">H6/F6</f>
        <v>0.85</v>
      </c>
      <c r="H6" s="10">
        <v>3.0</v>
      </c>
      <c r="I6" s="10">
        <f t="shared" si="2" ref="I6:I26">E6*H6</f>
        <v>15.0</v>
      </c>
      <c r="J6" s="6"/>
    </row>
    <row r="7" spans="8:8" s="1" ht="16.0" customFormat="1" customHeight="1">
      <c r="A7" s="6">
        <v>2.0</v>
      </c>
      <c r="B7" s="6" t="s">
        <v>16</v>
      </c>
      <c r="C7" s="6"/>
      <c r="D7" s="7" t="s">
        <v>15</v>
      </c>
      <c r="E7" s="7">
        <v>4.0</v>
      </c>
      <c r="F7" s="8">
        <f t="shared" si="0"/>
        <v>4.11764705882353</v>
      </c>
      <c r="G7" s="9">
        <f t="shared" si="1"/>
        <v>0.8499999999999999</v>
      </c>
      <c r="H7" s="10">
        <v>3.5</v>
      </c>
      <c r="I7" s="10">
        <f t="shared" si="2"/>
        <v>14.0</v>
      </c>
      <c r="J7" s="6"/>
    </row>
    <row r="8" spans="8:8" s="1" ht="16.0" customFormat="1" customHeight="1">
      <c r="A8" s="6">
        <v>3.0</v>
      </c>
      <c r="B8" s="6" t="s">
        <v>17</v>
      </c>
      <c r="C8" s="6"/>
      <c r="D8" s="7" t="s">
        <v>15</v>
      </c>
      <c r="E8" s="7">
        <v>4.0</v>
      </c>
      <c r="F8" s="8">
        <f t="shared" si="0"/>
        <v>4.11764705882353</v>
      </c>
      <c r="G8" s="9">
        <f t="shared" si="1"/>
        <v>0.8499999999999999</v>
      </c>
      <c r="H8" s="10">
        <v>3.5</v>
      </c>
      <c r="I8" s="10">
        <f t="shared" si="2"/>
        <v>14.0</v>
      </c>
      <c r="J8" s="6"/>
    </row>
    <row r="9" spans="8:8" s="1" ht="16.0" customFormat="1" customHeight="1">
      <c r="A9" s="6">
        <v>4.0</v>
      </c>
      <c r="B9" s="11" t="s">
        <v>40</v>
      </c>
      <c r="C9" s="11"/>
      <c r="D9" s="7" t="s">
        <v>15</v>
      </c>
      <c r="E9" s="7">
        <v>5.0</v>
      </c>
      <c r="F9" s="8">
        <f t="shared" si="0"/>
        <v>15.058823529411766</v>
      </c>
      <c r="G9" s="9">
        <f t="shared" si="1"/>
        <v>0.85</v>
      </c>
      <c r="H9" s="10">
        <v>12.8</v>
      </c>
      <c r="I9" s="10">
        <f t="shared" si="2"/>
        <v>64.0</v>
      </c>
      <c r="J9" s="6"/>
    </row>
    <row r="10" spans="8:8" s="1" ht="16.0" customFormat="1" customHeight="1">
      <c r="A10" s="6">
        <v>5.0</v>
      </c>
      <c r="B10" s="6" t="s">
        <v>72</v>
      </c>
      <c r="C10" s="6"/>
      <c r="D10" s="7" t="s">
        <v>15</v>
      </c>
      <c r="E10" s="7">
        <v>4.0</v>
      </c>
      <c r="F10" s="8">
        <f t="shared" si="0"/>
        <v>9.176470588235293</v>
      </c>
      <c r="G10" s="9">
        <f t="shared" si="1"/>
        <v>0.8500000000000001</v>
      </c>
      <c r="H10" s="10">
        <v>7.8</v>
      </c>
      <c r="I10" s="10">
        <f t="shared" si="2"/>
        <v>31.2</v>
      </c>
      <c r="J10" s="6"/>
    </row>
    <row r="11" spans="8:8" s="1" ht="16.0" customFormat="1" customHeight="1">
      <c r="A11" s="6">
        <v>6.0</v>
      </c>
      <c r="B11" s="6" t="s">
        <v>41</v>
      </c>
      <c r="C11" s="6"/>
      <c r="D11" s="7" t="s">
        <v>15</v>
      </c>
      <c r="E11" s="7">
        <v>1.0</v>
      </c>
      <c r="F11" s="8">
        <f t="shared" si="0"/>
        <v>8.0</v>
      </c>
      <c r="G11" s="9">
        <f t="shared" si="1"/>
        <v>0.85</v>
      </c>
      <c r="H11" s="10">
        <v>6.8</v>
      </c>
      <c r="I11" s="10">
        <f t="shared" si="2"/>
        <v>6.8</v>
      </c>
      <c r="J11" s="6"/>
    </row>
    <row r="12" spans="8:8" s="1" ht="16.0" customFormat="1" customHeight="1">
      <c r="A12" s="6">
        <v>7.0</v>
      </c>
      <c r="B12" s="11" t="s">
        <v>20</v>
      </c>
      <c r="C12" s="11"/>
      <c r="D12" s="12" t="s">
        <v>15</v>
      </c>
      <c r="E12" s="12">
        <v>18.0</v>
      </c>
      <c r="F12" s="8">
        <f t="shared" si="0"/>
        <v>4.11764705882353</v>
      </c>
      <c r="G12" s="9">
        <f t="shared" si="1"/>
        <v>0.8499999999999999</v>
      </c>
      <c r="H12" s="14">
        <v>3.5</v>
      </c>
      <c r="I12" s="10">
        <f t="shared" si="2"/>
        <v>63.0</v>
      </c>
      <c r="J12" s="11"/>
    </row>
    <row r="13" spans="8:8" s="1" ht="16.0" customFormat="1" customHeight="1">
      <c r="A13" s="6">
        <v>8.0</v>
      </c>
      <c r="B13" s="11" t="s">
        <v>63</v>
      </c>
      <c r="C13" s="11"/>
      <c r="D13" s="12" t="s">
        <v>15</v>
      </c>
      <c r="E13" s="12">
        <v>2.0</v>
      </c>
      <c r="F13" s="8">
        <f t="shared" si="0"/>
        <v>8.823529411764707</v>
      </c>
      <c r="G13" s="9">
        <f t="shared" si="1"/>
        <v>0.85</v>
      </c>
      <c r="H13" s="14">
        <v>7.5</v>
      </c>
      <c r="I13" s="10">
        <f t="shared" si="2"/>
        <v>15.0</v>
      </c>
      <c r="J13" s="11"/>
    </row>
    <row r="14" spans="8:8" s="1" ht="16.0" customFormat="1" customHeight="1">
      <c r="A14" s="6">
        <v>9.0</v>
      </c>
      <c r="B14" s="11" t="s">
        <v>90</v>
      </c>
      <c r="C14" s="11"/>
      <c r="D14" s="12" t="s">
        <v>15</v>
      </c>
      <c r="E14" s="12">
        <v>4.0</v>
      </c>
      <c r="F14" s="8">
        <f t="shared" si="0"/>
        <v>10.352941176470589</v>
      </c>
      <c r="G14" s="9">
        <f t="shared" si="1"/>
        <v>0.85</v>
      </c>
      <c r="H14" s="14">
        <v>8.8</v>
      </c>
      <c r="I14" s="10">
        <f t="shared" si="2"/>
        <v>35.2</v>
      </c>
      <c r="J14" s="11"/>
    </row>
    <row r="15" spans="8:8" s="1" ht="16.0" customFormat="1" customHeight="1">
      <c r="A15" s="6">
        <v>10.0</v>
      </c>
      <c r="B15" s="11" t="s">
        <v>64</v>
      </c>
      <c r="C15" s="11"/>
      <c r="D15" s="12" t="s">
        <v>15</v>
      </c>
      <c r="E15" s="12">
        <v>2.0</v>
      </c>
      <c r="F15" s="8">
        <f t="shared" si="0"/>
        <v>4.705882352941177</v>
      </c>
      <c r="G15" s="9">
        <f t="shared" si="1"/>
        <v>0.85</v>
      </c>
      <c r="H15" s="14">
        <v>4.0</v>
      </c>
      <c r="I15" s="10">
        <f t="shared" si="2"/>
        <v>8.0</v>
      </c>
      <c r="J15" s="11"/>
    </row>
    <row r="16" spans="8:8" s="1" ht="16.0" customFormat="1" customHeight="1">
      <c r="A16" s="6">
        <v>11.0</v>
      </c>
      <c r="B16" s="6" t="s">
        <v>65</v>
      </c>
      <c r="C16" s="6"/>
      <c r="D16" s="11" t="s">
        <v>15</v>
      </c>
      <c r="E16" s="7">
        <v>15.6</v>
      </c>
      <c r="F16" s="8">
        <f t="shared" si="0"/>
        <v>2.9411764705882355</v>
      </c>
      <c r="G16" s="9">
        <f t="shared" si="1"/>
        <v>0.85</v>
      </c>
      <c r="H16" s="14">
        <v>2.5</v>
      </c>
      <c r="I16" s="10">
        <f t="shared" si="2"/>
        <v>39.0</v>
      </c>
      <c r="J16" s="11"/>
    </row>
    <row r="17" spans="8:8" s="1" ht="16.0" customFormat="1" customHeight="1">
      <c r="A17" s="6">
        <v>12.0</v>
      </c>
      <c r="B17" s="6" t="s">
        <v>105</v>
      </c>
      <c r="C17" s="6"/>
      <c r="D17" s="6" t="s">
        <v>15</v>
      </c>
      <c r="E17" s="7">
        <v>14.0</v>
      </c>
      <c r="F17" s="8">
        <f t="shared" si="0"/>
        <v>5.647058823529412</v>
      </c>
      <c r="G17" s="9">
        <f t="shared" si="1"/>
        <v>0.8499999999999999</v>
      </c>
      <c r="H17" s="14">
        <v>4.8</v>
      </c>
      <c r="I17" s="10">
        <f t="shared" si="2"/>
        <v>67.2</v>
      </c>
      <c r="J17" s="6"/>
    </row>
    <row r="18" spans="8:8" s="1" ht="16.0" customFormat="1" customHeight="1">
      <c r="A18" s="6">
        <v>13.0</v>
      </c>
      <c r="B18" s="8" t="s">
        <v>161</v>
      </c>
      <c r="C18" s="8"/>
      <c r="D18" s="8" t="s">
        <v>15</v>
      </c>
      <c r="E18" s="7">
        <v>22.1</v>
      </c>
      <c r="F18" s="8">
        <f t="shared" si="0"/>
        <v>5.294117647058823</v>
      </c>
      <c r="G18" s="9">
        <f t="shared" si="1"/>
        <v>0.85</v>
      </c>
      <c r="H18" s="14">
        <v>4.5</v>
      </c>
      <c r="I18" s="10">
        <f t="shared" si="2"/>
        <v>99.45</v>
      </c>
      <c r="J18" s="6"/>
    </row>
    <row r="19" spans="8:8" s="1" ht="18.0" customFormat="1" customHeight="1">
      <c r="A19" s="6">
        <v>14.0</v>
      </c>
      <c r="B19" s="8" t="s">
        <v>46</v>
      </c>
      <c r="C19" s="8"/>
      <c r="D19" s="8" t="s">
        <v>15</v>
      </c>
      <c r="E19" s="7">
        <v>15.0</v>
      </c>
      <c r="F19" s="8">
        <f t="shared" si="0"/>
        <v>4.11764705882353</v>
      </c>
      <c r="G19" s="9">
        <f t="shared" si="1"/>
        <v>0.8499999999999999</v>
      </c>
      <c r="H19" s="14">
        <v>3.5</v>
      </c>
      <c r="I19" s="10">
        <f t="shared" si="2"/>
        <v>52.5</v>
      </c>
      <c r="J19" s="8"/>
    </row>
    <row r="20" spans="8:8" s="1" ht="18.0" customFormat="1" customHeight="1">
      <c r="A20" s="6">
        <v>15.0</v>
      </c>
      <c r="B20" s="8" t="s">
        <v>67</v>
      </c>
      <c r="C20" s="8" t="s">
        <v>68</v>
      </c>
      <c r="D20" s="8" t="s">
        <v>32</v>
      </c>
      <c r="E20" s="7">
        <v>1.0</v>
      </c>
      <c r="F20" s="8">
        <f t="shared" si="0"/>
        <v>352.94117647058823</v>
      </c>
      <c r="G20" s="9">
        <f t="shared" si="1"/>
        <v>0.85</v>
      </c>
      <c r="H20" s="14">
        <v>300.0</v>
      </c>
      <c r="I20" s="10">
        <f t="shared" si="2"/>
        <v>300.0</v>
      </c>
      <c r="J20" s="8"/>
    </row>
    <row r="21" spans="8:8" s="1" ht="18.0" customFormat="1" customHeight="1">
      <c r="A21" s="6">
        <v>16.0</v>
      </c>
      <c r="B21" s="8" t="s">
        <v>87</v>
      </c>
      <c r="C21" s="8"/>
      <c r="D21" s="8" t="s">
        <v>15</v>
      </c>
      <c r="E21" s="7">
        <v>12.7</v>
      </c>
      <c r="F21" s="8">
        <f t="shared" si="0"/>
        <v>25.88235294117647</v>
      </c>
      <c r="G21" s="9">
        <f t="shared" si="1"/>
        <v>0.85</v>
      </c>
      <c r="H21" s="14">
        <v>22.0</v>
      </c>
      <c r="I21" s="10">
        <f t="shared" si="2"/>
        <v>279.4</v>
      </c>
      <c r="J21" s="8"/>
    </row>
    <row r="22" spans="8:8" s="1" ht="18.0" customFormat="1" customHeight="1">
      <c r="A22" s="6">
        <v>17.0</v>
      </c>
      <c r="B22" s="8" t="s">
        <v>107</v>
      </c>
      <c r="C22" s="8"/>
      <c r="D22" s="8" t="s">
        <v>15</v>
      </c>
      <c r="E22" s="7">
        <v>5.0</v>
      </c>
      <c r="F22" s="8">
        <f t="shared" si="0"/>
        <v>23.529411764705884</v>
      </c>
      <c r="G22" s="9">
        <f t="shared" si="1"/>
        <v>0.85</v>
      </c>
      <c r="H22" s="14">
        <v>20.0</v>
      </c>
      <c r="I22" s="10">
        <f t="shared" si="2"/>
        <v>100.0</v>
      </c>
      <c r="J22" s="8"/>
    </row>
    <row r="23" spans="8:8" s="1" ht="18.0" customFormat="1" customHeight="1">
      <c r="A23" s="6">
        <v>18.0</v>
      </c>
      <c r="B23" s="8" t="s">
        <v>29</v>
      </c>
      <c r="C23" s="8"/>
      <c r="D23" s="8" t="s">
        <v>15</v>
      </c>
      <c r="E23" s="7">
        <v>8.0</v>
      </c>
      <c r="F23" s="8">
        <f t="shared" si="0"/>
        <v>32.94117647058824</v>
      </c>
      <c r="G23" s="9">
        <f t="shared" si="1"/>
        <v>0.8499999999999999</v>
      </c>
      <c r="H23" s="14">
        <v>28.0</v>
      </c>
      <c r="I23" s="10">
        <f t="shared" si="2"/>
        <v>224.0</v>
      </c>
      <c r="J23" s="8"/>
    </row>
    <row r="24" spans="8:8" s="1" ht="18.0" customFormat="1" customHeight="1">
      <c r="A24" s="6">
        <v>19.0</v>
      </c>
      <c r="B24" s="8" t="s">
        <v>190</v>
      </c>
      <c r="C24" s="8" t="s">
        <v>191</v>
      </c>
      <c r="D24" s="8" t="s">
        <v>53</v>
      </c>
      <c r="E24" s="7">
        <v>6.0</v>
      </c>
      <c r="F24" s="8">
        <f t="shared" si="0"/>
        <v>64.70588235294117</v>
      </c>
      <c r="G24" s="9">
        <f t="shared" si="1"/>
        <v>0.85</v>
      </c>
      <c r="H24" s="14">
        <v>55.0</v>
      </c>
      <c r="I24" s="10">
        <f t="shared" si="2"/>
        <v>330.0</v>
      </c>
      <c r="J24" s="8"/>
    </row>
    <row r="25" spans="8:8" s="1" ht="18.0" customFormat="1" customHeight="1">
      <c r="A25" s="6">
        <v>20.0</v>
      </c>
      <c r="B25" s="11" t="s">
        <v>175</v>
      </c>
      <c r="C25" s="11" t="s">
        <v>176</v>
      </c>
      <c r="D25" s="12" t="s">
        <v>141</v>
      </c>
      <c r="E25" s="12">
        <v>3.0</v>
      </c>
      <c r="F25" s="8">
        <f t="shared" si="0"/>
        <v>16.23529411764706</v>
      </c>
      <c r="G25" s="9">
        <f t="shared" si="1"/>
        <v>0.8499999999999999</v>
      </c>
      <c r="H25" s="14">
        <v>13.8</v>
      </c>
      <c r="I25" s="10">
        <f t="shared" si="2"/>
        <v>41.400000000000006</v>
      </c>
      <c r="J25" s="8"/>
    </row>
    <row r="26" spans="8:8" s="1" ht="18.0" customFormat="1" customHeight="1">
      <c r="A26" s="6">
        <v>21.0</v>
      </c>
      <c r="B26" s="8"/>
      <c r="C26" s="8"/>
      <c r="D26" s="8"/>
      <c r="E26" s="7"/>
      <c r="F26" s="8"/>
      <c r="G26" s="9"/>
      <c r="H26" s="14"/>
      <c r="I26" s="10"/>
      <c r="J26" s="8"/>
    </row>
    <row r="27" spans="8:8" s="1" ht="18.0" customFormat="1" customHeight="1">
      <c r="A27" s="6">
        <v>22.0</v>
      </c>
      <c r="B27" s="8"/>
      <c r="C27" s="8"/>
      <c r="D27" s="8"/>
      <c r="E27" s="7"/>
      <c r="F27" s="8"/>
      <c r="G27" s="9"/>
      <c r="H27" s="14"/>
      <c r="I27" s="10"/>
      <c r="J27" s="8"/>
    </row>
    <row r="28" spans="8:8" s="1" ht="18.0" customFormat="1" customHeight="1">
      <c r="A28" s="6">
        <v>23.0</v>
      </c>
      <c r="B28" s="8"/>
      <c r="C28" s="8"/>
      <c r="D28" s="8"/>
      <c r="E28" s="7"/>
      <c r="F28" s="8"/>
      <c r="G28" s="9"/>
      <c r="H28" s="14"/>
      <c r="I28" s="10"/>
      <c r="J28" s="8"/>
    </row>
    <row r="29" spans="8:8" s="1" ht="18.0" customFormat="1" customHeight="1">
      <c r="A29" s="6">
        <v>24.0</v>
      </c>
      <c r="B29" s="8"/>
      <c r="C29" s="8"/>
      <c r="D29" s="8"/>
      <c r="E29" s="7"/>
      <c r="F29" s="8"/>
      <c r="G29" s="9"/>
      <c r="H29" s="14"/>
      <c r="I29" s="10"/>
      <c r="J29" s="8"/>
    </row>
    <row r="30" spans="8:8" s="1" ht="18.0" customFormat="1" customHeight="1">
      <c r="A30" s="6">
        <v>25.0</v>
      </c>
      <c r="B30" s="8"/>
      <c r="C30" s="8"/>
      <c r="D30" s="8"/>
      <c r="E30" s="7"/>
      <c r="F30" s="8"/>
      <c r="G30" s="9"/>
      <c r="H30" s="14"/>
      <c r="I30" s="10"/>
      <c r="J30" s="8"/>
    </row>
    <row r="31" spans="8:8" s="1" ht="18.0" customFormat="1" customHeight="1">
      <c r="A31" s="6">
        <v>26.0</v>
      </c>
      <c r="B31" s="8"/>
      <c r="C31" s="8"/>
      <c r="D31" s="8"/>
      <c r="E31" s="7"/>
      <c r="F31" s="8"/>
      <c r="G31" s="9"/>
      <c r="H31" s="14"/>
      <c r="I31" s="10"/>
      <c r="J31" s="8"/>
    </row>
    <row r="32" spans="8:8" s="1" ht="18.0" customFormat="1" customHeight="1">
      <c r="A32" s="6">
        <v>27.0</v>
      </c>
      <c r="B32" s="8"/>
      <c r="C32" s="8"/>
      <c r="D32" s="8"/>
      <c r="E32" s="7"/>
      <c r="F32" s="8"/>
      <c r="G32" s="9"/>
      <c r="H32" s="14"/>
      <c r="I32" s="10"/>
      <c r="J32" s="8"/>
    </row>
    <row r="33" spans="8:8" s="1" ht="18.0" customFormat="1" customHeight="1">
      <c r="A33" s="6" t="s">
        <v>37</v>
      </c>
      <c r="B33" s="15">
        <f>SUM(I6:I32)</f>
        <v>1799.15</v>
      </c>
      <c r="C33" s="16"/>
      <c r="D33" s="16"/>
      <c r="E33" s="24"/>
      <c r="F33" s="16"/>
      <c r="G33" s="16"/>
      <c r="H33" s="16"/>
      <c r="I33" s="16"/>
      <c r="J33" s="17"/>
    </row>
    <row r="34" spans="8:8" s="1" ht="18.0" customFormat="1" customHeight="1">
      <c r="A34" s="6" t="s">
        <v>38</v>
      </c>
      <c r="B34" s="18">
        <f>B33</f>
        <v>1799.15</v>
      </c>
      <c r="C34" s="19"/>
      <c r="D34" s="19"/>
      <c r="E34" s="24"/>
      <c r="F34" s="19"/>
      <c r="G34" s="19"/>
      <c r="H34" s="19"/>
      <c r="I34" s="19"/>
      <c r="J34" s="20"/>
    </row>
    <row r="35" spans="8:8" s="1" ht="18.0" customFormat="1" customHeight="1">
      <c r="A35" s="1" t="s">
        <v>39</v>
      </c>
      <c r="E35" s="21"/>
    </row>
  </sheetData>
  <mergeCells count="4">
    <mergeCell ref="A1:J1"/>
    <mergeCell ref="B33:J33"/>
    <mergeCell ref="B34:J34"/>
    <mergeCell ref="A35:J35"/>
  </mergeCells>
  <conditionalFormatting sqref="B1:B32 B35:B1048576">
    <cfRule type="duplicateValues" priority="1" dxfId="50"/>
  </conditionalFormatting>
  <conditionalFormatting sqref="B6:C16">
    <cfRule type="duplicateValues" priority="3" dxfId="51"/>
  </conditionalFormatting>
  <conditionalFormatting sqref="B6:B32">
    <cfRule type="duplicateValues" priority="2" dxfId="52"/>
  </conditionalFormatting>
  <pageMargins left="0.751388888888889" right="0.751388888888889" top="0.409027777777778" bottom="0.2125" header="0.5" footer="0.5"/>
  <pageSetup paperSize="9" scale="93"/>
</worksheet>
</file>

<file path=xl/worksheets/sheet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33"/>
  <sheetViews>
    <sheetView workbookViewId="0" topLeftCell="A16">
      <selection activeCell="I16" sqref="I1:I1048576"/>
    </sheetView>
  </sheetViews>
  <sheetFormatPr defaultRowHeight="18.0" customHeight="1" defaultColWidth="11"/>
  <cols>
    <col min="1" max="1" customWidth="1" width="9.25" style="1"/>
    <col min="2" max="2" customWidth="1" width="22.75" style="1"/>
    <col min="3" max="3" customWidth="1" width="11.125" style="1"/>
    <col min="4" max="4" customWidth="1" width="5.9414062" style="1"/>
    <col min="5" max="5" customWidth="1" width="5.25" style="21"/>
    <col min="6" max="6" customWidth="1" width="8.0" style="1"/>
    <col min="7" max="7" customWidth="1" width="6.625" style="1"/>
    <col min="8" max="8" customWidth="1" width="7.875" style="1"/>
    <col min="9" max="9" customWidth="1" width="8.625" style="1"/>
    <col min="10" max="10" customWidth="1" width="7.375" style="1"/>
    <col min="11" max="16321" customWidth="1" width="11.6640625" style="1"/>
    <col min="16322" max="16322" customWidth="0" width="11.6640625" style="1"/>
    <col min="16323" max="16328" customWidth="0" width="11.0" style="1"/>
    <col min="16329" max="16384" customWidth="0" width="11.0" style="2"/>
  </cols>
  <sheetData>
    <row r="1" spans="8:8" s="1" ht="24.0" customFormat="1" customHeight="1">
      <c r="A1" s="3" t="s">
        <v>0</v>
      </c>
      <c r="B1" s="3"/>
      <c r="C1" s="3"/>
      <c r="D1" s="3"/>
      <c r="E1" s="22"/>
      <c r="F1" s="3"/>
      <c r="G1" s="3"/>
      <c r="H1" s="3"/>
      <c r="I1" s="3"/>
      <c r="J1" s="3"/>
    </row>
    <row r="2" spans="8:8" s="1" ht="8.0" customFormat="1" customHeight="1">
      <c r="A2" s="3"/>
      <c r="B2" s="3"/>
      <c r="C2" s="3"/>
      <c r="D2" s="3"/>
      <c r="E2" s="22"/>
      <c r="F2" s="3"/>
      <c r="G2" s="3"/>
      <c r="H2" s="3"/>
      <c r="I2" s="3"/>
      <c r="J2" s="3"/>
    </row>
    <row r="3" spans="8:8" s="1" ht="18.0" customFormat="1" customHeight="1">
      <c r="A3" s="1" t="s">
        <v>1</v>
      </c>
      <c r="B3" s="1" t="s">
        <v>2</v>
      </c>
      <c r="E3" s="21"/>
    </row>
    <row r="4" spans="8:8" s="1" ht="18.0" customFormat="1" customHeight="1">
      <c r="A4" s="1" t="s">
        <v>3</v>
      </c>
      <c r="B4" s="4">
        <v>45259.0</v>
      </c>
      <c r="C4" s="4"/>
      <c r="D4" s="5"/>
      <c r="E4" s="23"/>
      <c r="F4" s="5"/>
      <c r="G4" s="5"/>
      <c r="H4" s="4"/>
      <c r="I4" s="4"/>
      <c r="J4" s="4"/>
    </row>
    <row r="5" spans="8:8" s="1" ht="18.0" customFormat="1" customHeight="1">
      <c r="A5" s="6" t="s">
        <v>4</v>
      </c>
      <c r="B5" s="6" t="s">
        <v>5</v>
      </c>
      <c r="C5" s="6" t="s">
        <v>6</v>
      </c>
      <c r="D5" s="6" t="s">
        <v>7</v>
      </c>
      <c r="E5" s="7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</row>
    <row r="6" spans="8:8" s="1" ht="16.0" customFormat="1" customHeight="1">
      <c r="A6" s="6">
        <v>1.0</v>
      </c>
      <c r="B6" s="6" t="s">
        <v>14</v>
      </c>
      <c r="C6" s="6"/>
      <c r="D6" s="7" t="s">
        <v>15</v>
      </c>
      <c r="E6" s="7">
        <v>3.0</v>
      </c>
      <c r="F6" s="8">
        <f t="shared" si="0" ref="F6:F24">H6/0.85</f>
        <v>3.5294117647058822</v>
      </c>
      <c r="G6" s="9">
        <f t="shared" si="1" ref="G6:G24">H6/F6</f>
        <v>0.85</v>
      </c>
      <c r="H6" s="10">
        <v>3.0</v>
      </c>
      <c r="I6" s="10">
        <f t="shared" si="2" ref="I6:I24">E6*H6</f>
        <v>9.0</v>
      </c>
      <c r="J6" s="6"/>
    </row>
    <row r="7" spans="8:8" s="1" ht="16.0" customFormat="1" customHeight="1">
      <c r="A7" s="6">
        <v>2.0</v>
      </c>
      <c r="B7" s="6" t="s">
        <v>60</v>
      </c>
      <c r="C7" s="6"/>
      <c r="D7" s="7" t="s">
        <v>15</v>
      </c>
      <c r="E7" s="7">
        <v>2.0</v>
      </c>
      <c r="F7" s="8">
        <f t="shared" si="0"/>
        <v>4.11764705882353</v>
      </c>
      <c r="G7" s="9">
        <f t="shared" si="1"/>
        <v>0.8499999999999999</v>
      </c>
      <c r="H7" s="10">
        <v>3.5</v>
      </c>
      <c r="I7" s="10">
        <f t="shared" si="2"/>
        <v>7.0</v>
      </c>
      <c r="J7" s="6"/>
    </row>
    <row r="8" spans="8:8" s="1" ht="16.0" customFormat="1" customHeight="1">
      <c r="A8" s="6">
        <v>3.0</v>
      </c>
      <c r="B8" s="6" t="s">
        <v>17</v>
      </c>
      <c r="C8" s="6"/>
      <c r="D8" s="7" t="s">
        <v>15</v>
      </c>
      <c r="E8" s="7">
        <v>2.0</v>
      </c>
      <c r="F8" s="8">
        <f t="shared" si="0"/>
        <v>4.11764705882353</v>
      </c>
      <c r="G8" s="9">
        <f t="shared" si="1"/>
        <v>0.8499999999999999</v>
      </c>
      <c r="H8" s="10">
        <v>3.5</v>
      </c>
      <c r="I8" s="10">
        <f t="shared" si="2"/>
        <v>7.0</v>
      </c>
      <c r="J8" s="6"/>
    </row>
    <row r="9" spans="8:8" s="1" ht="16.0" customFormat="1" customHeight="1">
      <c r="A9" s="6">
        <v>4.0</v>
      </c>
      <c r="B9" s="11" t="s">
        <v>18</v>
      </c>
      <c r="C9" s="11"/>
      <c r="D9" s="7" t="s">
        <v>15</v>
      </c>
      <c r="E9" s="7">
        <v>4.0</v>
      </c>
      <c r="F9" s="8">
        <f t="shared" si="0"/>
        <v>7.0588235294117645</v>
      </c>
      <c r="G9" s="9">
        <f t="shared" si="1"/>
        <v>0.85</v>
      </c>
      <c r="H9" s="10">
        <v>6.0</v>
      </c>
      <c r="I9" s="10">
        <f t="shared" si="2"/>
        <v>24.0</v>
      </c>
      <c r="J9" s="6"/>
    </row>
    <row r="10" spans="8:8" s="1" ht="16.0" customFormat="1" customHeight="1">
      <c r="A10" s="6">
        <v>5.0</v>
      </c>
      <c r="B10" s="6" t="s">
        <v>102</v>
      </c>
      <c r="C10" s="6"/>
      <c r="D10" s="7" t="s">
        <v>15</v>
      </c>
      <c r="E10" s="7">
        <v>5.0</v>
      </c>
      <c r="F10" s="8">
        <f t="shared" si="0"/>
        <v>4.470588235294118</v>
      </c>
      <c r="G10" s="9">
        <f t="shared" si="1"/>
        <v>0.85</v>
      </c>
      <c r="H10" s="10">
        <v>3.8</v>
      </c>
      <c r="I10" s="10">
        <f t="shared" si="2"/>
        <v>19.0</v>
      </c>
      <c r="J10" s="6"/>
    </row>
    <row r="11" spans="8:8" s="1" ht="16.0" customFormat="1" customHeight="1">
      <c r="A11" s="6">
        <v>6.0</v>
      </c>
      <c r="B11" s="6" t="s">
        <v>22</v>
      </c>
      <c r="C11" s="6"/>
      <c r="D11" s="7" t="s">
        <v>23</v>
      </c>
      <c r="E11" s="7">
        <v>9.0</v>
      </c>
      <c r="F11" s="8">
        <f t="shared" si="0"/>
        <v>3.5294117647058822</v>
      </c>
      <c r="G11" s="9">
        <f t="shared" si="1"/>
        <v>0.85</v>
      </c>
      <c r="H11" s="10">
        <v>3.0</v>
      </c>
      <c r="I11" s="10">
        <f t="shared" si="2"/>
        <v>27.0</v>
      </c>
      <c r="J11" s="6"/>
    </row>
    <row r="12" spans="8:8" s="1" ht="16.0" customFormat="1" customHeight="1">
      <c r="A12" s="6">
        <v>7.0</v>
      </c>
      <c r="B12" s="11" t="s">
        <v>114</v>
      </c>
      <c r="C12" s="11"/>
      <c r="D12" s="12" t="s">
        <v>15</v>
      </c>
      <c r="E12" s="12">
        <v>9.0</v>
      </c>
      <c r="F12" s="8">
        <f t="shared" si="0"/>
        <v>6.823529411764706</v>
      </c>
      <c r="G12" s="9">
        <f t="shared" si="1"/>
        <v>0.85</v>
      </c>
      <c r="H12" s="14">
        <v>5.8</v>
      </c>
      <c r="I12" s="10">
        <f t="shared" si="2"/>
        <v>52.199999999999996</v>
      </c>
      <c r="J12" s="11"/>
    </row>
    <row r="13" spans="8:8" s="1" ht="16.0" customFormat="1" customHeight="1">
      <c r="A13" s="6">
        <v>8.0</v>
      </c>
      <c r="B13" s="11" t="s">
        <v>115</v>
      </c>
      <c r="C13" s="11"/>
      <c r="D13" s="12" t="s">
        <v>15</v>
      </c>
      <c r="E13" s="12">
        <v>6.0</v>
      </c>
      <c r="F13" s="8">
        <f t="shared" si="0"/>
        <v>13.882352941176471</v>
      </c>
      <c r="G13" s="9">
        <f t="shared" si="1"/>
        <v>0.85</v>
      </c>
      <c r="H13" s="14">
        <v>11.8</v>
      </c>
      <c r="I13" s="10">
        <f t="shared" si="2"/>
        <v>70.80000000000001</v>
      </c>
      <c r="J13" s="11"/>
    </row>
    <row r="14" spans="8:8" s="1" ht="16.0" customFormat="1" customHeight="1">
      <c r="A14" s="6">
        <v>9.0</v>
      </c>
      <c r="B14" s="11" t="s">
        <v>85</v>
      </c>
      <c r="C14" s="11"/>
      <c r="D14" s="12" t="s">
        <v>15</v>
      </c>
      <c r="E14" s="12">
        <v>1.0</v>
      </c>
      <c r="F14" s="8">
        <f t="shared" si="0"/>
        <v>11.529411764705884</v>
      </c>
      <c r="G14" s="9">
        <f t="shared" si="1"/>
        <v>0.85</v>
      </c>
      <c r="H14" s="14">
        <v>9.8</v>
      </c>
      <c r="I14" s="10">
        <f t="shared" si="2"/>
        <v>9.8</v>
      </c>
      <c r="J14" s="11"/>
    </row>
    <row r="15" spans="8:8" s="1" ht="16.0" customFormat="1" customHeight="1">
      <c r="A15" s="6">
        <v>10.0</v>
      </c>
      <c r="B15" s="11" t="s">
        <v>159</v>
      </c>
      <c r="C15" s="11"/>
      <c r="D15" s="12" t="s">
        <v>15</v>
      </c>
      <c r="E15" s="12">
        <v>13.0</v>
      </c>
      <c r="F15" s="8">
        <f t="shared" si="0"/>
        <v>5.647058823529412</v>
      </c>
      <c r="G15" s="9">
        <f t="shared" si="1"/>
        <v>0.8499999999999999</v>
      </c>
      <c r="H15" s="14">
        <v>4.8</v>
      </c>
      <c r="I15" s="10">
        <f t="shared" si="2"/>
        <v>62.4</v>
      </c>
      <c r="J15" s="11"/>
    </row>
    <row r="16" spans="8:8" s="1" ht="16.0" customFormat="1" customHeight="1">
      <c r="A16" s="6">
        <v>11.0</v>
      </c>
      <c r="B16" s="6" t="s">
        <v>142</v>
      </c>
      <c r="C16" s="6"/>
      <c r="D16" s="11" t="s">
        <v>15</v>
      </c>
      <c r="E16" s="7">
        <v>8.0</v>
      </c>
      <c r="F16" s="8">
        <f t="shared" si="0"/>
        <v>8.0</v>
      </c>
      <c r="G16" s="9">
        <f t="shared" si="1"/>
        <v>0.85</v>
      </c>
      <c r="H16" s="14">
        <v>6.8</v>
      </c>
      <c r="I16" s="10">
        <f t="shared" si="2"/>
        <v>54.4</v>
      </c>
      <c r="J16" s="11"/>
    </row>
    <row r="17" spans="8:8" s="1" ht="16.0" customFormat="1" customHeight="1">
      <c r="A17" s="6">
        <v>12.0</v>
      </c>
      <c r="B17" s="6" t="s">
        <v>28</v>
      </c>
      <c r="C17" s="6"/>
      <c r="D17" s="6" t="s">
        <v>15</v>
      </c>
      <c r="E17" s="7">
        <v>2.0</v>
      </c>
      <c r="F17" s="8">
        <f t="shared" si="0"/>
        <v>16.23529411764706</v>
      </c>
      <c r="G17" s="9">
        <f t="shared" si="1"/>
        <v>0.8499999999999999</v>
      </c>
      <c r="H17" s="14">
        <v>13.8</v>
      </c>
      <c r="I17" s="10">
        <f t="shared" si="2"/>
        <v>27.6</v>
      </c>
      <c r="J17" s="6"/>
    </row>
    <row r="18" spans="8:8" s="1" ht="16.0" customFormat="1" customHeight="1">
      <c r="A18" s="6">
        <v>13.0</v>
      </c>
      <c r="B18" s="8" t="s">
        <v>93</v>
      </c>
      <c r="C18" s="8"/>
      <c r="D18" s="8" t="s">
        <v>15</v>
      </c>
      <c r="E18" s="7">
        <v>3.0</v>
      </c>
      <c r="F18" s="8">
        <f t="shared" si="0"/>
        <v>18.58823529411765</v>
      </c>
      <c r="G18" s="9">
        <f t="shared" si="1"/>
        <v>0.85</v>
      </c>
      <c r="H18" s="14">
        <v>15.8</v>
      </c>
      <c r="I18" s="10">
        <f t="shared" si="2"/>
        <v>47.400000000000006</v>
      </c>
      <c r="J18" s="6"/>
    </row>
    <row r="19" spans="8:8" s="1" ht="18.0" customFormat="1" customHeight="1">
      <c r="A19" s="6">
        <v>14.0</v>
      </c>
      <c r="B19" s="8" t="s">
        <v>29</v>
      </c>
      <c r="C19" s="8"/>
      <c r="D19" s="8" t="s">
        <v>15</v>
      </c>
      <c r="E19" s="7">
        <v>8.0</v>
      </c>
      <c r="F19" s="8">
        <f t="shared" si="0"/>
        <v>32.94117647058824</v>
      </c>
      <c r="G19" s="9">
        <f t="shared" si="1"/>
        <v>0.8499999999999999</v>
      </c>
      <c r="H19" s="14">
        <v>28.0</v>
      </c>
      <c r="I19" s="10">
        <f t="shared" si="2"/>
        <v>224.0</v>
      </c>
      <c r="J19" s="8"/>
    </row>
    <row r="20" spans="8:8" s="1" ht="18.0" customFormat="1" customHeight="1">
      <c r="A20" s="6">
        <v>15.0</v>
      </c>
      <c r="B20" s="8" t="s">
        <v>128</v>
      </c>
      <c r="C20" s="8"/>
      <c r="D20" s="8" t="s">
        <v>15</v>
      </c>
      <c r="E20" s="7">
        <v>13.0</v>
      </c>
      <c r="F20" s="8">
        <f t="shared" si="0"/>
        <v>32.94117647058824</v>
      </c>
      <c r="G20" s="9">
        <f t="shared" si="1"/>
        <v>0.8499999999999999</v>
      </c>
      <c r="H20" s="14">
        <v>28.0</v>
      </c>
      <c r="I20" s="10">
        <f t="shared" si="2"/>
        <v>364.0</v>
      </c>
      <c r="J20" s="8"/>
    </row>
    <row r="21" spans="8:8" s="1" ht="18.0" customFormat="1" customHeight="1">
      <c r="A21" s="6">
        <v>16.0</v>
      </c>
      <c r="B21" s="8" t="s">
        <v>192</v>
      </c>
      <c r="C21" s="8" t="s">
        <v>193</v>
      </c>
      <c r="D21" s="8" t="s">
        <v>32</v>
      </c>
      <c r="E21" s="7">
        <v>1.0</v>
      </c>
      <c r="F21" s="8">
        <f t="shared" si="0"/>
        <v>176.47058823529412</v>
      </c>
      <c r="G21" s="9">
        <f t="shared" si="1"/>
        <v>0.85</v>
      </c>
      <c r="H21" s="14">
        <v>150.0</v>
      </c>
      <c r="I21" s="10">
        <f t="shared" si="2"/>
        <v>150.0</v>
      </c>
      <c r="J21" s="8"/>
    </row>
    <row r="22" spans="8:8" s="1" ht="18.0" customFormat="1" customHeight="1">
      <c r="A22" s="6">
        <v>17.0</v>
      </c>
      <c r="B22" s="8" t="s">
        <v>194</v>
      </c>
      <c r="C22" s="8" t="s">
        <v>59</v>
      </c>
      <c r="D22" s="8" t="s">
        <v>15</v>
      </c>
      <c r="E22" s="7">
        <v>1.0</v>
      </c>
      <c r="F22" s="8">
        <f t="shared" si="3" ref="F22:F27">H22/0.85</f>
        <v>41.1764705882353</v>
      </c>
      <c r="G22" s="9">
        <f t="shared" si="4" ref="G22:G27">H22/F22</f>
        <v>0.85</v>
      </c>
      <c r="H22" s="14">
        <v>35.0</v>
      </c>
      <c r="I22" s="10">
        <f t="shared" si="5" ref="I22:I27">E22*H22</f>
        <v>35.0</v>
      </c>
      <c r="J22" s="8"/>
    </row>
    <row r="23" spans="8:8" s="1" ht="18.0" customFormat="1" customHeight="1">
      <c r="A23" s="6">
        <v>18.0</v>
      </c>
      <c r="B23" s="8" t="s">
        <v>33</v>
      </c>
      <c r="C23" s="8" t="s">
        <v>34</v>
      </c>
      <c r="D23" s="8" t="s">
        <v>15</v>
      </c>
      <c r="E23" s="7">
        <v>4.0</v>
      </c>
      <c r="F23" s="8">
        <f t="shared" si="3"/>
        <v>5.764705882352942</v>
      </c>
      <c r="G23" s="9">
        <f t="shared" si="4"/>
        <v>0.85</v>
      </c>
      <c r="H23" s="14">
        <v>4.9</v>
      </c>
      <c r="I23" s="10">
        <f t="shared" si="5"/>
        <v>19.6</v>
      </c>
      <c r="J23" s="8"/>
    </row>
    <row r="24" spans="8:8" s="1" ht="18.0" customFormat="1" customHeight="1">
      <c r="A24" s="6">
        <v>19.0</v>
      </c>
      <c r="B24" s="8" t="s">
        <v>35</v>
      </c>
      <c r="C24" s="8"/>
      <c r="D24" s="8" t="s">
        <v>36</v>
      </c>
      <c r="E24" s="7">
        <v>45.0</v>
      </c>
      <c r="F24" s="8">
        <f t="shared" si="3"/>
        <v>4.11764705882353</v>
      </c>
      <c r="G24" s="9">
        <f t="shared" si="4"/>
        <v>0.8499999999999999</v>
      </c>
      <c r="H24" s="14">
        <v>3.5</v>
      </c>
      <c r="I24" s="10">
        <f t="shared" si="5"/>
        <v>157.5</v>
      </c>
      <c r="J24" s="8"/>
    </row>
    <row r="25" spans="8:8" s="1" ht="18.0" customFormat="1" customHeight="1">
      <c r="A25" s="6">
        <v>20.0</v>
      </c>
      <c r="B25" s="8" t="s">
        <v>80</v>
      </c>
      <c r="C25" s="8"/>
      <c r="D25" s="8" t="s">
        <v>15</v>
      </c>
      <c r="E25" s="7">
        <v>5.0</v>
      </c>
      <c r="F25" s="8">
        <f t="shared" si="3"/>
        <v>103.52941176470588</v>
      </c>
      <c r="G25" s="9">
        <f t="shared" si="4"/>
        <v>0.85</v>
      </c>
      <c r="H25" s="14">
        <v>88.0</v>
      </c>
      <c r="I25" s="10">
        <f t="shared" si="5"/>
        <v>440.0</v>
      </c>
      <c r="J25" s="8"/>
    </row>
    <row r="26" spans="8:8" s="1" ht="18.0" customFormat="1" customHeight="1">
      <c r="A26" s="6">
        <v>21.0</v>
      </c>
      <c r="B26" s="8" t="s">
        <v>195</v>
      </c>
      <c r="C26" s="8"/>
      <c r="D26" s="8" t="s">
        <v>15</v>
      </c>
      <c r="E26" s="7">
        <v>1.0</v>
      </c>
      <c r="F26" s="8">
        <f t="shared" si="3"/>
        <v>11.529411764705884</v>
      </c>
      <c r="G26" s="9">
        <f t="shared" si="4"/>
        <v>0.85</v>
      </c>
      <c r="H26" s="14">
        <v>9.8</v>
      </c>
      <c r="I26" s="10">
        <f t="shared" si="5"/>
        <v>9.8</v>
      </c>
      <c r="J26" s="8"/>
    </row>
    <row r="27" spans="8:8" s="1" ht="18.0" customFormat="1" customHeight="1">
      <c r="A27" s="6">
        <v>22.0</v>
      </c>
      <c r="B27" s="11" t="s">
        <v>77</v>
      </c>
      <c r="C27" s="11"/>
      <c r="D27" s="12" t="s">
        <v>15</v>
      </c>
      <c r="E27" s="12">
        <v>4.0</v>
      </c>
      <c r="F27" s="8">
        <f t="shared" si="3"/>
        <v>82.3529411764706</v>
      </c>
      <c r="G27" s="9">
        <f t="shared" si="4"/>
        <v>0.85</v>
      </c>
      <c r="H27" s="10">
        <v>70.0</v>
      </c>
      <c r="I27" s="10">
        <f t="shared" si="5"/>
        <v>280.0</v>
      </c>
      <c r="J27" s="8"/>
    </row>
    <row r="28" spans="8:8" s="1" ht="18.0" customFormat="1" customHeight="1">
      <c r="A28" s="6">
        <v>23.0</v>
      </c>
      <c r="B28" s="8"/>
      <c r="C28" s="8"/>
      <c r="D28" s="8"/>
      <c r="E28" s="7"/>
      <c r="F28" s="8"/>
      <c r="G28" s="9"/>
      <c r="H28" s="14"/>
      <c r="I28" s="10"/>
      <c r="J28" s="8"/>
    </row>
    <row r="29" spans="8:8" s="1" ht="18.0" customFormat="1" customHeight="1">
      <c r="A29" s="6">
        <v>24.0</v>
      </c>
      <c r="B29" s="8"/>
      <c r="C29" s="8"/>
      <c r="D29" s="8"/>
      <c r="E29" s="7"/>
      <c r="F29" s="8"/>
      <c r="G29" s="9"/>
      <c r="H29" s="14"/>
      <c r="I29" s="10"/>
      <c r="J29" s="8"/>
    </row>
    <row r="30" spans="8:8" s="1" ht="18.0" customFormat="1" customHeight="1">
      <c r="A30" s="6">
        <v>25.0</v>
      </c>
      <c r="B30" s="8"/>
      <c r="C30" s="8"/>
      <c r="D30" s="8"/>
      <c r="E30" s="7"/>
      <c r="F30" s="8"/>
      <c r="G30" s="9"/>
      <c r="H30" s="14"/>
      <c r="I30" s="10"/>
      <c r="J30" s="8"/>
    </row>
    <row r="31" spans="8:8" s="1" ht="18.0" customFormat="1" customHeight="1">
      <c r="A31" s="6" t="s">
        <v>37</v>
      </c>
      <c r="B31" s="15">
        <f>SUM(I6:I30)</f>
        <v>2097.5</v>
      </c>
      <c r="C31" s="16"/>
      <c r="D31" s="16"/>
      <c r="E31" s="24"/>
      <c r="F31" s="16"/>
      <c r="G31" s="16"/>
      <c r="H31" s="16"/>
      <c r="I31" s="16"/>
      <c r="J31" s="17"/>
    </row>
    <row r="32" spans="8:8" s="1" ht="18.0" customFormat="1" customHeight="1">
      <c r="A32" s="6" t="s">
        <v>38</v>
      </c>
      <c r="B32" s="18">
        <f>B31</f>
        <v>2097.5</v>
      </c>
      <c r="C32" s="19"/>
      <c r="D32" s="19"/>
      <c r="E32" s="24"/>
      <c r="F32" s="19"/>
      <c r="G32" s="19"/>
      <c r="H32" s="19"/>
      <c r="I32" s="19"/>
      <c r="J32" s="20"/>
    </row>
    <row r="33" spans="8:8" s="1" ht="18.0" customFormat="1" customHeight="1">
      <c r="A33" s="1" t="s">
        <v>39</v>
      </c>
      <c r="E33" s="21"/>
    </row>
  </sheetData>
  <mergeCells count="4">
    <mergeCell ref="A1:J1"/>
    <mergeCell ref="B31:J31"/>
    <mergeCell ref="B32:J32"/>
    <mergeCell ref="A33:J33"/>
  </mergeCells>
  <conditionalFormatting sqref="B6:C16">
    <cfRule type="duplicateValues" priority="5" dxfId="53"/>
  </conditionalFormatting>
  <conditionalFormatting sqref="B6:B26 B28:B30">
    <cfRule type="duplicateValues" priority="4" dxfId="54"/>
  </conditionalFormatting>
  <conditionalFormatting sqref="B1:B26 B28:B30 B33:B1048576">
    <cfRule type="duplicateValues" priority="3" dxfId="55"/>
  </conditionalFormatting>
  <conditionalFormatting sqref="B27">
    <cfRule type="duplicateValues" priority="1" dxfId="56"/>
  </conditionalFormatting>
  <conditionalFormatting sqref="B27:C27">
    <cfRule type="duplicateValues" priority="2" dxfId="57"/>
  </conditionalFormatting>
  <pageMargins left="0.751388888888889" right="0.751388888888889" top="0.409027777777778" bottom="0.2125" header="0.5" footer="0.5"/>
  <pageSetup paperSize="9" scale="93"/>
</worksheet>
</file>

<file path=xl/worksheets/sheet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35"/>
  <sheetViews>
    <sheetView workbookViewId="0" topLeftCell="A16">
      <selection activeCell="I16" sqref="I1:I1048576"/>
    </sheetView>
  </sheetViews>
  <sheetFormatPr defaultRowHeight="18.0" customHeight="1" defaultColWidth="11"/>
  <cols>
    <col min="1" max="1" customWidth="1" width="9.25" style="1"/>
    <col min="2" max="2" customWidth="1" width="22.75" style="1"/>
    <col min="3" max="3" customWidth="1" width="11.125" style="1"/>
    <col min="4" max="4" customWidth="1" width="5.9414062" style="1"/>
    <col min="5" max="5" customWidth="1" width="5.25" style="21"/>
    <col min="6" max="6" customWidth="1" width="8.0" style="1"/>
    <col min="7" max="7" customWidth="1" width="6.625" style="1"/>
    <col min="8" max="8" customWidth="1" width="7.875" style="1"/>
    <col min="9" max="9" customWidth="1" width="8.625" style="1"/>
    <col min="10" max="10" customWidth="1" width="7.375" style="1"/>
    <col min="11" max="16321" customWidth="1" width="11.6640625" style="1"/>
    <col min="16322" max="16322" customWidth="0" width="11.6640625" style="1"/>
    <col min="16323" max="16328" customWidth="0" width="11.0" style="1"/>
    <col min="16329" max="16384" customWidth="0" width="11.0" style="2"/>
  </cols>
  <sheetData>
    <row r="1" spans="8:8" s="1" ht="24.0" customFormat="1" customHeight="1">
      <c r="A1" s="3" t="s">
        <v>0</v>
      </c>
      <c r="B1" s="3"/>
      <c r="C1" s="3"/>
      <c r="D1" s="3"/>
      <c r="E1" s="22"/>
      <c r="F1" s="3"/>
      <c r="G1" s="3"/>
      <c r="H1" s="3"/>
      <c r="I1" s="3"/>
      <c r="J1" s="3"/>
    </row>
    <row r="2" spans="8:8" s="1" ht="8.0" customFormat="1" customHeight="1">
      <c r="A2" s="3"/>
      <c r="B2" s="3"/>
      <c r="C2" s="3"/>
      <c r="D2" s="3"/>
      <c r="E2" s="22"/>
      <c r="F2" s="3"/>
      <c r="G2" s="3"/>
      <c r="H2" s="3"/>
      <c r="I2" s="3"/>
      <c r="J2" s="3"/>
    </row>
    <row r="3" spans="8:8" s="1" ht="18.0" customFormat="1" customHeight="1">
      <c r="A3" s="1" t="s">
        <v>1</v>
      </c>
      <c r="B3" s="1" t="s">
        <v>2</v>
      </c>
      <c r="E3" s="21"/>
    </row>
    <row r="4" spans="8:8" s="1" ht="18.0" customFormat="1" customHeight="1">
      <c r="A4" s="1" t="s">
        <v>3</v>
      </c>
      <c r="B4" s="4">
        <v>45260.0</v>
      </c>
      <c r="C4" s="4"/>
      <c r="D4" s="5"/>
      <c r="E4" s="23"/>
      <c r="F4" s="5"/>
      <c r="G4" s="5"/>
      <c r="H4" s="4"/>
      <c r="I4" s="4"/>
      <c r="J4" s="4"/>
    </row>
    <row r="5" spans="8:8" s="1" ht="18.0" customFormat="1" customHeight="1">
      <c r="A5" s="6" t="s">
        <v>4</v>
      </c>
      <c r="B5" s="6" t="s">
        <v>5</v>
      </c>
      <c r="C5" s="6" t="s">
        <v>6</v>
      </c>
      <c r="D5" s="6" t="s">
        <v>7</v>
      </c>
      <c r="E5" s="7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</row>
    <row r="6" spans="8:8" s="1" ht="16.0" customFormat="1" customHeight="1">
      <c r="A6" s="6">
        <v>1.0</v>
      </c>
      <c r="B6" s="6" t="s">
        <v>17</v>
      </c>
      <c r="C6" s="6"/>
      <c r="D6" s="7" t="s">
        <v>15</v>
      </c>
      <c r="E6" s="7">
        <v>6.0</v>
      </c>
      <c r="F6" s="8">
        <f t="shared" si="0" ref="F6:F24">H6/0.85</f>
        <v>4.11764705882353</v>
      </c>
      <c r="G6" s="9">
        <f t="shared" si="1" ref="G6:G24">H6/F6</f>
        <v>0.8499999999999999</v>
      </c>
      <c r="H6" s="10">
        <v>3.5</v>
      </c>
      <c r="I6" s="10">
        <f t="shared" si="2" ref="I6:I24">E6*H6</f>
        <v>21.0</v>
      </c>
      <c r="J6" s="6"/>
    </row>
    <row r="7" spans="8:8" s="1" ht="16.0" customFormat="1" customHeight="1">
      <c r="A7" s="6">
        <v>2.0</v>
      </c>
      <c r="B7" s="6" t="s">
        <v>63</v>
      </c>
      <c r="C7" s="6"/>
      <c r="D7" s="7" t="s">
        <v>15</v>
      </c>
      <c r="E7" s="7">
        <v>3.0</v>
      </c>
      <c r="F7" s="8">
        <f t="shared" si="0"/>
        <v>8.823529411764707</v>
      </c>
      <c r="G7" s="9">
        <f t="shared" si="1"/>
        <v>0.85</v>
      </c>
      <c r="H7" s="10">
        <v>7.5</v>
      </c>
      <c r="I7" s="10">
        <f t="shared" si="2"/>
        <v>22.5</v>
      </c>
      <c r="J7" s="6"/>
    </row>
    <row r="8" spans="8:8" s="1" ht="16.0" customFormat="1" customHeight="1">
      <c r="A8" s="6">
        <v>3.0</v>
      </c>
      <c r="B8" s="6" t="s">
        <v>64</v>
      </c>
      <c r="C8" s="6"/>
      <c r="D8" s="7" t="s">
        <v>15</v>
      </c>
      <c r="E8" s="7">
        <v>3.0</v>
      </c>
      <c r="F8" s="8">
        <f t="shared" si="0"/>
        <v>4.705882352941177</v>
      </c>
      <c r="G8" s="9">
        <f t="shared" si="1"/>
        <v>0.85</v>
      </c>
      <c r="H8" s="10">
        <v>4.0</v>
      </c>
      <c r="I8" s="10">
        <f t="shared" si="2"/>
        <v>12.0</v>
      </c>
      <c r="J8" s="6"/>
    </row>
    <row r="9" spans="8:8" s="1" ht="16.0" customFormat="1" customHeight="1">
      <c r="A9" s="6">
        <v>4.0</v>
      </c>
      <c r="B9" s="11" t="s">
        <v>74</v>
      </c>
      <c r="C9" s="11"/>
      <c r="D9" s="7" t="s">
        <v>15</v>
      </c>
      <c r="E9" s="7">
        <v>13.0</v>
      </c>
      <c r="F9" s="8">
        <f t="shared" si="0"/>
        <v>4.470588235294118</v>
      </c>
      <c r="G9" s="9">
        <f t="shared" si="1"/>
        <v>0.85</v>
      </c>
      <c r="H9" s="10">
        <v>3.8</v>
      </c>
      <c r="I9" s="10">
        <f t="shared" si="2"/>
        <v>49.4</v>
      </c>
      <c r="J9" s="6"/>
    </row>
    <row r="10" spans="8:8" s="1" ht="16.0" customFormat="1" customHeight="1">
      <c r="A10" s="6">
        <v>5.0</v>
      </c>
      <c r="B10" s="6" t="s">
        <v>104</v>
      </c>
      <c r="C10" s="6"/>
      <c r="D10" s="7" t="s">
        <v>15</v>
      </c>
      <c r="E10" s="7">
        <v>20.0</v>
      </c>
      <c r="F10" s="8">
        <f t="shared" si="0"/>
        <v>2.9411764705882355</v>
      </c>
      <c r="G10" s="9">
        <f t="shared" si="1"/>
        <v>0.85</v>
      </c>
      <c r="H10" s="10">
        <v>2.5</v>
      </c>
      <c r="I10" s="10">
        <f t="shared" si="2"/>
        <v>50.0</v>
      </c>
      <c r="J10" s="6"/>
    </row>
    <row r="11" spans="8:8" s="1" ht="16.0" customFormat="1" customHeight="1">
      <c r="A11" s="6">
        <v>6.0</v>
      </c>
      <c r="B11" s="6" t="s">
        <v>25</v>
      </c>
      <c r="C11" s="6"/>
      <c r="D11" s="7" t="s">
        <v>15</v>
      </c>
      <c r="E11" s="7">
        <v>1.0</v>
      </c>
      <c r="F11" s="8">
        <f t="shared" si="0"/>
        <v>9.176470588235293</v>
      </c>
      <c r="G11" s="9">
        <f t="shared" si="1"/>
        <v>0.8500000000000001</v>
      </c>
      <c r="H11" s="10">
        <v>7.8</v>
      </c>
      <c r="I11" s="10">
        <f t="shared" si="2"/>
        <v>7.8</v>
      </c>
      <c r="J11" s="6"/>
    </row>
    <row r="12" spans="8:8" s="1" ht="16.0" customFormat="1" customHeight="1">
      <c r="A12" s="6">
        <v>7.0</v>
      </c>
      <c r="B12" s="11" t="s">
        <v>66</v>
      </c>
      <c r="C12" s="11"/>
      <c r="D12" s="12" t="s">
        <v>15</v>
      </c>
      <c r="E12" s="12">
        <v>12.0</v>
      </c>
      <c r="F12" s="8">
        <f t="shared" si="0"/>
        <v>2.3529411764705883</v>
      </c>
      <c r="G12" s="9">
        <f t="shared" si="1"/>
        <v>0.85</v>
      </c>
      <c r="H12" s="14">
        <v>2.0</v>
      </c>
      <c r="I12" s="10">
        <f t="shared" si="2"/>
        <v>24.0</v>
      </c>
      <c r="J12" s="11"/>
    </row>
    <row r="13" spans="8:8" s="1" ht="16.0" customFormat="1" customHeight="1">
      <c r="A13" s="6">
        <v>8.0</v>
      </c>
      <c r="B13" s="11" t="s">
        <v>116</v>
      </c>
      <c r="C13" s="11"/>
      <c r="D13" s="12" t="s">
        <v>15</v>
      </c>
      <c r="E13" s="12">
        <v>4.0</v>
      </c>
      <c r="F13" s="8">
        <f t="shared" si="0"/>
        <v>5.647058823529412</v>
      </c>
      <c r="G13" s="9">
        <f t="shared" si="1"/>
        <v>0.8499999999999999</v>
      </c>
      <c r="H13" s="14">
        <v>4.8</v>
      </c>
      <c r="I13" s="10">
        <f t="shared" si="2"/>
        <v>19.2</v>
      </c>
      <c r="J13" s="11"/>
    </row>
    <row r="14" spans="8:8" s="1" ht="16.0" customFormat="1" customHeight="1">
      <c r="A14" s="6">
        <v>9.0</v>
      </c>
      <c r="B14" s="11" t="s">
        <v>196</v>
      </c>
      <c r="C14" s="11"/>
      <c r="D14" s="12" t="s">
        <v>15</v>
      </c>
      <c r="E14" s="12">
        <v>30.3</v>
      </c>
      <c r="F14" s="8">
        <f t="shared" si="0"/>
        <v>8.0</v>
      </c>
      <c r="G14" s="9">
        <f t="shared" si="1"/>
        <v>0.85</v>
      </c>
      <c r="H14" s="14">
        <v>6.8</v>
      </c>
      <c r="I14" s="10">
        <f t="shared" si="2"/>
        <v>206.04</v>
      </c>
      <c r="J14" s="11"/>
    </row>
    <row r="15" spans="8:8" s="1" ht="16.0" customFormat="1" customHeight="1">
      <c r="A15" s="6">
        <v>10.0</v>
      </c>
      <c r="B15" s="6" t="s">
        <v>26</v>
      </c>
      <c r="C15" s="6"/>
      <c r="D15" s="11" t="s">
        <v>15</v>
      </c>
      <c r="E15" s="7">
        <v>2.0</v>
      </c>
      <c r="F15" s="8">
        <f t="shared" si="0"/>
        <v>16.23529411764706</v>
      </c>
      <c r="G15" s="9">
        <f t="shared" si="1"/>
        <v>0.8499999999999999</v>
      </c>
      <c r="H15" s="14">
        <v>13.8</v>
      </c>
      <c r="I15" s="10">
        <f t="shared" si="2"/>
        <v>27.6</v>
      </c>
      <c r="J15" s="11"/>
    </row>
    <row r="16" spans="8:8" s="1" ht="16.0" customFormat="1" customHeight="1">
      <c r="A16" s="6">
        <v>11.0</v>
      </c>
      <c r="B16" s="6" t="s">
        <v>197</v>
      </c>
      <c r="C16" s="6"/>
      <c r="D16" s="6" t="s">
        <v>15</v>
      </c>
      <c r="E16" s="7">
        <v>8.0</v>
      </c>
      <c r="F16" s="8">
        <f t="shared" si="0"/>
        <v>16.23529411764706</v>
      </c>
      <c r="G16" s="9">
        <f t="shared" si="1"/>
        <v>0.8499999999999999</v>
      </c>
      <c r="H16" s="14">
        <v>13.8</v>
      </c>
      <c r="I16" s="10">
        <f t="shared" si="2"/>
        <v>110.4</v>
      </c>
      <c r="J16" s="11"/>
    </row>
    <row r="17" spans="8:8" s="1" ht="16.0" customFormat="1" customHeight="1">
      <c r="A17" s="6">
        <v>12.0</v>
      </c>
      <c r="B17" s="8" t="s">
        <v>107</v>
      </c>
      <c r="C17" s="8"/>
      <c r="D17" s="8" t="s">
        <v>15</v>
      </c>
      <c r="E17" s="7">
        <v>5.0</v>
      </c>
      <c r="F17" s="8">
        <f t="shared" si="0"/>
        <v>23.529411764705884</v>
      </c>
      <c r="G17" s="9">
        <f t="shared" si="1"/>
        <v>0.85</v>
      </c>
      <c r="H17" s="14">
        <v>20.0</v>
      </c>
      <c r="I17" s="10">
        <f t="shared" si="2"/>
        <v>100.0</v>
      </c>
      <c r="J17" s="6"/>
    </row>
    <row r="18" spans="8:8" s="1" ht="16.0" customFormat="1" customHeight="1">
      <c r="A18" s="6">
        <v>13.0</v>
      </c>
      <c r="B18" s="8" t="s">
        <v>198</v>
      </c>
      <c r="C18" s="8"/>
      <c r="D18" s="8" t="s">
        <v>32</v>
      </c>
      <c r="E18" s="7">
        <v>1.0</v>
      </c>
      <c r="F18" s="8">
        <f t="shared" si="0"/>
        <v>211.76470588235296</v>
      </c>
      <c r="G18" s="9">
        <f t="shared" si="1"/>
        <v>0.85</v>
      </c>
      <c r="H18" s="14">
        <v>180.0</v>
      </c>
      <c r="I18" s="10">
        <f t="shared" si="2"/>
        <v>180.0</v>
      </c>
      <c r="J18" s="6"/>
    </row>
    <row r="19" spans="8:8" s="1" ht="18.0" customFormat="1" customHeight="1">
      <c r="A19" s="6">
        <v>14.0</v>
      </c>
      <c r="B19" s="8" t="s">
        <v>199</v>
      </c>
      <c r="C19" s="8" t="s">
        <v>59</v>
      </c>
      <c r="D19" s="8" t="s">
        <v>15</v>
      </c>
      <c r="E19" s="7">
        <v>1.0</v>
      </c>
      <c r="F19" s="8">
        <f t="shared" si="0"/>
        <v>17.647058823529413</v>
      </c>
      <c r="G19" s="9">
        <f t="shared" si="1"/>
        <v>0.85</v>
      </c>
      <c r="H19" s="14">
        <v>15.0</v>
      </c>
      <c r="I19" s="10">
        <f t="shared" si="2"/>
        <v>15.0</v>
      </c>
      <c r="J19" s="8"/>
    </row>
    <row r="20" spans="8:8" s="1" ht="18.0" customFormat="1" customHeight="1">
      <c r="A20" s="6">
        <v>15.0</v>
      </c>
      <c r="B20" s="8" t="s">
        <v>139</v>
      </c>
      <c r="C20" s="8" t="s">
        <v>140</v>
      </c>
      <c r="D20" s="8" t="s">
        <v>141</v>
      </c>
      <c r="E20" s="7">
        <v>10.0</v>
      </c>
      <c r="F20" s="8">
        <f t="shared" si="0"/>
        <v>8.0</v>
      </c>
      <c r="G20" s="9">
        <f t="shared" si="1"/>
        <v>0.85</v>
      </c>
      <c r="H20" s="14">
        <v>6.8</v>
      </c>
      <c r="I20" s="10">
        <f t="shared" si="2"/>
        <v>68.0</v>
      </c>
      <c r="J20" s="8"/>
    </row>
    <row r="21" spans="8:8" s="1" ht="18.0" customFormat="1" customHeight="1">
      <c r="A21" s="6">
        <v>16.0</v>
      </c>
      <c r="B21" s="8" t="s">
        <v>200</v>
      </c>
      <c r="C21" s="8" t="s">
        <v>201</v>
      </c>
      <c r="D21" s="8" t="s">
        <v>15</v>
      </c>
      <c r="E21" s="7">
        <v>6.0</v>
      </c>
      <c r="F21" s="8">
        <f t="shared" si="0"/>
        <v>8.0</v>
      </c>
      <c r="G21" s="9">
        <f t="shared" si="1"/>
        <v>0.85</v>
      </c>
      <c r="H21" s="14">
        <v>6.8</v>
      </c>
      <c r="I21" s="10">
        <f t="shared" si="2"/>
        <v>40.8</v>
      </c>
      <c r="J21" s="8"/>
    </row>
    <row r="22" spans="8:8" s="1" ht="18.0" customFormat="1" customHeight="1">
      <c r="A22" s="6">
        <v>17.0</v>
      </c>
      <c r="B22" s="8" t="s">
        <v>202</v>
      </c>
      <c r="C22" s="8" t="s">
        <v>59</v>
      </c>
      <c r="D22" s="8" t="s">
        <v>15</v>
      </c>
      <c r="E22" s="7">
        <v>2.0</v>
      </c>
      <c r="F22" s="8">
        <f t="shared" si="0"/>
        <v>8.0</v>
      </c>
      <c r="G22" s="9">
        <f t="shared" si="1"/>
        <v>0.85</v>
      </c>
      <c r="H22" s="14">
        <v>6.8</v>
      </c>
      <c r="I22" s="10">
        <f t="shared" si="2"/>
        <v>13.6</v>
      </c>
      <c r="J22" s="8"/>
    </row>
    <row r="23" spans="8:8" s="1" ht="18.0" customFormat="1" customHeight="1">
      <c r="A23" s="6">
        <v>18.0</v>
      </c>
      <c r="B23" s="11" t="s">
        <v>113</v>
      </c>
      <c r="C23" s="11"/>
      <c r="D23" s="12" t="s">
        <v>15</v>
      </c>
      <c r="E23" s="12">
        <v>8.0</v>
      </c>
      <c r="F23" s="8">
        <f t="shared" si="0"/>
        <v>103.52941176470588</v>
      </c>
      <c r="G23" s="9">
        <f t="shared" si="1"/>
        <v>0.85</v>
      </c>
      <c r="H23" s="14">
        <v>88.0</v>
      </c>
      <c r="I23" s="10">
        <f t="shared" si="2"/>
        <v>704.0</v>
      </c>
      <c r="J23" s="8"/>
    </row>
    <row r="24" spans="8:8" s="1" ht="18.0" customFormat="1" customHeight="1">
      <c r="A24" s="6">
        <v>19.0</v>
      </c>
      <c r="B24" s="8"/>
      <c r="C24" s="8"/>
      <c r="D24" s="8"/>
      <c r="E24" s="7"/>
      <c r="F24" s="8"/>
      <c r="G24" s="9"/>
      <c r="H24" s="14"/>
      <c r="I24" s="10"/>
      <c r="J24" s="8"/>
    </row>
    <row r="25" spans="8:8" s="1" ht="18.0" customFormat="1" customHeight="1">
      <c r="A25" s="6">
        <v>20.0</v>
      </c>
      <c r="B25" s="11"/>
      <c r="C25" s="11"/>
      <c r="D25" s="12"/>
      <c r="E25" s="12"/>
      <c r="F25" s="8"/>
      <c r="G25" s="9"/>
      <c r="H25" s="14"/>
      <c r="I25" s="10"/>
      <c r="J25" s="8"/>
    </row>
    <row r="26" spans="8:8" s="1" ht="18.0" customFormat="1" customHeight="1">
      <c r="A26" s="6">
        <v>21.0</v>
      </c>
      <c r="B26" s="8"/>
      <c r="C26" s="8"/>
      <c r="D26" s="8"/>
      <c r="E26" s="7"/>
      <c r="F26" s="8"/>
      <c r="G26" s="9"/>
      <c r="H26" s="14"/>
      <c r="I26" s="10"/>
      <c r="J26" s="8"/>
    </row>
    <row r="27" spans="8:8" s="1" ht="18.0" customFormat="1" customHeight="1">
      <c r="A27" s="6">
        <v>22.0</v>
      </c>
      <c r="B27" s="8"/>
      <c r="C27" s="8"/>
      <c r="D27" s="8"/>
      <c r="E27" s="7"/>
      <c r="F27" s="8"/>
      <c r="G27" s="9"/>
      <c r="H27" s="14"/>
      <c r="I27" s="10"/>
      <c r="J27" s="8"/>
    </row>
    <row r="28" spans="8:8" s="1" ht="18.0" customFormat="1" customHeight="1">
      <c r="A28" s="6">
        <v>23.0</v>
      </c>
      <c r="B28" s="8"/>
      <c r="C28" s="8"/>
      <c r="D28" s="8"/>
      <c r="E28" s="7"/>
      <c r="F28" s="8"/>
      <c r="G28" s="9"/>
      <c r="H28" s="14"/>
      <c r="I28" s="10"/>
      <c r="J28" s="8"/>
    </row>
    <row r="29" spans="8:8" s="1" ht="18.0" customFormat="1" customHeight="1">
      <c r="A29" s="6">
        <v>24.0</v>
      </c>
      <c r="B29" s="8"/>
      <c r="C29" s="8"/>
      <c r="D29" s="8"/>
      <c r="E29" s="7"/>
      <c r="F29" s="8"/>
      <c r="G29" s="9"/>
      <c r="H29" s="14"/>
      <c r="I29" s="10"/>
      <c r="J29" s="8"/>
    </row>
    <row r="30" spans="8:8" s="1" ht="18.0" customFormat="1" customHeight="1">
      <c r="A30" s="6">
        <v>25.0</v>
      </c>
      <c r="B30" s="8"/>
      <c r="C30" s="8"/>
      <c r="D30" s="8"/>
      <c r="E30" s="7"/>
      <c r="F30" s="8"/>
      <c r="G30" s="9"/>
      <c r="H30" s="14"/>
      <c r="I30" s="10"/>
      <c r="J30" s="8"/>
    </row>
    <row r="31" spans="8:8" s="1" ht="18.0" customFormat="1" customHeight="1">
      <c r="A31" s="6">
        <v>26.0</v>
      </c>
      <c r="B31" s="8"/>
      <c r="C31" s="8"/>
      <c r="D31" s="8"/>
      <c r="E31" s="7"/>
      <c r="F31" s="8"/>
      <c r="G31" s="9"/>
      <c r="H31" s="14"/>
      <c r="I31" s="10"/>
      <c r="J31" s="8"/>
    </row>
    <row r="32" spans="8:8" s="1" ht="18.0" customFormat="1" customHeight="1">
      <c r="A32" s="6">
        <v>27.0</v>
      </c>
      <c r="B32" s="8"/>
      <c r="C32" s="8"/>
      <c r="D32" s="8"/>
      <c r="E32" s="7"/>
      <c r="F32" s="8"/>
      <c r="G32" s="9"/>
      <c r="H32" s="14"/>
      <c r="I32" s="10"/>
      <c r="J32" s="8"/>
    </row>
    <row r="33" spans="8:8" s="1" ht="18.0" customFormat="1" customHeight="1">
      <c r="A33" s="6" t="s">
        <v>37</v>
      </c>
      <c r="B33" s="15">
        <f>SUM(I6:I32)</f>
        <v>1671.3400000000001</v>
      </c>
      <c r="C33" s="16"/>
      <c r="D33" s="16"/>
      <c r="E33" s="24"/>
      <c r="F33" s="16"/>
      <c r="G33" s="16"/>
      <c r="H33" s="16"/>
      <c r="I33" s="16"/>
      <c r="J33" s="17"/>
    </row>
    <row r="34" spans="8:8" s="1" ht="18.0" customFormat="1" customHeight="1">
      <c r="A34" s="6" t="s">
        <v>38</v>
      </c>
      <c r="B34" s="18">
        <f>B33</f>
        <v>1671.3400000000001</v>
      </c>
      <c r="C34" s="19"/>
      <c r="D34" s="19"/>
      <c r="E34" s="24"/>
      <c r="F34" s="19"/>
      <c r="G34" s="19"/>
      <c r="H34" s="19"/>
      <c r="I34" s="19"/>
      <c r="J34" s="20"/>
    </row>
    <row r="35" spans="8:8" s="1" ht="18.0" customFormat="1" customHeight="1">
      <c r="A35" s="1" t="s">
        <v>39</v>
      </c>
      <c r="E35" s="21"/>
    </row>
  </sheetData>
  <mergeCells count="4">
    <mergeCell ref="A1:J1"/>
    <mergeCell ref="B33:J33"/>
    <mergeCell ref="B34:J34"/>
    <mergeCell ref="A35:J35"/>
  </mergeCells>
  <conditionalFormatting sqref="B6:C16">
    <cfRule type="duplicateValues" priority="3" dxfId="58"/>
  </conditionalFormatting>
  <conditionalFormatting sqref="B6:B32">
    <cfRule type="duplicateValues" priority="2" dxfId="59"/>
  </conditionalFormatting>
  <conditionalFormatting sqref="B1:B32 B35:B1048576">
    <cfRule type="duplicateValues" priority="1" dxfId="60"/>
  </conditionalFormatting>
  <pageMargins left="0.751388888888889" right="0.751388888888889" top="0.409027777777778" bottom="0.2125" header="0.5" footer="0.5"/>
  <pageSetup paperSize="9" scale="93"/>
</worksheet>
</file>

<file path=xl/worksheets/sheet23.xml><?xml version="1.0" encoding="utf-8"?>
<worksheet xmlns:r="http://schemas.openxmlformats.org/officeDocument/2006/relationships" xmlns="http://schemas.openxmlformats.org/spreadsheetml/2006/main">
  <dimension ref="A1:C33"/>
  <sheetViews>
    <sheetView tabSelected="1" workbookViewId="0" topLeftCell="A16">
      <selection activeCell="A2" sqref="A2:B33"/>
    </sheetView>
  </sheetViews>
  <sheetFormatPr defaultRowHeight="13.5" defaultColWidth="9"/>
  <cols>
    <col min="1" max="1" customWidth="0" width="11.5" style="0"/>
    <col min="2" max="2" customWidth="0" width="10.375" style="0"/>
  </cols>
  <sheetData>
    <row r="1" spans="8:8">
      <c r="A1" t="s">
        <v>203</v>
      </c>
    </row>
    <row r="2" spans="8:8">
      <c r="A2" s="25" t="s">
        <v>204</v>
      </c>
      <c r="B2" s="25" t="s">
        <v>205</v>
      </c>
    </row>
    <row r="3" spans="8:8">
      <c r="A3" s="26">
        <v>45231.0</v>
      </c>
      <c r="B3">
        <f>'1'!B32</f>
        <v>1945.8</v>
      </c>
    </row>
    <row r="4" spans="8:8">
      <c r="A4" s="26">
        <v>45232.0</v>
      </c>
      <c r="B4">
        <f>'2'!B32</f>
        <v>1755.74</v>
      </c>
    </row>
    <row r="5" spans="8:8">
      <c r="A5" s="26">
        <v>45233.0</v>
      </c>
      <c r="B5">
        <f>'3'!B34</f>
        <v>1155.15</v>
      </c>
    </row>
    <row r="6" spans="8:8">
      <c r="A6" s="26">
        <v>45234.0</v>
      </c>
      <c r="B6">
        <v>0.0</v>
      </c>
    </row>
    <row r="7" spans="8:8">
      <c r="A7" s="26">
        <v>45235.0</v>
      </c>
      <c r="B7">
        <v>0.0</v>
      </c>
    </row>
    <row r="8" spans="8:8">
      <c r="A8" s="26">
        <v>45236.0</v>
      </c>
      <c r="B8">
        <f>'6'!B32</f>
        <v>2047.3999999999999</v>
      </c>
    </row>
    <row r="9" spans="8:8">
      <c r="A9" s="26">
        <v>45237.0</v>
      </c>
      <c r="B9">
        <f>'7'!B34</f>
        <v>1140.8000000000002</v>
      </c>
    </row>
    <row r="10" spans="8:8">
      <c r="A10" s="26">
        <v>45238.0</v>
      </c>
      <c r="B10">
        <f>'8'!B34</f>
        <v>1054.1</v>
      </c>
    </row>
    <row r="11" spans="8:8">
      <c r="A11" s="26">
        <v>45239.0</v>
      </c>
      <c r="B11">
        <f>'9'!B33</f>
        <v>1277.6999999999998</v>
      </c>
    </row>
    <row r="12" spans="8:8">
      <c r="A12" s="26">
        <v>45240.0</v>
      </c>
      <c r="B12">
        <f>'10'!B33</f>
        <v>1452.34</v>
      </c>
    </row>
    <row r="13" spans="8:8">
      <c r="A13" s="26">
        <v>45241.0</v>
      </c>
      <c r="B13">
        <v>0.0</v>
      </c>
    </row>
    <row r="14" spans="8:8">
      <c r="A14" s="26">
        <v>45242.0</v>
      </c>
      <c r="B14">
        <v>0.0</v>
      </c>
    </row>
    <row r="15" spans="8:8">
      <c r="A15" s="26">
        <v>45243.0</v>
      </c>
      <c r="B15">
        <f>'13'!B34</f>
        <v>1721.1399999999999</v>
      </c>
    </row>
    <row r="16" spans="8:8">
      <c r="A16" s="26">
        <v>45244.0</v>
      </c>
      <c r="B16">
        <f>'14'!B33</f>
        <v>1417.65</v>
      </c>
    </row>
    <row r="17" spans="8:8">
      <c r="A17" s="26">
        <v>45245.0</v>
      </c>
      <c r="B17">
        <f>'15'!B34</f>
        <v>1943.26</v>
      </c>
    </row>
    <row r="18" spans="8:8">
      <c r="A18" s="26">
        <v>45246.0</v>
      </c>
      <c r="B18">
        <f>'16'!B33</f>
        <v>1940.4</v>
      </c>
    </row>
    <row r="19" spans="8:8">
      <c r="A19" s="26">
        <v>45247.0</v>
      </c>
      <c r="B19">
        <f>'17'!B34</f>
        <v>661.6</v>
      </c>
    </row>
    <row r="20" spans="8:8">
      <c r="A20" s="26">
        <v>45248.0</v>
      </c>
      <c r="B20">
        <v>0.0</v>
      </c>
    </row>
    <row r="21" spans="8:8">
      <c r="A21" s="26">
        <v>45249.0</v>
      </c>
      <c r="B21">
        <v>0.0</v>
      </c>
    </row>
    <row r="22" spans="8:8">
      <c r="A22" s="26">
        <v>45250.0</v>
      </c>
      <c r="B22">
        <f>'20.'!B34</f>
        <v>2035.5</v>
      </c>
    </row>
    <row r="23" spans="8:8">
      <c r="A23" s="26">
        <v>45251.0</v>
      </c>
      <c r="B23">
        <f>'21.'!B34</f>
        <v>2069.2</v>
      </c>
    </row>
    <row r="24" spans="8:8">
      <c r="A24" s="26">
        <v>45252.0</v>
      </c>
      <c r="B24">
        <f>'22'!B33</f>
        <v>2063.6</v>
      </c>
    </row>
    <row r="25" spans="8:8">
      <c r="A25" s="26">
        <v>45253.0</v>
      </c>
      <c r="B25">
        <f>'23'!B33</f>
        <v>2304.91</v>
      </c>
    </row>
    <row r="26" spans="8:8">
      <c r="A26" s="26">
        <v>45254.0</v>
      </c>
      <c r="B26">
        <f>'24'!B34</f>
        <v>1519.4</v>
      </c>
    </row>
    <row r="27" spans="8:8">
      <c r="A27" s="26">
        <v>45255.0</v>
      </c>
      <c r="B27">
        <v>0.0</v>
      </c>
    </row>
    <row r="28" spans="8:8">
      <c r="A28" s="26">
        <v>45256.0</v>
      </c>
      <c r="B28">
        <v>0.0</v>
      </c>
    </row>
    <row r="29" spans="8:8">
      <c r="A29" s="26">
        <v>45257.0</v>
      </c>
      <c r="B29">
        <f>'27'!B34</f>
        <v>925.8</v>
      </c>
    </row>
    <row r="30" spans="8:8">
      <c r="A30" s="26">
        <v>45258.0</v>
      </c>
      <c r="B30">
        <f>'28'!B33</f>
        <v>1799.15</v>
      </c>
    </row>
    <row r="31" spans="8:8">
      <c r="A31" s="26">
        <v>45259.0</v>
      </c>
      <c r="B31">
        <f>'29'!B31</f>
        <v>2097.5</v>
      </c>
    </row>
    <row r="32" spans="8:8">
      <c r="A32" s="26">
        <v>45260.0</v>
      </c>
      <c r="B32">
        <f>'30'!B33</f>
        <v>1671.3400000000001</v>
      </c>
    </row>
    <row r="33" spans="8:8">
      <c r="A33" t="s">
        <v>206</v>
      </c>
      <c r="B33">
        <f>SUM(B3:B32)</f>
        <v>35999.479999999996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罗小丽</cp:lastModifiedBy>
  <dcterms:created xsi:type="dcterms:W3CDTF">2023-07-03T03:11:00Z</dcterms:created>
  <dcterms:modified xsi:type="dcterms:W3CDTF">2025-02-14T07:10:34Z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0E1C7AE3AB9D456B9C34B9011364F17E_11</vt:lpwstr>
  </property>
  <property fmtid="{D5CDD505-2E9C-101B-9397-08002B2CF9AE}" pid="3" name="KSOProductBuildVer">
    <vt:lpwstr>2052-12.1.0.19770</vt:lpwstr>
  </property>
</Properties>
</file>