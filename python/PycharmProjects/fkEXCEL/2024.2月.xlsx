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tabRatio="913" activeTab="15"/>
  </bookViews>
  <sheets>
    <sheet name="1" sheetId="61" r:id="rId1"/>
    <sheet name="2" sheetId="51" r:id="rId2"/>
    <sheet name="4" sheetId="6" r:id="rId3"/>
    <sheet name="5" sheetId="41" r:id="rId4"/>
    <sheet name="6" sheetId="63" r:id="rId5"/>
    <sheet name="18" sheetId="43" r:id="rId6"/>
    <sheet name="19" sheetId="44" r:id="rId7"/>
    <sheet name="20" sheetId="64" r:id="rId8"/>
    <sheet name="21" sheetId="65" r:id="rId9"/>
    <sheet name="22" sheetId="34" r:id="rId10"/>
    <sheet name="23" sheetId="59" r:id="rId11"/>
    <sheet name="26" sheetId="25" r:id="rId12"/>
    <sheet name="27" sheetId="66" r:id="rId13"/>
    <sheet name="28" sheetId="48" r:id="rId14"/>
    <sheet name="29" sheetId="50" r:id="rId15"/>
    <sheet name="2月合计" sheetId="7" r:id="rId16"/>
  </sheets>
  <definedNames>
    <definedName name="_xlnm.Print_Area" localSheetId="2">'4'!$A$1:$J$36</definedName>
    <definedName name="_xlnm.Print_Area" localSheetId="11">'26'!$A$1:$J$37</definedName>
    <definedName name="_xlnm.Print_Area" localSheetId="9">'22'!$A$1:$J$35</definedName>
    <definedName name="_xlnm.Print_Area" localSheetId="3">'5'!$A$1:$J$36</definedName>
    <definedName name="_xlnm.Print_Area" localSheetId="5">'18'!$A$1:$J$42</definedName>
    <definedName name="_xlnm.Print_Area" localSheetId="6">'19'!$A$1:$J$35</definedName>
    <definedName name="_xlnm.Print_Area" localSheetId="13">'28'!$A$1:$J$35</definedName>
    <definedName name="_xlnm.Print_Area" localSheetId="14">'29'!$A$1:$J$36</definedName>
    <definedName name="_xlnm.Print_Area" localSheetId="1">'2'!$A$1:$J$37</definedName>
    <definedName name="_xlnm.Print_Area" localSheetId="10">'23'!$A$1:$J$36</definedName>
    <definedName name="_xlnm.Print_Area" localSheetId="0">'1'!$A$1:$J$35</definedName>
    <definedName name="_xlnm.Print_Area" localSheetId="4">'6'!$A$1:$J$35</definedName>
    <definedName name="_xlnm.Print_Area" localSheetId="7">'20'!$A$1:$J$36</definedName>
    <definedName name="_xlnm.Print_Area" localSheetId="8">'21'!$A$1:$J$36</definedName>
    <definedName name="_xlnm.Print_Area" localSheetId="12">'27'!$A$1:$J$37</definedName>
    <definedName name="_xlnm._FilterDatabase" localSheetId="12" hidden="1">'27'!$5:$5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<sst xmlns="http://schemas.openxmlformats.org/spreadsheetml/2006/main" count="946" uniqueCount="176">
  <si>
    <t>武汉康恩农贸发展有限公司送货单</t>
  </si>
  <si>
    <t>收货单位：</t>
  </si>
  <si>
    <t>汉南数智化检测分公司</t>
  </si>
  <si>
    <t>配送日期：</t>
  </si>
  <si>
    <t>序号</t>
  </si>
  <si>
    <t>名称</t>
  </si>
  <si>
    <t>规格</t>
  </si>
  <si>
    <t>单位</t>
  </si>
  <si>
    <t>数量</t>
  </si>
  <si>
    <t>超市价格</t>
  </si>
  <si>
    <t>折扣率</t>
  </si>
  <si>
    <t>折后价</t>
  </si>
  <si>
    <t>折后金额</t>
  </si>
  <si>
    <t>备注</t>
  </si>
  <si>
    <t>（新鲜）河粉</t>
  </si>
  <si>
    <t>斤</t>
  </si>
  <si>
    <t>馄饨皮</t>
  </si>
  <si>
    <t>热干面（熟）</t>
  </si>
  <si>
    <t>白萝卜</t>
  </si>
  <si>
    <t>大藕</t>
  </si>
  <si>
    <t>红菜苔</t>
  </si>
  <si>
    <t>胡萝卜</t>
  </si>
  <si>
    <t>果冻橙</t>
  </si>
  <si>
    <t>【鲜】净麻鸭</t>
  </si>
  <si>
    <t>【鲜】五花肉沫</t>
  </si>
  <si>
    <t>【鲜】猪瘦肉片</t>
  </si>
  <si>
    <t>【鲜】猪通排骨</t>
  </si>
  <si>
    <t>鑫怡久久海带头</t>
  </si>
  <si>
    <t>9KG/件</t>
  </si>
  <si>
    <t>正和珍珠糯米</t>
  </si>
  <si>
    <t>50斤/袋</t>
  </si>
  <si>
    <t>卤牛骨头</t>
  </si>
  <si>
    <t>爆浆糍粑</t>
  </si>
  <si>
    <t>300g*20袋/件</t>
  </si>
  <si>
    <t>件</t>
  </si>
  <si>
    <t>金龙鱼玉米油</t>
  </si>
  <si>
    <t>5L*4壶/件</t>
  </si>
  <si>
    <t>鲁至尊面粉</t>
  </si>
  <si>
    <t>25kg</t>
  </si>
  <si>
    <t>袋</t>
  </si>
  <si>
    <t>【鲜】净大草鱼</t>
  </si>
  <si>
    <t>木鱼公社桂花糕</t>
  </si>
  <si>
    <t>350g*12包/件</t>
  </si>
  <si>
    <t>安卓中号蛋挞皮 20g*60个*5袋/件</t>
  </si>
  <si>
    <t>后腿腊肉</t>
  </si>
  <si>
    <t>供货合计:</t>
  </si>
  <si>
    <t>金额大写：</t>
  </si>
  <si>
    <t>制表人 ：樊君丽                 收货人：                送货人：</t>
  </si>
  <si>
    <t>大圆皮</t>
  </si>
  <si>
    <t>黄豆芽</t>
  </si>
  <si>
    <t>甜玉米棒</t>
  </si>
  <si>
    <t>个</t>
  </si>
  <si>
    <t>净泥蒿（去叶）</t>
  </si>
  <si>
    <t>平菇</t>
  </si>
  <si>
    <t>韭菜</t>
  </si>
  <si>
    <t>薄千张</t>
  </si>
  <si>
    <t>嫩豆腐</t>
  </si>
  <si>
    <t>牛排骨</t>
  </si>
  <si>
    <t>【鲜】净大鲫鱼</t>
  </si>
  <si>
    <t>4两</t>
  </si>
  <si>
    <t>干辣椒节</t>
  </si>
  <si>
    <t>散称</t>
  </si>
  <si>
    <t>红花椒</t>
  </si>
  <si>
    <t>合鑫泰东北珍珠香米</t>
  </si>
  <si>
    <t>25kg/包</t>
  </si>
  <si>
    <t>光明健能酸奶180g</t>
  </si>
  <si>
    <t>180g</t>
  </si>
  <si>
    <t>杯</t>
  </si>
  <si>
    <t>光明新鲜牧场鲜奶</t>
  </si>
  <si>
    <t>200ml</t>
  </si>
  <si>
    <t>鲜羊肉（纯肉去骨）</t>
  </si>
  <si>
    <t>【鲜】精品五花</t>
  </si>
  <si>
    <t>【鲜】净三黄鸡</t>
  </si>
  <si>
    <t>干细粉</t>
  </si>
  <si>
    <t>新鲜甜青豆米</t>
  </si>
  <si>
    <t>新鲜玉米粒</t>
  </si>
  <si>
    <t>大红薯</t>
  </si>
  <si>
    <t>西红柿</t>
  </si>
  <si>
    <t>金针菇</t>
  </si>
  <si>
    <t>小白菜</t>
  </si>
  <si>
    <t>油麦菜</t>
  </si>
  <si>
    <t>卤牛肚</t>
  </si>
  <si>
    <t>卤牛肉</t>
  </si>
  <si>
    <t>小葱</t>
  </si>
  <si>
    <t>红椒</t>
  </si>
  <si>
    <t>青椒</t>
  </si>
  <si>
    <t>杏鲍菇</t>
  </si>
  <si>
    <t>菠菜</t>
  </si>
  <si>
    <t>细土芹</t>
  </si>
  <si>
    <t>橙子</t>
  </si>
  <si>
    <t>熟鹌鹑蛋</t>
  </si>
  <si>
    <t>【鲜】猪瘦肉丝</t>
  </si>
  <si>
    <t>【鲜】基围虾</t>
  </si>
  <si>
    <t>肉圆</t>
  </si>
  <si>
    <t>生面窝浆</t>
  </si>
  <si>
    <t>生姜</t>
  </si>
  <si>
    <t>西芹</t>
  </si>
  <si>
    <t>生菜</t>
  </si>
  <si>
    <t>顺发鸡翅中</t>
  </si>
  <si>
    <t>1kg*10袋/件</t>
  </si>
  <si>
    <t>干豆丝</t>
  </si>
  <si>
    <t>农家香肠（麻辣）</t>
  </si>
  <si>
    <t>味椒盐45g</t>
  </si>
  <si>
    <t>45g*18瓶/件</t>
  </si>
  <si>
    <t>瓶</t>
  </si>
  <si>
    <t>无核小红枣（小）</t>
  </si>
  <si>
    <t>干黄豆</t>
  </si>
  <si>
    <t>50斤/件</t>
  </si>
  <si>
    <t>黑豆</t>
  </si>
  <si>
    <t>蒜米</t>
  </si>
  <si>
    <t>包</t>
  </si>
  <si>
    <t>小红薯</t>
  </si>
  <si>
    <t>黄瓜</t>
  </si>
  <si>
    <t>新鲜花菇</t>
  </si>
  <si>
    <t>香蕉</t>
  </si>
  <si>
    <t>板豆腐6斤/板</t>
  </si>
  <si>
    <t>红壳鸡蛋</t>
  </si>
  <si>
    <t>12板/件</t>
  </si>
  <si>
    <t>【鲜】猪血</t>
  </si>
  <si>
    <t>八角</t>
  </si>
  <si>
    <t>桂皮</t>
  </si>
  <si>
    <t>大白菜</t>
  </si>
  <si>
    <t>白砂糖</t>
  </si>
  <si>
    <t>劲宝超级生粉</t>
  </si>
  <si>
    <t>5kg</t>
  </si>
  <si>
    <t>芝麻酱</t>
  </si>
  <si>
    <t>虾皮</t>
  </si>
  <si>
    <t>红皮洋葱</t>
  </si>
  <si>
    <t>大土豆</t>
  </si>
  <si>
    <t>面筋</t>
  </si>
  <si>
    <t>东北盛市三色米</t>
  </si>
  <si>
    <t>铁棍山药</t>
  </si>
  <si>
    <t>紫薯</t>
  </si>
  <si>
    <t>白色臭干子</t>
  </si>
  <si>
    <t>安琪酵母</t>
  </si>
  <si>
    <t>500g*20袋/件</t>
  </si>
  <si>
    <t>白芝麻/38斤</t>
  </si>
  <si>
    <t>清水笋丝</t>
  </si>
  <si>
    <t>2.5kg*6包/件</t>
  </si>
  <si>
    <t>永超榨菜</t>
  </si>
  <si>
    <t>8斤</t>
  </si>
  <si>
    <t>饺子皮</t>
  </si>
  <si>
    <t>大葱</t>
  </si>
  <si>
    <t>平包菜</t>
  </si>
  <si>
    <t>牛脊骨</t>
  </si>
  <si>
    <t>大桥鸡精900g</t>
  </si>
  <si>
    <t>900g*10袋/件</t>
  </si>
  <si>
    <t>鑫海贸紫菜50g</t>
  </si>
  <si>
    <t>50g*48包</t>
  </si>
  <si>
    <t>云鹤精制碘盐</t>
  </si>
  <si>
    <t>500g*50袋/件</t>
  </si>
  <si>
    <t>卤香干</t>
  </si>
  <si>
    <t>白菜苔</t>
  </si>
  <si>
    <t>【鲜】猪五花肉片</t>
  </si>
  <si>
    <t>【鲜】净胖头鱼头</t>
  </si>
  <si>
    <t>思念黑芝麻汤圆</t>
  </si>
  <si>
    <t>500g*20袋</t>
  </si>
  <si>
    <t>薄干子</t>
  </si>
  <si>
    <t>青杭椒</t>
  </si>
  <si>
    <t>刀豆</t>
  </si>
  <si>
    <t>【鲜】猪脊骨</t>
  </si>
  <si>
    <t>鑫石羊郫县豆瓣酱4KG</t>
  </si>
  <si>
    <t>4KG/桶*4桶/件</t>
  </si>
  <si>
    <t>桶</t>
  </si>
  <si>
    <t>净莴苣</t>
  </si>
  <si>
    <t>80苹果</t>
  </si>
  <si>
    <t>坛坛乡剁椒1.15kg</t>
  </si>
  <si>
    <t>1.15kg*6瓶/件</t>
  </si>
  <si>
    <t>小米</t>
  </si>
  <si>
    <t>三象水磨糯米粉</t>
  </si>
  <si>
    <t>500g</t>
  </si>
  <si>
    <t>39号食堂</t>
  </si>
  <si>
    <t>日期</t>
  </si>
  <si>
    <t>单1</t>
  </si>
  <si>
    <t xml:space="preserve"> 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</si>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</sst>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[DBNum2][$RMB]General;[Red][DBNum2][$RMB]General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9" workbookViewId="0">
      <selection activeCell="B21" sqref="B21:I21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00" width="11.6666666666667" style="3" customWidth="1"/>
    <col min="16301" max="16301" width="11.6666666666667" style="3"/>
    <col min="16302" max="16307" width="11" style="3"/>
    <col min="16308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45323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5</v>
      </c>
      <c r="F6" s="13">
        <f t="shared" ref="F6:F27" si="0">H6/0.85</f>
        <v>3.52941176470588</v>
      </c>
      <c r="G6" s="14">
        <f t="shared" ref="G6:G27" si="1">H6/F6</f>
        <v>0.85</v>
      </c>
      <c r="H6" s="15">
        <v>3</v>
      </c>
      <c r="I6" s="15">
        <f t="shared" ref="I6:I27" si="2">E6*H6</f>
        <v>15</v>
      </c>
      <c r="J6" s="11"/>
    </row>
    <row r="7" s="3" customFormat="1" ht="16" customHeight="1" spans="1:10">
      <c r="A7" s="11">
        <v>2</v>
      </c>
      <c r="B7" s="11" t="s">
        <v>16</v>
      </c>
      <c r="C7" s="11"/>
      <c r="D7" s="12" t="s">
        <v>15</v>
      </c>
      <c r="E7" s="12">
        <v>4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14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6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21</v>
      </c>
      <c r="J8" s="11"/>
    </row>
    <row r="9" s="3" customFormat="1" ht="16" customHeight="1" spans="1:10">
      <c r="A9" s="11">
        <v>4</v>
      </c>
      <c r="B9" s="16" t="s">
        <v>18</v>
      </c>
      <c r="C9" s="16"/>
      <c r="D9" s="12" t="s">
        <v>15</v>
      </c>
      <c r="E9" s="12">
        <v>8.5</v>
      </c>
      <c r="F9" s="13">
        <f t="shared" si="0"/>
        <v>2.35294117647059</v>
      </c>
      <c r="G9" s="14">
        <f t="shared" si="1"/>
        <v>0.85</v>
      </c>
      <c r="H9" s="15">
        <v>2</v>
      </c>
      <c r="I9" s="15">
        <f t="shared" si="2"/>
        <v>17</v>
      </c>
      <c r="J9" s="11"/>
    </row>
    <row r="10" s="3" customFormat="1" ht="16" customHeight="1" spans="1:10">
      <c r="A10" s="11">
        <v>5</v>
      </c>
      <c r="B10" s="11" t="s">
        <v>19</v>
      </c>
      <c r="C10" s="11"/>
      <c r="D10" s="12" t="s">
        <v>15</v>
      </c>
      <c r="E10" s="12">
        <v>18</v>
      </c>
      <c r="F10" s="13">
        <f t="shared" si="0"/>
        <v>4.47058823529412</v>
      </c>
      <c r="G10" s="14">
        <f t="shared" si="1"/>
        <v>0.85</v>
      </c>
      <c r="H10" s="15">
        <v>3.8</v>
      </c>
      <c r="I10" s="15">
        <f t="shared" si="2"/>
        <v>68.4</v>
      </c>
      <c r="J10" s="11"/>
    </row>
    <row r="11" s="3" customFormat="1" ht="16" customHeight="1" spans="1:10">
      <c r="A11" s="11">
        <v>6</v>
      </c>
      <c r="B11" s="11" t="s">
        <v>20</v>
      </c>
      <c r="C11" s="11"/>
      <c r="D11" s="12" t="s">
        <v>15</v>
      </c>
      <c r="E11" s="12">
        <v>12</v>
      </c>
      <c r="F11" s="13">
        <f t="shared" si="0"/>
        <v>6.47058823529412</v>
      </c>
      <c r="G11" s="14">
        <f t="shared" si="1"/>
        <v>0.85</v>
      </c>
      <c r="H11" s="15">
        <v>5.5</v>
      </c>
      <c r="I11" s="15">
        <f t="shared" si="2"/>
        <v>66</v>
      </c>
      <c r="J11" s="11"/>
    </row>
    <row r="12" s="3" customFormat="1" ht="16" customHeight="1" spans="1:10">
      <c r="A12" s="11">
        <v>7</v>
      </c>
      <c r="B12" s="16" t="s">
        <v>21</v>
      </c>
      <c r="C12" s="16"/>
      <c r="D12" s="17" t="s">
        <v>15</v>
      </c>
      <c r="E12" s="17">
        <v>7</v>
      </c>
      <c r="F12" s="13">
        <f t="shared" si="0"/>
        <v>2.94117647058824</v>
      </c>
      <c r="G12" s="14">
        <f t="shared" si="1"/>
        <v>0.85</v>
      </c>
      <c r="H12" s="18">
        <v>2.5</v>
      </c>
      <c r="I12" s="15">
        <f t="shared" si="2"/>
        <v>17.5</v>
      </c>
      <c r="J12" s="16"/>
    </row>
    <row r="13" s="3" customFormat="1" ht="16" customHeight="1" spans="1:10">
      <c r="A13" s="11">
        <v>8</v>
      </c>
      <c r="B13" s="16" t="s">
        <v>22</v>
      </c>
      <c r="C13" s="16"/>
      <c r="D13" s="17" t="s">
        <v>15</v>
      </c>
      <c r="E13" s="17">
        <v>32</v>
      </c>
      <c r="F13" s="13">
        <f t="shared" si="0"/>
        <v>6.82352941176471</v>
      </c>
      <c r="G13" s="14">
        <f t="shared" si="1"/>
        <v>0.85</v>
      </c>
      <c r="H13" s="18">
        <v>5.8</v>
      </c>
      <c r="I13" s="15">
        <f t="shared" si="2"/>
        <v>185.6</v>
      </c>
      <c r="J13" s="16"/>
    </row>
    <row r="14" s="3" customFormat="1" ht="16" customHeight="1" spans="1:10">
      <c r="A14" s="11">
        <v>9</v>
      </c>
      <c r="B14" s="16" t="s">
        <v>23</v>
      </c>
      <c r="C14" s="16"/>
      <c r="D14" s="17" t="s">
        <v>15</v>
      </c>
      <c r="E14" s="17">
        <v>15</v>
      </c>
      <c r="F14" s="13">
        <f t="shared" si="0"/>
        <v>25.8823529411765</v>
      </c>
      <c r="G14" s="14">
        <f t="shared" si="1"/>
        <v>0.85</v>
      </c>
      <c r="H14" s="18">
        <v>22</v>
      </c>
      <c r="I14" s="15">
        <f t="shared" si="2"/>
        <v>330</v>
      </c>
      <c r="J14" s="16"/>
    </row>
    <row r="15" s="3" customFormat="1" ht="16" customHeight="1" spans="1:10">
      <c r="A15" s="11">
        <v>10</v>
      </c>
      <c r="B15" s="11" t="s">
        <v>24</v>
      </c>
      <c r="C15" s="11"/>
      <c r="D15" s="16" t="s">
        <v>15</v>
      </c>
      <c r="E15" s="12">
        <v>10</v>
      </c>
      <c r="F15" s="13">
        <f t="shared" si="0"/>
        <v>16.2352941176471</v>
      </c>
      <c r="G15" s="14">
        <f t="shared" si="1"/>
        <v>0.85</v>
      </c>
      <c r="H15" s="18">
        <v>13.8</v>
      </c>
      <c r="I15" s="15">
        <f t="shared" si="2"/>
        <v>138</v>
      </c>
      <c r="J15" s="16"/>
    </row>
    <row r="16" s="3" customFormat="1" ht="16" customHeight="1" spans="1:10">
      <c r="A16" s="11">
        <v>11</v>
      </c>
      <c r="B16" s="11" t="s">
        <v>25</v>
      </c>
      <c r="C16" s="11"/>
      <c r="D16" s="11" t="s">
        <v>15</v>
      </c>
      <c r="E16" s="12">
        <v>9</v>
      </c>
      <c r="F16" s="13">
        <f t="shared" si="0"/>
        <v>23.5294117647059</v>
      </c>
      <c r="G16" s="14">
        <f t="shared" si="1"/>
        <v>0.85</v>
      </c>
      <c r="H16" s="18">
        <v>20</v>
      </c>
      <c r="I16" s="15">
        <f t="shared" si="2"/>
        <v>180</v>
      </c>
      <c r="J16" s="16"/>
    </row>
    <row r="17" s="3" customFormat="1" ht="16" customHeight="1" spans="1:10">
      <c r="A17" s="11">
        <v>12</v>
      </c>
      <c r="B17" s="13" t="s">
        <v>26</v>
      </c>
      <c r="C17" s="13"/>
      <c r="D17" s="13" t="s">
        <v>15</v>
      </c>
      <c r="E17" s="12">
        <v>10</v>
      </c>
      <c r="F17" s="13">
        <f t="shared" si="0"/>
        <v>32.9411764705882</v>
      </c>
      <c r="G17" s="14">
        <f t="shared" si="1"/>
        <v>0.85</v>
      </c>
      <c r="H17" s="18">
        <v>28</v>
      </c>
      <c r="I17" s="15">
        <f t="shared" si="2"/>
        <v>280</v>
      </c>
      <c r="J17" s="11"/>
    </row>
    <row r="18" s="3" customFormat="1" ht="16" customHeight="1" spans="1:10">
      <c r="A18" s="11">
        <v>13</v>
      </c>
      <c r="B18" s="13" t="s">
        <v>27</v>
      </c>
      <c r="C18" s="13" t="s">
        <v>28</v>
      </c>
      <c r="D18" s="13" t="s">
        <v>15</v>
      </c>
      <c r="E18" s="12">
        <v>4</v>
      </c>
      <c r="F18" s="13">
        <f t="shared" si="0"/>
        <v>10</v>
      </c>
      <c r="G18" s="14">
        <f t="shared" si="1"/>
        <v>0.85</v>
      </c>
      <c r="H18" s="18">
        <v>8.5</v>
      </c>
      <c r="I18" s="15">
        <f t="shared" si="2"/>
        <v>34</v>
      </c>
      <c r="J18" s="11"/>
    </row>
    <row r="19" s="3" customFormat="1" customHeight="1" spans="1:10">
      <c r="A19" s="11">
        <v>14</v>
      </c>
      <c r="B19" s="13" t="s">
        <v>29</v>
      </c>
      <c r="C19" s="13" t="s">
        <v>30</v>
      </c>
      <c r="D19" s="13" t="s">
        <v>15</v>
      </c>
      <c r="E19" s="12">
        <v>6</v>
      </c>
      <c r="F19" s="13">
        <f t="shared" si="0"/>
        <v>5.76470588235294</v>
      </c>
      <c r="G19" s="14">
        <f t="shared" si="1"/>
        <v>0.85</v>
      </c>
      <c r="H19" s="18">
        <v>4.9</v>
      </c>
      <c r="I19" s="15">
        <f t="shared" si="2"/>
        <v>29.4</v>
      </c>
      <c r="J19" s="13"/>
    </row>
    <row r="20" s="3" customFormat="1" customHeight="1" spans="1:10">
      <c r="A20" s="11">
        <v>15</v>
      </c>
      <c r="B20" s="13" t="s">
        <v>31</v>
      </c>
      <c r="C20" s="13"/>
      <c r="D20" s="13" t="s">
        <v>15</v>
      </c>
      <c r="E20" s="12">
        <v>10</v>
      </c>
      <c r="F20" s="13">
        <f t="shared" si="0"/>
        <v>51.7647058823529</v>
      </c>
      <c r="G20" s="14">
        <f t="shared" si="1"/>
        <v>0.85</v>
      </c>
      <c r="H20" s="18">
        <v>44</v>
      </c>
      <c r="I20" s="15">
        <f t="shared" si="2"/>
        <v>440</v>
      </c>
      <c r="J20" s="13"/>
    </row>
    <row r="21" s="3" customFormat="1" customHeight="1" spans="1:10">
      <c r="A21" s="11">
        <v>16</v>
      </c>
      <c r="B21" s="13" t="s">
        <v>32</v>
      </c>
      <c r="C21" s="13" t="s">
        <v>33</v>
      </c>
      <c r="D21" s="13" t="s">
        <v>34</v>
      </c>
      <c r="E21" s="12">
        <v>1</v>
      </c>
      <c r="F21" s="13">
        <f t="shared" si="0"/>
        <v>176.470588235294</v>
      </c>
      <c r="G21" s="14">
        <f t="shared" si="1"/>
        <v>0.85</v>
      </c>
      <c r="H21" s="18">
        <v>150</v>
      </c>
      <c r="I21" s="15">
        <f t="shared" si="2"/>
        <v>150</v>
      </c>
      <c r="J21" s="13"/>
    </row>
    <row r="22" s="3" customFormat="1" customHeight="1" spans="1:10">
      <c r="A22" s="11">
        <v>17</v>
      </c>
      <c r="B22" s="13" t="s">
        <v>35</v>
      </c>
      <c r="C22" s="13" t="s">
        <v>36</v>
      </c>
      <c r="D22" s="13" t="s">
        <v>34</v>
      </c>
      <c r="E22" s="12">
        <v>2</v>
      </c>
      <c r="F22" s="13">
        <f t="shared" si="0"/>
        <v>411.764705882353</v>
      </c>
      <c r="G22" s="14">
        <f t="shared" si="1"/>
        <v>0.85</v>
      </c>
      <c r="H22" s="18">
        <v>350</v>
      </c>
      <c r="I22" s="15">
        <f t="shared" si="2"/>
        <v>700</v>
      </c>
      <c r="J22" s="13"/>
    </row>
    <row r="23" s="3" customFormat="1" customHeight="1" spans="1:10">
      <c r="A23" s="11">
        <v>18</v>
      </c>
      <c r="B23" s="13" t="s">
        <v>37</v>
      </c>
      <c r="C23" s="13" t="s">
        <v>38</v>
      </c>
      <c r="D23" s="13" t="s">
        <v>39</v>
      </c>
      <c r="E23" s="12">
        <v>1</v>
      </c>
      <c r="F23" s="13">
        <f t="shared" si="0"/>
        <v>174.117647058824</v>
      </c>
      <c r="G23" s="14">
        <f t="shared" si="1"/>
        <v>0.85</v>
      </c>
      <c r="H23" s="18">
        <v>148</v>
      </c>
      <c r="I23" s="15">
        <f t="shared" si="2"/>
        <v>148</v>
      </c>
      <c r="J23" s="13"/>
    </row>
    <row r="24" s="3" customFormat="1" customHeight="1" spans="1:10">
      <c r="A24" s="11">
        <v>19</v>
      </c>
      <c r="B24" s="16" t="s">
        <v>40</v>
      </c>
      <c r="C24" s="16"/>
      <c r="D24" s="17" t="s">
        <v>15</v>
      </c>
      <c r="E24" s="17">
        <v>16.5</v>
      </c>
      <c r="F24" s="13">
        <f t="shared" si="0"/>
        <v>16.2352941176471</v>
      </c>
      <c r="G24" s="14">
        <f t="shared" si="1"/>
        <v>0.85</v>
      </c>
      <c r="H24" s="15">
        <v>13.8</v>
      </c>
      <c r="I24" s="15">
        <f t="shared" si="2"/>
        <v>227.7</v>
      </c>
      <c r="J24" s="13"/>
    </row>
    <row r="25" s="3" customFormat="1" customHeight="1" spans="1:10">
      <c r="A25" s="11">
        <v>20</v>
      </c>
      <c r="B25" s="11" t="s">
        <v>41</v>
      </c>
      <c r="C25" s="11" t="s">
        <v>42</v>
      </c>
      <c r="D25" s="11" t="s">
        <v>34</v>
      </c>
      <c r="E25" s="12">
        <v>2</v>
      </c>
      <c r="F25" s="13">
        <f t="shared" si="0"/>
        <v>98.8235294117647</v>
      </c>
      <c r="G25" s="14">
        <f t="shared" si="1"/>
        <v>0.85</v>
      </c>
      <c r="H25" s="18">
        <v>84</v>
      </c>
      <c r="I25" s="15">
        <f t="shared" si="2"/>
        <v>168</v>
      </c>
      <c r="J25" s="13"/>
    </row>
    <row r="26" s="3" customFormat="1" customHeight="1" spans="1:10">
      <c r="A26" s="11">
        <v>21</v>
      </c>
      <c r="B26" s="13" t="s">
        <v>43</v>
      </c>
      <c r="C26" s="13"/>
      <c r="D26" s="13" t="s">
        <v>34</v>
      </c>
      <c r="E26" s="12">
        <v>1</v>
      </c>
      <c r="F26" s="13">
        <f t="shared" si="0"/>
        <v>211.764705882353</v>
      </c>
      <c r="G26" s="14">
        <f t="shared" si="1"/>
        <v>0.85</v>
      </c>
      <c r="H26" s="18">
        <v>180</v>
      </c>
      <c r="I26" s="15">
        <f t="shared" si="2"/>
        <v>180</v>
      </c>
      <c r="J26" s="13"/>
    </row>
    <row r="27" s="3" customFormat="1" customHeight="1" spans="1:10">
      <c r="A27" s="11">
        <v>22</v>
      </c>
      <c r="B27" s="16" t="s">
        <v>44</v>
      </c>
      <c r="C27" s="16"/>
      <c r="D27" s="17" t="s">
        <v>15</v>
      </c>
      <c r="E27" s="17">
        <v>8</v>
      </c>
      <c r="F27" s="13">
        <f t="shared" si="0"/>
        <v>32.9411764705882</v>
      </c>
      <c r="G27" s="14">
        <f t="shared" si="1"/>
        <v>0.85</v>
      </c>
      <c r="H27" s="15">
        <v>28</v>
      </c>
      <c r="I27" s="15">
        <f t="shared" si="2"/>
        <v>224</v>
      </c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 t="s">
        <v>45</v>
      </c>
      <c r="B32" s="19">
        <f>SUM(I6:I31)</f>
        <v>3633.6</v>
      </c>
      <c r="C32" s="20"/>
      <c r="D32" s="20"/>
      <c r="E32" s="21"/>
      <c r="F32" s="20"/>
      <c r="G32" s="20"/>
      <c r="H32" s="20"/>
      <c r="I32" s="20"/>
      <c r="J32" s="24"/>
    </row>
    <row r="33" s="3" customFormat="1" customHeight="1" spans="1:10">
      <c r="A33" s="11" t="s">
        <v>46</v>
      </c>
      <c r="B33" s="22">
        <f>B32</f>
        <v>3633.6</v>
      </c>
      <c r="C33" s="23"/>
      <c r="D33" s="23"/>
      <c r="E33" s="21"/>
      <c r="F33" s="23"/>
      <c r="G33" s="23"/>
      <c r="H33" s="23"/>
      <c r="I33" s="23"/>
      <c r="J33" s="25"/>
    </row>
    <row r="34" s="3" customFormat="1" customHeight="1" spans="1:5">
      <c r="A34" s="3" t="s">
        <v>47</v>
      </c>
      <c r="E34" s="4"/>
    </row>
  </sheetData>
  <mergeCells count="4">
    <mergeCell ref="A1:J1"/>
    <mergeCell ref="B32:J32"/>
    <mergeCell ref="B33:J33"/>
    <mergeCell ref="A34:J34"/>
  </mergeCells>
  <conditionalFormatting sqref="B21">
    <cfRule type="duplicateValues" dxfId="0" priority="14"/>
    <cfRule type="duplicateValues" dxfId="0" priority="13"/>
  </conditionalFormatting>
  <conditionalFormatting sqref="B22">
    <cfRule type="duplicateValues" dxfId="0" priority="12"/>
    <cfRule type="duplicateValues" dxfId="0" priority="11"/>
  </conditionalFormatting>
  <conditionalFormatting sqref="B23">
    <cfRule type="duplicateValues" dxfId="0" priority="10"/>
    <cfRule type="duplicateValues" dxfId="0" priority="9"/>
  </conditionalFormatting>
  <conditionalFormatting sqref="B24:C24">
    <cfRule type="duplicateValues" dxfId="0" priority="8"/>
  </conditionalFormatting>
  <conditionalFormatting sqref="B24">
    <cfRule type="duplicateValues" dxfId="0" priority="7"/>
  </conditionalFormatting>
  <conditionalFormatting sqref="B25">
    <cfRule type="duplicateValues" dxfId="0" priority="6"/>
    <cfRule type="duplicateValues" dxfId="0" priority="5"/>
  </conditionalFormatting>
  <conditionalFormatting sqref="B26">
    <cfRule type="duplicateValues" dxfId="0" priority="4"/>
    <cfRule type="duplicateValues" dxfId="0" priority="3"/>
  </conditionalFormatting>
  <conditionalFormatting sqref="B27:C27">
    <cfRule type="duplicateValues" dxfId="0" priority="2"/>
  </conditionalFormatting>
  <conditionalFormatting sqref="B27">
    <cfRule type="duplicateValues" dxfId="0" priority="1"/>
  </conditionalFormatting>
  <conditionalFormatting sqref="B1:B20 B28:B31 B34:B1048576">
    <cfRule type="duplicateValues" dxfId="0" priority="17"/>
  </conditionalFormatting>
  <conditionalFormatting sqref="B6:C16">
    <cfRule type="duplicateValues" dxfId="0" priority="19"/>
  </conditionalFormatting>
  <conditionalFormatting sqref="B6:B20 B28:B31">
    <cfRule type="duplicateValues" dxfId="0" priority="18"/>
  </conditionalFormatting>
  <pageMargins left="0.751388888888889" right="0.751388888888889" top="0.2125" bottom="0.60625" header="0.5" footer="0.5"/>
  <pageSetup paperSize="9" scale="93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9" workbookViewId="0">
      <selection activeCell="A12" sqref="$A12:$XFD12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00" width="11.6666666666667" style="3" customWidth="1"/>
    <col min="16301" max="16301" width="11.6666666666667" style="3"/>
    <col min="16302" max="16307" width="11" style="3"/>
    <col min="16308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45324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4</v>
      </c>
      <c r="F6" s="13">
        <f t="shared" ref="F6:F27" si="0">H6/0.85</f>
        <v>3.52941176470588</v>
      </c>
      <c r="G6" s="14">
        <f t="shared" ref="G6:G27" si="1">H6/F6</f>
        <v>0.85</v>
      </c>
      <c r="H6" s="15">
        <v>3</v>
      </c>
      <c r="I6" s="15">
        <f t="shared" ref="I6:I27" si="2">E6*H6</f>
        <v>12</v>
      </c>
      <c r="J6" s="11"/>
    </row>
    <row r="7" s="3" customFormat="1" ht="16" customHeight="1" spans="1:10">
      <c r="A7" s="11">
        <v>2</v>
      </c>
      <c r="B7" s="11" t="s">
        <v>48</v>
      </c>
      <c r="C7" s="11"/>
      <c r="D7" s="12" t="s">
        <v>15</v>
      </c>
      <c r="E7" s="12">
        <v>3</v>
      </c>
      <c r="F7" s="13">
        <f t="shared" si="0"/>
        <v>4.70588235294118</v>
      </c>
      <c r="G7" s="14">
        <f t="shared" si="1"/>
        <v>0.85</v>
      </c>
      <c r="H7" s="15">
        <v>4</v>
      </c>
      <c r="I7" s="15">
        <f t="shared" si="2"/>
        <v>12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5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17.5</v>
      </c>
      <c r="J8" s="11"/>
    </row>
    <row r="9" s="3" customFormat="1" ht="16" customHeight="1" spans="1:10">
      <c r="A9" s="11">
        <v>4</v>
      </c>
      <c r="B9" s="16" t="s">
        <v>49</v>
      </c>
      <c r="C9" s="16"/>
      <c r="D9" s="12" t="s">
        <v>15</v>
      </c>
      <c r="E9" s="12">
        <v>8</v>
      </c>
      <c r="F9" s="13">
        <f t="shared" si="0"/>
        <v>2.94117647058824</v>
      </c>
      <c r="G9" s="14">
        <f t="shared" si="1"/>
        <v>0.85</v>
      </c>
      <c r="H9" s="15">
        <v>2.5</v>
      </c>
      <c r="I9" s="15">
        <f t="shared" si="2"/>
        <v>20</v>
      </c>
      <c r="J9" s="11"/>
    </row>
    <row r="10" s="3" customFormat="1" ht="16" customHeight="1" spans="1:10">
      <c r="A10" s="11">
        <v>5</v>
      </c>
      <c r="B10" s="11" t="s">
        <v>18</v>
      </c>
      <c r="C10" s="11"/>
      <c r="D10" s="12" t="s">
        <v>15</v>
      </c>
      <c r="E10" s="12">
        <v>5</v>
      </c>
      <c r="F10" s="13">
        <f t="shared" si="0"/>
        <v>2.35294117647059</v>
      </c>
      <c r="G10" s="14">
        <f t="shared" si="1"/>
        <v>0.85</v>
      </c>
      <c r="H10" s="15">
        <v>2</v>
      </c>
      <c r="I10" s="15">
        <f t="shared" si="2"/>
        <v>10</v>
      </c>
      <c r="J10" s="11"/>
    </row>
    <row r="11" s="3" customFormat="1" ht="16" customHeight="1" spans="1:10">
      <c r="A11" s="11">
        <v>6</v>
      </c>
      <c r="B11" s="11" t="s">
        <v>50</v>
      </c>
      <c r="C11" s="11"/>
      <c r="D11" s="12" t="s">
        <v>51</v>
      </c>
      <c r="E11" s="12">
        <v>8</v>
      </c>
      <c r="F11" s="13">
        <f t="shared" si="0"/>
        <v>4.11764705882353</v>
      </c>
      <c r="G11" s="14">
        <f t="shared" si="1"/>
        <v>0.85</v>
      </c>
      <c r="H11" s="15">
        <v>3.5</v>
      </c>
      <c r="I11" s="15">
        <f t="shared" si="2"/>
        <v>28</v>
      </c>
      <c r="J11" s="11"/>
    </row>
    <row r="12" s="3" customFormat="1" ht="16" customHeight="1" spans="1:10">
      <c r="A12" s="11">
        <v>7</v>
      </c>
      <c r="B12" s="16" t="s">
        <v>52</v>
      </c>
      <c r="C12" s="16"/>
      <c r="D12" s="17" t="s">
        <v>15</v>
      </c>
      <c r="E12" s="17">
        <v>12</v>
      </c>
      <c r="F12" s="13">
        <f t="shared" si="0"/>
        <v>23.5294117647059</v>
      </c>
      <c r="G12" s="14">
        <f t="shared" si="1"/>
        <v>0.85</v>
      </c>
      <c r="H12" s="18">
        <v>20</v>
      </c>
      <c r="I12" s="15">
        <f t="shared" si="2"/>
        <v>240</v>
      </c>
      <c r="J12" s="16"/>
    </row>
    <row r="13" s="3" customFormat="1" ht="16" customHeight="1" spans="1:10">
      <c r="A13" s="11">
        <v>8</v>
      </c>
      <c r="B13" s="16" t="s">
        <v>53</v>
      </c>
      <c r="C13" s="16"/>
      <c r="D13" s="17" t="s">
        <v>15</v>
      </c>
      <c r="E13" s="17">
        <v>5</v>
      </c>
      <c r="F13" s="13">
        <f t="shared" si="0"/>
        <v>9.17647058823529</v>
      </c>
      <c r="G13" s="14">
        <f t="shared" si="1"/>
        <v>0.85</v>
      </c>
      <c r="H13" s="18">
        <v>7.8</v>
      </c>
      <c r="I13" s="15">
        <f t="shared" si="2"/>
        <v>39</v>
      </c>
      <c r="J13" s="16"/>
    </row>
    <row r="14" s="3" customFormat="1" ht="16" customHeight="1" spans="1:10">
      <c r="A14" s="11">
        <v>9</v>
      </c>
      <c r="B14" s="16" t="s">
        <v>54</v>
      </c>
      <c r="C14" s="16"/>
      <c r="D14" s="17" t="s">
        <v>15</v>
      </c>
      <c r="E14" s="17">
        <v>2</v>
      </c>
      <c r="F14" s="13">
        <f t="shared" si="0"/>
        <v>5.64705882352941</v>
      </c>
      <c r="G14" s="14">
        <f t="shared" si="1"/>
        <v>0.85</v>
      </c>
      <c r="H14" s="18">
        <v>4.8</v>
      </c>
      <c r="I14" s="15">
        <f t="shared" si="2"/>
        <v>9.6</v>
      </c>
      <c r="J14" s="16"/>
    </row>
    <row r="15" s="3" customFormat="1" ht="16" customHeight="1" spans="1:10">
      <c r="A15" s="11">
        <v>10</v>
      </c>
      <c r="B15" s="11" t="s">
        <v>55</v>
      </c>
      <c r="C15" s="11"/>
      <c r="D15" s="16" t="s">
        <v>15</v>
      </c>
      <c r="E15" s="12">
        <v>3</v>
      </c>
      <c r="F15" s="13">
        <f t="shared" si="0"/>
        <v>8</v>
      </c>
      <c r="G15" s="14">
        <f t="shared" si="1"/>
        <v>0.85</v>
      </c>
      <c r="H15" s="18">
        <v>6.8</v>
      </c>
      <c r="I15" s="15">
        <f t="shared" si="2"/>
        <v>20.4</v>
      </c>
      <c r="J15" s="16"/>
    </row>
    <row r="16" s="3" customFormat="1" ht="16" customHeight="1" spans="1:10">
      <c r="A16" s="11">
        <v>11</v>
      </c>
      <c r="B16" s="11" t="s">
        <v>56</v>
      </c>
      <c r="C16" s="11"/>
      <c r="D16" s="11" t="s">
        <v>15</v>
      </c>
      <c r="E16" s="12">
        <v>17</v>
      </c>
      <c r="F16" s="13">
        <f t="shared" si="0"/>
        <v>4.11764705882353</v>
      </c>
      <c r="G16" s="14">
        <f t="shared" si="1"/>
        <v>0.85</v>
      </c>
      <c r="H16" s="18">
        <v>3.5</v>
      </c>
      <c r="I16" s="15">
        <f t="shared" si="2"/>
        <v>59.5</v>
      </c>
      <c r="J16" s="16"/>
    </row>
    <row r="17" s="3" customFormat="1" ht="16" customHeight="1" spans="1:10">
      <c r="A17" s="11">
        <v>12</v>
      </c>
      <c r="B17" s="13" t="s">
        <v>57</v>
      </c>
      <c r="C17" s="13"/>
      <c r="D17" s="13" t="s">
        <v>15</v>
      </c>
      <c r="E17" s="12">
        <v>10</v>
      </c>
      <c r="F17" s="13">
        <f t="shared" si="0"/>
        <v>41.1764705882353</v>
      </c>
      <c r="G17" s="14">
        <f t="shared" si="1"/>
        <v>0.85</v>
      </c>
      <c r="H17" s="18">
        <v>35</v>
      </c>
      <c r="I17" s="15">
        <f t="shared" si="2"/>
        <v>350</v>
      </c>
      <c r="J17" s="11"/>
    </row>
    <row r="18" s="3" customFormat="1" ht="16" customHeight="1" spans="1:10">
      <c r="A18" s="11">
        <v>13</v>
      </c>
      <c r="B18" s="13" t="s">
        <v>24</v>
      </c>
      <c r="C18" s="13"/>
      <c r="D18" s="13" t="s">
        <v>15</v>
      </c>
      <c r="E18" s="12">
        <v>8</v>
      </c>
      <c r="F18" s="13">
        <f t="shared" si="0"/>
        <v>16.2352941176471</v>
      </c>
      <c r="G18" s="14">
        <f t="shared" si="1"/>
        <v>0.85</v>
      </c>
      <c r="H18" s="18">
        <v>13.8</v>
      </c>
      <c r="I18" s="15">
        <f t="shared" si="2"/>
        <v>110.4</v>
      </c>
      <c r="J18" s="11"/>
    </row>
    <row r="19" s="3" customFormat="1" customHeight="1" spans="1:10">
      <c r="A19" s="11">
        <v>14</v>
      </c>
      <c r="B19" s="13" t="s">
        <v>58</v>
      </c>
      <c r="C19" s="13" t="s">
        <v>59</v>
      </c>
      <c r="D19" s="13" t="s">
        <v>15</v>
      </c>
      <c r="E19" s="12">
        <v>9</v>
      </c>
      <c r="F19" s="13">
        <f t="shared" si="0"/>
        <v>19.7647058823529</v>
      </c>
      <c r="G19" s="14">
        <f t="shared" si="1"/>
        <v>0.85</v>
      </c>
      <c r="H19" s="18">
        <v>16.8</v>
      </c>
      <c r="I19" s="15">
        <f t="shared" si="2"/>
        <v>151.2</v>
      </c>
      <c r="J19" s="13"/>
    </row>
    <row r="20" s="3" customFormat="1" customHeight="1" spans="1:10">
      <c r="A20" s="11">
        <v>15</v>
      </c>
      <c r="B20" s="13" t="s">
        <v>60</v>
      </c>
      <c r="C20" s="13" t="s">
        <v>61</v>
      </c>
      <c r="D20" s="13" t="s">
        <v>15</v>
      </c>
      <c r="E20" s="12">
        <v>8</v>
      </c>
      <c r="F20" s="13">
        <f t="shared" si="0"/>
        <v>30.5882352941176</v>
      </c>
      <c r="G20" s="14">
        <f t="shared" si="1"/>
        <v>0.85</v>
      </c>
      <c r="H20" s="18">
        <v>26</v>
      </c>
      <c r="I20" s="15">
        <f t="shared" si="2"/>
        <v>208</v>
      </c>
      <c r="J20" s="13"/>
    </row>
    <row r="21" s="3" customFormat="1" customHeight="1" spans="1:10">
      <c r="A21" s="11">
        <v>16</v>
      </c>
      <c r="B21" s="13" t="s">
        <v>62</v>
      </c>
      <c r="C21" s="13"/>
      <c r="D21" s="13" t="s">
        <v>15</v>
      </c>
      <c r="E21" s="12">
        <v>3</v>
      </c>
      <c r="F21" s="13">
        <f t="shared" si="0"/>
        <v>103.529411764706</v>
      </c>
      <c r="G21" s="14">
        <f t="shared" si="1"/>
        <v>0.85</v>
      </c>
      <c r="H21" s="18">
        <v>88</v>
      </c>
      <c r="I21" s="15">
        <f t="shared" si="2"/>
        <v>264</v>
      </c>
      <c r="J21" s="13"/>
    </row>
    <row r="22" s="3" customFormat="1" customHeight="1" spans="1:10">
      <c r="A22" s="11">
        <v>17</v>
      </c>
      <c r="B22" s="13" t="s">
        <v>63</v>
      </c>
      <c r="C22" s="13" t="s">
        <v>64</v>
      </c>
      <c r="D22" s="13" t="s">
        <v>39</v>
      </c>
      <c r="E22" s="12">
        <v>2</v>
      </c>
      <c r="F22" s="13">
        <f t="shared" si="0"/>
        <v>205.882352941176</v>
      </c>
      <c r="G22" s="14">
        <f t="shared" si="1"/>
        <v>0.85</v>
      </c>
      <c r="H22" s="18">
        <v>175</v>
      </c>
      <c r="I22" s="15">
        <f t="shared" si="2"/>
        <v>350</v>
      </c>
      <c r="J22" s="13"/>
    </row>
    <row r="23" s="3" customFormat="1" customHeight="1" spans="1:10">
      <c r="A23" s="11">
        <v>18</v>
      </c>
      <c r="B23" s="16" t="s">
        <v>65</v>
      </c>
      <c r="C23" s="16" t="s">
        <v>66</v>
      </c>
      <c r="D23" s="17" t="s">
        <v>67</v>
      </c>
      <c r="E23" s="17">
        <v>25</v>
      </c>
      <c r="F23" s="13">
        <f t="shared" si="0"/>
        <v>4.11764705882353</v>
      </c>
      <c r="G23" s="14">
        <f t="shared" si="1"/>
        <v>0.85</v>
      </c>
      <c r="H23" s="18">
        <v>3.5</v>
      </c>
      <c r="I23" s="15">
        <f t="shared" si="2"/>
        <v>87.5</v>
      </c>
      <c r="J23" s="13"/>
    </row>
    <row r="24" s="3" customFormat="1" customHeight="1" spans="1:10">
      <c r="A24" s="11">
        <v>19</v>
      </c>
      <c r="B24" s="13" t="s">
        <v>68</v>
      </c>
      <c r="C24" s="13" t="s">
        <v>69</v>
      </c>
      <c r="D24" s="13" t="s">
        <v>67</v>
      </c>
      <c r="E24" s="12">
        <v>56</v>
      </c>
      <c r="F24" s="13">
        <f t="shared" si="0"/>
        <v>3.76470588235294</v>
      </c>
      <c r="G24" s="14">
        <f t="shared" si="1"/>
        <v>0.85</v>
      </c>
      <c r="H24" s="18">
        <v>3.2</v>
      </c>
      <c r="I24" s="15">
        <f t="shared" si="2"/>
        <v>179.2</v>
      </c>
      <c r="J24" s="13"/>
    </row>
    <row r="25" s="3" customFormat="1" customHeight="1" spans="1:10">
      <c r="A25" s="11">
        <v>20</v>
      </c>
      <c r="B25" s="13" t="s">
        <v>70</v>
      </c>
      <c r="C25" s="13"/>
      <c r="D25" s="13" t="s">
        <v>15</v>
      </c>
      <c r="E25" s="12">
        <v>8</v>
      </c>
      <c r="F25" s="13">
        <f t="shared" si="0"/>
        <v>56.4705882352941</v>
      </c>
      <c r="G25" s="14">
        <f t="shared" si="1"/>
        <v>0.85</v>
      </c>
      <c r="H25" s="18">
        <v>48</v>
      </c>
      <c r="I25" s="15">
        <f t="shared" si="2"/>
        <v>384</v>
      </c>
      <c r="J25" s="13"/>
    </row>
    <row r="26" s="3" customFormat="1" customHeight="1" spans="1:10">
      <c r="A26" s="11">
        <v>21</v>
      </c>
      <c r="B26" s="11" t="s">
        <v>71</v>
      </c>
      <c r="C26" s="11"/>
      <c r="D26" s="11" t="s">
        <v>15</v>
      </c>
      <c r="E26" s="12">
        <v>8</v>
      </c>
      <c r="F26" s="13">
        <f t="shared" si="0"/>
        <v>22.9411764705882</v>
      </c>
      <c r="G26" s="14">
        <f t="shared" si="1"/>
        <v>0.85</v>
      </c>
      <c r="H26" s="15">
        <v>19.5</v>
      </c>
      <c r="I26" s="15">
        <f t="shared" si="2"/>
        <v>156</v>
      </c>
      <c r="J26" s="13"/>
    </row>
    <row r="27" s="3" customFormat="1" customHeight="1" spans="1:10">
      <c r="A27" s="11">
        <v>22</v>
      </c>
      <c r="B27" s="13" t="s">
        <v>72</v>
      </c>
      <c r="C27" s="13"/>
      <c r="D27" s="13" t="s">
        <v>15</v>
      </c>
      <c r="E27" s="12">
        <v>15.3</v>
      </c>
      <c r="F27" s="13">
        <f t="shared" si="0"/>
        <v>17.4117647058824</v>
      </c>
      <c r="G27" s="14">
        <f t="shared" si="1"/>
        <v>0.85</v>
      </c>
      <c r="H27" s="18">
        <v>14.8</v>
      </c>
      <c r="I27" s="15">
        <f t="shared" si="2"/>
        <v>226.44</v>
      </c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45</v>
      </c>
      <c r="B34" s="19">
        <f>SUM(I6:I33)</f>
        <v>2934.74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46</v>
      </c>
      <c r="B35" s="22">
        <f>B34</f>
        <v>2934.74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47</v>
      </c>
      <c r="E36" s="4"/>
    </row>
  </sheetData>
  <sortState ref="A16:I25">
    <sortCondition ref="A16"/>
  </sortState>
  <mergeCells count="4">
    <mergeCell ref="A1:J1"/>
    <mergeCell ref="B34:J34"/>
    <mergeCell ref="B35:J35"/>
    <mergeCell ref="A36:J36"/>
  </mergeCells>
  <conditionalFormatting sqref="B25">
    <cfRule type="duplicateValues" dxfId="0" priority="6"/>
    <cfRule type="duplicateValues" dxfId="0" priority="5"/>
  </conditionalFormatting>
  <conditionalFormatting sqref="B26">
    <cfRule type="duplicateValues" dxfId="0" priority="4"/>
    <cfRule type="duplicateValues" dxfId="0" priority="3"/>
  </conditionalFormatting>
  <conditionalFormatting sqref="B27">
    <cfRule type="duplicateValues" dxfId="0" priority="2"/>
    <cfRule type="duplicateValues" dxfId="0" priority="1"/>
  </conditionalFormatting>
  <conditionalFormatting sqref="B1:B24 B28:B33 B36:B1048576">
    <cfRule type="duplicateValues" dxfId="0" priority="7"/>
  </conditionalFormatting>
  <conditionalFormatting sqref="B6:C16">
    <cfRule type="duplicateValues" dxfId="0" priority="9"/>
  </conditionalFormatting>
  <conditionalFormatting sqref="B6:B24 B28:B33">
    <cfRule type="duplicateValues" dxfId="0" priority="8"/>
  </conditionalFormatting>
  <pageMargins left="0.751388888888889" right="0.751388888888889" top="0.2125" bottom="0.60625" header="0.5" footer="0.5"/>
  <pageSetup paperSize="9" scale="93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3" workbookViewId="0">
      <selection activeCell="E16" sqref="E1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2" width="11.6666666666667" style="3" customWidth="1"/>
    <col min="16313" max="16313" width="11.6666666666667" style="3"/>
    <col min="16314" max="16319" width="11" style="3"/>
    <col min="16320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8">
        <v>45326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9</v>
      </c>
      <c r="F6" s="13">
        <f t="shared" ref="F6:F22" si="0">H6/0.85</f>
        <v>3.52941176470588</v>
      </c>
      <c r="G6" s="14">
        <f t="shared" ref="G6:G22" si="1">H6/F6</f>
        <v>0.85</v>
      </c>
      <c r="H6" s="15">
        <v>3</v>
      </c>
      <c r="I6" s="15">
        <f t="shared" ref="I6:I22" si="2">E6*H6</f>
        <v>27</v>
      </c>
      <c r="J6" s="11"/>
    </row>
    <row r="7" s="3" customFormat="1" ht="16" customHeight="1" spans="1:10">
      <c r="A7" s="11">
        <v>2</v>
      </c>
      <c r="B7" s="11" t="s">
        <v>73</v>
      </c>
      <c r="C7" s="11" t="s">
        <v>61</v>
      </c>
      <c r="D7" s="12" t="s">
        <v>15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7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24.5</v>
      </c>
      <c r="J8" s="11"/>
    </row>
    <row r="9" s="3" customFormat="1" ht="16" customHeight="1" spans="1:10">
      <c r="A9" s="11">
        <v>4</v>
      </c>
      <c r="B9" s="16" t="s">
        <v>74</v>
      </c>
      <c r="C9" s="16"/>
      <c r="D9" s="12" t="s">
        <v>15</v>
      </c>
      <c r="E9" s="12">
        <v>8</v>
      </c>
      <c r="F9" s="13">
        <f t="shared" si="0"/>
        <v>32.9411764705882</v>
      </c>
      <c r="G9" s="14">
        <f t="shared" si="1"/>
        <v>0.85</v>
      </c>
      <c r="H9" s="15">
        <v>28</v>
      </c>
      <c r="I9" s="15">
        <f t="shared" si="2"/>
        <v>224</v>
      </c>
      <c r="J9" s="11"/>
    </row>
    <row r="10" s="3" customFormat="1" ht="16" customHeight="1" spans="1:10">
      <c r="A10" s="11">
        <v>5</v>
      </c>
      <c r="B10" s="16" t="s">
        <v>75</v>
      </c>
      <c r="C10" s="16"/>
      <c r="D10" s="12" t="s">
        <v>15</v>
      </c>
      <c r="E10" s="12">
        <v>7</v>
      </c>
      <c r="F10" s="13">
        <f t="shared" si="0"/>
        <v>9.41176470588235</v>
      </c>
      <c r="G10" s="14">
        <f t="shared" si="1"/>
        <v>0.85</v>
      </c>
      <c r="H10" s="15">
        <v>8</v>
      </c>
      <c r="I10" s="15">
        <f t="shared" si="2"/>
        <v>56</v>
      </c>
      <c r="J10" s="11"/>
    </row>
    <row r="11" s="3" customFormat="1" ht="16" customHeight="1" spans="1:10">
      <c r="A11" s="11">
        <v>6</v>
      </c>
      <c r="B11" s="11" t="s">
        <v>76</v>
      </c>
      <c r="C11" s="11"/>
      <c r="D11" s="12" t="s">
        <v>15</v>
      </c>
      <c r="E11" s="12">
        <v>10</v>
      </c>
      <c r="F11" s="13">
        <f t="shared" si="0"/>
        <v>4.11764705882353</v>
      </c>
      <c r="G11" s="14">
        <f t="shared" si="1"/>
        <v>0.85</v>
      </c>
      <c r="H11" s="15">
        <v>3.5</v>
      </c>
      <c r="I11" s="15">
        <f t="shared" si="2"/>
        <v>35</v>
      </c>
      <c r="J11" s="11"/>
    </row>
    <row r="12" s="3" customFormat="1" ht="16" customHeight="1" spans="1:10">
      <c r="A12" s="11">
        <v>7</v>
      </c>
      <c r="B12" s="11" t="s">
        <v>21</v>
      </c>
      <c r="C12" s="11"/>
      <c r="D12" s="12" t="s">
        <v>15</v>
      </c>
      <c r="E12" s="12">
        <v>6</v>
      </c>
      <c r="F12" s="13">
        <f t="shared" si="0"/>
        <v>2.94117647058824</v>
      </c>
      <c r="G12" s="14">
        <f t="shared" si="1"/>
        <v>0.85</v>
      </c>
      <c r="H12" s="15">
        <v>2.5</v>
      </c>
      <c r="I12" s="15">
        <f t="shared" si="2"/>
        <v>15</v>
      </c>
      <c r="J12" s="11"/>
    </row>
    <row r="13" s="3" customFormat="1" ht="16" customHeight="1" spans="1:10">
      <c r="A13" s="11">
        <v>8</v>
      </c>
      <c r="B13" s="16" t="s">
        <v>50</v>
      </c>
      <c r="C13" s="16"/>
      <c r="D13" s="17" t="s">
        <v>51</v>
      </c>
      <c r="E13" s="17">
        <v>14</v>
      </c>
      <c r="F13" s="13">
        <f t="shared" si="0"/>
        <v>5.29411764705882</v>
      </c>
      <c r="G13" s="14">
        <f t="shared" si="1"/>
        <v>0.85</v>
      </c>
      <c r="H13" s="15">
        <v>4.5</v>
      </c>
      <c r="I13" s="15">
        <f t="shared" si="2"/>
        <v>63</v>
      </c>
      <c r="J13" s="11"/>
    </row>
    <row r="14" s="3" customFormat="1" ht="16" customHeight="1" spans="1:10">
      <c r="A14" s="11">
        <v>9</v>
      </c>
      <c r="B14" s="16" t="s">
        <v>77</v>
      </c>
      <c r="C14" s="16"/>
      <c r="D14" s="17" t="s">
        <v>15</v>
      </c>
      <c r="E14" s="17">
        <v>24.2</v>
      </c>
      <c r="F14" s="13">
        <f t="shared" si="0"/>
        <v>5.64705882352941</v>
      </c>
      <c r="G14" s="14">
        <f t="shared" si="1"/>
        <v>0.85</v>
      </c>
      <c r="H14" s="15">
        <v>4.8</v>
      </c>
      <c r="I14" s="15">
        <f t="shared" si="2"/>
        <v>116.16</v>
      </c>
      <c r="J14" s="16"/>
    </row>
    <row r="15" s="3" customFormat="1" ht="16" customHeight="1" spans="1:10">
      <c r="A15" s="11">
        <v>10</v>
      </c>
      <c r="B15" s="11" t="s">
        <v>78</v>
      </c>
      <c r="C15" s="11"/>
      <c r="D15" s="12" t="s">
        <v>15</v>
      </c>
      <c r="E15" s="12">
        <v>8</v>
      </c>
      <c r="F15" s="13">
        <f t="shared" si="0"/>
        <v>6.82352941176471</v>
      </c>
      <c r="G15" s="14">
        <f t="shared" si="1"/>
        <v>0.85</v>
      </c>
      <c r="H15" s="15">
        <v>5.8</v>
      </c>
      <c r="I15" s="15">
        <f t="shared" si="2"/>
        <v>46.4</v>
      </c>
      <c r="J15" s="16"/>
    </row>
    <row r="16" s="3" customFormat="1" ht="16" customHeight="1" spans="1:10">
      <c r="A16" s="11">
        <v>11</v>
      </c>
      <c r="B16" s="16" t="s">
        <v>79</v>
      </c>
      <c r="C16" s="16"/>
      <c r="D16" s="17" t="s">
        <v>15</v>
      </c>
      <c r="E16" s="17">
        <v>6</v>
      </c>
      <c r="F16" s="13">
        <f t="shared" si="0"/>
        <v>4.11764705882353</v>
      </c>
      <c r="G16" s="14">
        <f t="shared" si="1"/>
        <v>0.85</v>
      </c>
      <c r="H16" s="15">
        <v>3.5</v>
      </c>
      <c r="I16" s="15">
        <f t="shared" si="2"/>
        <v>21</v>
      </c>
      <c r="J16" s="16"/>
    </row>
    <row r="17" s="3" customFormat="1" ht="16" customHeight="1" spans="1:10">
      <c r="A17" s="11">
        <v>12</v>
      </c>
      <c r="B17" s="16" t="s">
        <v>80</v>
      </c>
      <c r="C17" s="16"/>
      <c r="D17" s="17" t="s">
        <v>15</v>
      </c>
      <c r="E17" s="17">
        <v>12</v>
      </c>
      <c r="F17" s="13">
        <f t="shared" si="0"/>
        <v>5.29411764705882</v>
      </c>
      <c r="G17" s="14">
        <f t="shared" si="1"/>
        <v>0.85</v>
      </c>
      <c r="H17" s="15">
        <v>4.5</v>
      </c>
      <c r="I17" s="15">
        <f t="shared" si="2"/>
        <v>54</v>
      </c>
      <c r="J17" s="16"/>
    </row>
    <row r="18" s="3" customFormat="1" ht="16" customHeight="1" spans="1:10">
      <c r="A18" s="11">
        <v>13</v>
      </c>
      <c r="B18" s="16" t="s">
        <v>65</v>
      </c>
      <c r="C18" s="16" t="s">
        <v>66</v>
      </c>
      <c r="D18" s="17" t="s">
        <v>67</v>
      </c>
      <c r="E18" s="17">
        <v>55</v>
      </c>
      <c r="F18" s="13">
        <f t="shared" si="0"/>
        <v>4.11764705882353</v>
      </c>
      <c r="G18" s="14">
        <f t="shared" si="1"/>
        <v>0.85</v>
      </c>
      <c r="H18" s="15">
        <v>3.5</v>
      </c>
      <c r="I18" s="15">
        <f t="shared" si="2"/>
        <v>192.5</v>
      </c>
      <c r="J18" s="16"/>
    </row>
    <row r="19" s="3" customFormat="1" ht="16" customHeight="1" spans="1:10">
      <c r="A19" s="11">
        <v>14</v>
      </c>
      <c r="B19" s="16" t="s">
        <v>68</v>
      </c>
      <c r="C19" s="16" t="s">
        <v>69</v>
      </c>
      <c r="D19" s="16" t="s">
        <v>67</v>
      </c>
      <c r="E19" s="17">
        <v>50</v>
      </c>
      <c r="F19" s="13">
        <f t="shared" si="0"/>
        <v>3.76470588235294</v>
      </c>
      <c r="G19" s="14">
        <f t="shared" si="1"/>
        <v>0.85</v>
      </c>
      <c r="H19" s="15">
        <v>3.2</v>
      </c>
      <c r="I19" s="15">
        <f t="shared" si="2"/>
        <v>160</v>
      </c>
      <c r="J19" s="11"/>
    </row>
    <row r="20" s="3" customFormat="1" ht="16" customHeight="1" spans="1:10">
      <c r="A20" s="11">
        <v>15</v>
      </c>
      <c r="B20" s="11" t="s">
        <v>25</v>
      </c>
      <c r="C20" s="11"/>
      <c r="D20" s="11" t="s">
        <v>15</v>
      </c>
      <c r="E20" s="12">
        <v>5</v>
      </c>
      <c r="F20" s="13">
        <f t="shared" si="0"/>
        <v>23.5294117647059</v>
      </c>
      <c r="G20" s="14">
        <f t="shared" si="1"/>
        <v>0.85</v>
      </c>
      <c r="H20" s="18">
        <v>20</v>
      </c>
      <c r="I20" s="15">
        <f t="shared" si="2"/>
        <v>100</v>
      </c>
      <c r="J20" s="16"/>
    </row>
    <row r="21" s="3" customFormat="1" ht="16" customHeight="1" spans="1:10">
      <c r="A21" s="11">
        <v>16</v>
      </c>
      <c r="B21" s="16" t="s">
        <v>81</v>
      </c>
      <c r="C21" s="16"/>
      <c r="D21" s="17" t="s">
        <v>15</v>
      </c>
      <c r="E21" s="17">
        <v>8</v>
      </c>
      <c r="F21" s="13">
        <f t="shared" si="0"/>
        <v>103.529411764706</v>
      </c>
      <c r="G21" s="14">
        <f t="shared" si="1"/>
        <v>0.85</v>
      </c>
      <c r="H21" s="15">
        <v>88</v>
      </c>
      <c r="I21" s="15">
        <f t="shared" si="2"/>
        <v>704</v>
      </c>
      <c r="J21" s="16"/>
    </row>
    <row r="22" s="3" customFormat="1" ht="16" customHeight="1" spans="1:10">
      <c r="A22" s="11">
        <v>17</v>
      </c>
      <c r="B22" s="16" t="s">
        <v>82</v>
      </c>
      <c r="C22" s="16"/>
      <c r="D22" s="17" t="s">
        <v>15</v>
      </c>
      <c r="E22" s="17">
        <v>5</v>
      </c>
      <c r="F22" s="13">
        <f t="shared" si="0"/>
        <v>103.529411764706</v>
      </c>
      <c r="G22" s="14">
        <f t="shared" si="1"/>
        <v>0.85</v>
      </c>
      <c r="H22" s="15">
        <v>88</v>
      </c>
      <c r="I22" s="15">
        <f t="shared" si="2"/>
        <v>440</v>
      </c>
      <c r="J22" s="16"/>
    </row>
    <row r="23" s="3" customFormat="1" ht="16" customHeight="1" spans="1:10">
      <c r="A23" s="11">
        <v>18</v>
      </c>
      <c r="B23" s="16"/>
      <c r="C23" s="16"/>
      <c r="D23" s="17"/>
      <c r="E23" s="17"/>
      <c r="F23" s="13"/>
      <c r="G23" s="14"/>
      <c r="H23" s="15"/>
      <c r="I23" s="15"/>
      <c r="J23" s="16"/>
    </row>
    <row r="24" s="3" customFormat="1" ht="16" customHeight="1" spans="1:10">
      <c r="A24" s="11">
        <v>19</v>
      </c>
      <c r="B24" s="11"/>
      <c r="C24" s="11"/>
      <c r="D24" s="12"/>
      <c r="E24" s="12"/>
      <c r="F24" s="13"/>
      <c r="G24" s="14"/>
      <c r="H24" s="15"/>
      <c r="I24" s="15"/>
      <c r="J24" s="16"/>
    </row>
    <row r="25" s="3" customFormat="1" ht="16" customHeight="1" spans="1:10">
      <c r="A25" s="11">
        <v>20</v>
      </c>
      <c r="B25" s="16"/>
      <c r="C25" s="16"/>
      <c r="D25" s="17"/>
      <c r="E25" s="17"/>
      <c r="F25" s="13"/>
      <c r="G25" s="14"/>
      <c r="H25" s="15"/>
      <c r="I25" s="15"/>
      <c r="J25" s="16"/>
    </row>
    <row r="26" s="3" customFormat="1" ht="16" customHeight="1" spans="1:10">
      <c r="A26" s="11">
        <v>21</v>
      </c>
      <c r="B26" s="11"/>
      <c r="C26" s="11"/>
      <c r="D26" s="12"/>
      <c r="E26" s="12"/>
      <c r="F26" s="13"/>
      <c r="G26" s="14"/>
      <c r="H26" s="15"/>
      <c r="I26" s="15"/>
      <c r="J26" s="11"/>
    </row>
    <row r="27" s="3" customFormat="1" ht="16" customHeight="1" spans="1:10">
      <c r="A27" s="11">
        <v>22</v>
      </c>
      <c r="B27" s="16"/>
      <c r="C27" s="16"/>
      <c r="D27" s="12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6"/>
      <c r="C28" s="16"/>
      <c r="D28" s="16"/>
      <c r="E28" s="17"/>
      <c r="F28" s="13"/>
      <c r="G28" s="14"/>
      <c r="H28" s="15"/>
      <c r="I28" s="15"/>
      <c r="J28" s="16"/>
    </row>
    <row r="29" s="3" customFormat="1" ht="16" customHeight="1" spans="1:10">
      <c r="A29" s="11">
        <v>24</v>
      </c>
      <c r="B29" s="11"/>
      <c r="C29" s="11"/>
      <c r="D29" s="16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26"/>
      <c r="C30" s="11"/>
      <c r="D30" s="16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ht="16" customHeight="1" spans="1:10">
      <c r="A33" s="11">
        <v>28</v>
      </c>
      <c r="B33" s="11"/>
      <c r="C33" s="11"/>
      <c r="D33" s="11"/>
      <c r="E33" s="12"/>
      <c r="F33" s="13"/>
      <c r="G33" s="14"/>
      <c r="H33" s="15"/>
      <c r="I33" s="15"/>
      <c r="J33" s="11"/>
    </row>
    <row r="34" s="3" customFormat="1" customHeight="1" spans="1:10">
      <c r="A34" s="11" t="s">
        <v>45</v>
      </c>
      <c r="B34" s="19">
        <f>SUM(I6:I33)</f>
        <v>2299.56</v>
      </c>
      <c r="C34" s="20"/>
      <c r="D34" s="20"/>
      <c r="E34" s="20"/>
      <c r="F34" s="20"/>
      <c r="G34" s="20"/>
      <c r="H34" s="20"/>
      <c r="I34" s="20"/>
      <c r="J34" s="24"/>
    </row>
    <row r="35" s="3" customFormat="1" customHeight="1" spans="1:10">
      <c r="A35" s="11" t="s">
        <v>46</v>
      </c>
      <c r="B35" s="22">
        <f>B34</f>
        <v>2299.56</v>
      </c>
      <c r="C35" s="23"/>
      <c r="D35" s="23"/>
      <c r="E35" s="23"/>
      <c r="F35" s="23"/>
      <c r="G35" s="23"/>
      <c r="H35" s="23"/>
      <c r="I35" s="23"/>
      <c r="J35" s="25"/>
    </row>
    <row r="36" s="3" customFormat="1" customHeight="1" spans="1:1">
      <c r="A36" s="3" t="s">
        <v>47</v>
      </c>
    </row>
  </sheetData>
  <sortState ref="A14:I24">
    <sortCondition ref="A14"/>
  </sortState>
  <mergeCells count="4">
    <mergeCell ref="A1:J1"/>
    <mergeCell ref="B34:J34"/>
    <mergeCell ref="B35:J35"/>
    <mergeCell ref="A36:J36"/>
  </mergeCells>
  <conditionalFormatting sqref="B20:C20">
    <cfRule type="duplicateValues" dxfId="0" priority="3"/>
  </conditionalFormatting>
  <conditionalFormatting sqref="B20">
    <cfRule type="duplicateValues" dxfId="0" priority="2"/>
    <cfRule type="duplicateValues" dxfId="0" priority="1"/>
  </conditionalFormatting>
  <conditionalFormatting sqref="B6:B19 B21:B33">
    <cfRule type="duplicateValues" dxfId="0" priority="4"/>
  </conditionalFormatting>
  <conditionalFormatting sqref="B6:C19 B21:C26">
    <cfRule type="duplicateValues" dxfId="0" priority="5"/>
  </conditionalFormatting>
  <pageMargins left="0.751388888888889" right="0.751388888888889" top="0.409027777777778" bottom="0.2125" header="0.5" footer="0.5"/>
  <pageSetup paperSize="9" scale="98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4" workbookViewId="0">
      <selection activeCell="B22" sqref="B22:I22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2" width="11.6666666666667" style="3" customWidth="1"/>
    <col min="16313" max="16313" width="11.6666666666667" style="3"/>
    <col min="16314" max="16319" width="11" style="3"/>
    <col min="16320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8">
        <v>45327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3</v>
      </c>
      <c r="F6" s="13">
        <f>H6/0.85</f>
        <v>3.52941176470588</v>
      </c>
      <c r="G6" s="14">
        <f>H6/F6</f>
        <v>0.85</v>
      </c>
      <c r="H6" s="15">
        <v>3</v>
      </c>
      <c r="I6" s="15">
        <f>E6*H6</f>
        <v>9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7</v>
      </c>
      <c r="F7" s="13">
        <f>H7/0.85</f>
        <v>4.11764705882353</v>
      </c>
      <c r="G7" s="14">
        <f>H7/F7</f>
        <v>0.85</v>
      </c>
      <c r="H7" s="15">
        <v>3.5</v>
      </c>
      <c r="I7" s="15">
        <f>E7*H7</f>
        <v>24.5</v>
      </c>
      <c r="J7" s="11"/>
    </row>
    <row r="8" s="3" customFormat="1" ht="16" customHeight="1" spans="1:10">
      <c r="A8" s="11">
        <v>3</v>
      </c>
      <c r="B8" s="11" t="s">
        <v>83</v>
      </c>
      <c r="C8" s="11"/>
      <c r="D8" s="12" t="s">
        <v>15</v>
      </c>
      <c r="E8" s="12">
        <v>1</v>
      </c>
      <c r="F8" s="13">
        <f>H8/0.85</f>
        <v>8</v>
      </c>
      <c r="G8" s="14">
        <f>H8/F8</f>
        <v>0.85</v>
      </c>
      <c r="H8" s="15">
        <v>6.8</v>
      </c>
      <c r="I8" s="15">
        <f>E8*H8</f>
        <v>6.8</v>
      </c>
      <c r="J8" s="11"/>
    </row>
    <row r="9" s="3" customFormat="1" ht="16" customHeight="1" spans="1:10">
      <c r="A9" s="11">
        <v>4</v>
      </c>
      <c r="B9" s="16" t="s">
        <v>19</v>
      </c>
      <c r="C9" s="16"/>
      <c r="D9" s="12" t="s">
        <v>15</v>
      </c>
      <c r="E9" s="12">
        <v>10</v>
      </c>
      <c r="F9" s="13">
        <f>H9/0.85</f>
        <v>6.82352941176471</v>
      </c>
      <c r="G9" s="14">
        <f>H9/F9</f>
        <v>0.85</v>
      </c>
      <c r="H9" s="15">
        <v>5.8</v>
      </c>
      <c r="I9" s="15">
        <f>E9*H9</f>
        <v>58</v>
      </c>
      <c r="J9" s="11"/>
    </row>
    <row r="10" s="3" customFormat="1" ht="16" customHeight="1" spans="1:10">
      <c r="A10" s="11">
        <v>5</v>
      </c>
      <c r="B10" s="11" t="s">
        <v>84</v>
      </c>
      <c r="C10" s="11"/>
      <c r="D10" s="12" t="s">
        <v>15</v>
      </c>
      <c r="E10" s="12">
        <v>4</v>
      </c>
      <c r="F10" s="13">
        <f t="shared" ref="F10:F23" si="0">H10/0.85</f>
        <v>8.82352941176471</v>
      </c>
      <c r="G10" s="14">
        <f t="shared" ref="G10:G23" si="1">H10/F10</f>
        <v>0.85</v>
      </c>
      <c r="H10" s="15">
        <v>7.5</v>
      </c>
      <c r="I10" s="15">
        <f t="shared" ref="I10:I23" si="2">E10*H10</f>
        <v>30</v>
      </c>
      <c r="J10" s="11"/>
    </row>
    <row r="11" s="3" customFormat="1" ht="16" customHeight="1" spans="1:10">
      <c r="A11" s="11">
        <v>6</v>
      </c>
      <c r="B11" s="11" t="s">
        <v>85</v>
      </c>
      <c r="C11" s="11"/>
      <c r="D11" s="12" t="s">
        <v>15</v>
      </c>
      <c r="E11" s="12">
        <v>4</v>
      </c>
      <c r="F11" s="13">
        <f t="shared" si="0"/>
        <v>5.64705882352941</v>
      </c>
      <c r="G11" s="14">
        <f t="shared" si="1"/>
        <v>0.85</v>
      </c>
      <c r="H11" s="15">
        <v>4.8</v>
      </c>
      <c r="I11" s="15">
        <f t="shared" si="2"/>
        <v>19.2</v>
      </c>
      <c r="J11" s="11"/>
    </row>
    <row r="12" s="3" customFormat="1" ht="16" customHeight="1" spans="1:10">
      <c r="A12" s="11">
        <v>7</v>
      </c>
      <c r="B12" s="11" t="s">
        <v>53</v>
      </c>
      <c r="C12" s="11"/>
      <c r="D12" s="12" t="s">
        <v>15</v>
      </c>
      <c r="E12" s="12">
        <v>7</v>
      </c>
      <c r="F12" s="13">
        <f t="shared" si="0"/>
        <v>11.5294117647059</v>
      </c>
      <c r="G12" s="14">
        <f t="shared" si="1"/>
        <v>0.85</v>
      </c>
      <c r="H12" s="15">
        <v>9.8</v>
      </c>
      <c r="I12" s="15">
        <f t="shared" si="2"/>
        <v>68.6</v>
      </c>
      <c r="J12" s="11"/>
    </row>
    <row r="13" s="3" customFormat="1" ht="16" customHeight="1" spans="1:10">
      <c r="A13" s="11">
        <v>8</v>
      </c>
      <c r="B13" s="16" t="s">
        <v>86</v>
      </c>
      <c r="C13" s="16"/>
      <c r="D13" s="17" t="s">
        <v>15</v>
      </c>
      <c r="E13" s="17">
        <v>7</v>
      </c>
      <c r="F13" s="13">
        <f t="shared" si="0"/>
        <v>6.82352941176471</v>
      </c>
      <c r="G13" s="14">
        <f t="shared" si="1"/>
        <v>0.85</v>
      </c>
      <c r="H13" s="15">
        <v>5.8</v>
      </c>
      <c r="I13" s="15">
        <f t="shared" si="2"/>
        <v>40.6</v>
      </c>
      <c r="J13" s="16"/>
    </row>
    <row r="14" s="3" customFormat="1" ht="16" customHeight="1" spans="1:10">
      <c r="A14" s="11">
        <v>9</v>
      </c>
      <c r="B14" s="16" t="s">
        <v>87</v>
      </c>
      <c r="C14" s="16"/>
      <c r="D14" s="17" t="s">
        <v>15</v>
      </c>
      <c r="E14" s="17">
        <v>13</v>
      </c>
      <c r="F14" s="13">
        <f t="shared" si="0"/>
        <v>5.64705882352941</v>
      </c>
      <c r="G14" s="14">
        <f t="shared" si="1"/>
        <v>0.85</v>
      </c>
      <c r="H14" s="15">
        <v>4.8</v>
      </c>
      <c r="I14" s="15">
        <f t="shared" si="2"/>
        <v>62.4</v>
      </c>
      <c r="J14" s="16"/>
    </row>
    <row r="15" s="3" customFormat="1" ht="16" customHeight="1" spans="1:10">
      <c r="A15" s="11">
        <v>10</v>
      </c>
      <c r="B15" s="16" t="s">
        <v>88</v>
      </c>
      <c r="C15" s="16"/>
      <c r="D15" s="17" t="s">
        <v>15</v>
      </c>
      <c r="E15" s="17">
        <v>6</v>
      </c>
      <c r="F15" s="13">
        <f t="shared" si="0"/>
        <v>5.64705882352941</v>
      </c>
      <c r="G15" s="14">
        <f t="shared" si="1"/>
        <v>0.85</v>
      </c>
      <c r="H15" s="15">
        <v>4.8</v>
      </c>
      <c r="I15" s="15">
        <f t="shared" si="2"/>
        <v>28.8</v>
      </c>
      <c r="J15" s="16"/>
    </row>
    <row r="16" s="3" customFormat="1" ht="16" customHeight="1" spans="1:10">
      <c r="A16" s="11">
        <v>11</v>
      </c>
      <c r="B16" s="16" t="s">
        <v>89</v>
      </c>
      <c r="C16" s="16"/>
      <c r="D16" s="17" t="s">
        <v>15</v>
      </c>
      <c r="E16" s="17">
        <v>26.7</v>
      </c>
      <c r="F16" s="13">
        <f t="shared" si="0"/>
        <v>6.82352941176471</v>
      </c>
      <c r="G16" s="14">
        <f t="shared" si="1"/>
        <v>0.85</v>
      </c>
      <c r="H16" s="15">
        <v>5.8</v>
      </c>
      <c r="I16" s="15">
        <f t="shared" si="2"/>
        <v>154.86</v>
      </c>
      <c r="J16" s="16"/>
    </row>
    <row r="17" s="3" customFormat="1" ht="16" customHeight="1" spans="1:10">
      <c r="A17" s="11">
        <v>12</v>
      </c>
      <c r="B17" s="11" t="s">
        <v>56</v>
      </c>
      <c r="C17" s="11"/>
      <c r="D17" s="12" t="s">
        <v>15</v>
      </c>
      <c r="E17" s="12">
        <v>15</v>
      </c>
      <c r="F17" s="13">
        <f t="shared" si="0"/>
        <v>4.11764705882353</v>
      </c>
      <c r="G17" s="14">
        <f t="shared" si="1"/>
        <v>0.85</v>
      </c>
      <c r="H17" s="15">
        <v>3.5</v>
      </c>
      <c r="I17" s="15">
        <f t="shared" si="2"/>
        <v>52.5</v>
      </c>
      <c r="J17" s="16"/>
    </row>
    <row r="18" s="3" customFormat="1" ht="16" customHeight="1" spans="1:10">
      <c r="A18" s="11">
        <v>13</v>
      </c>
      <c r="B18" s="16" t="s">
        <v>90</v>
      </c>
      <c r="C18" s="16"/>
      <c r="D18" s="17" t="s">
        <v>15</v>
      </c>
      <c r="E18" s="17">
        <v>6</v>
      </c>
      <c r="F18" s="13">
        <f t="shared" si="0"/>
        <v>16.2352941176471</v>
      </c>
      <c r="G18" s="14">
        <f t="shared" si="1"/>
        <v>0.85</v>
      </c>
      <c r="H18" s="15">
        <v>13.8</v>
      </c>
      <c r="I18" s="15">
        <f t="shared" si="2"/>
        <v>82.8</v>
      </c>
      <c r="J18" s="11"/>
    </row>
    <row r="19" s="3" customFormat="1" ht="16" customHeight="1" spans="1:10">
      <c r="A19" s="11">
        <v>14</v>
      </c>
      <c r="B19" s="16" t="s">
        <v>91</v>
      </c>
      <c r="C19" s="16"/>
      <c r="D19" s="17" t="s">
        <v>15</v>
      </c>
      <c r="E19" s="17">
        <v>5</v>
      </c>
      <c r="F19" s="13">
        <f t="shared" si="0"/>
        <v>23.5294117647059</v>
      </c>
      <c r="G19" s="14">
        <f t="shared" si="1"/>
        <v>0.85</v>
      </c>
      <c r="H19" s="15">
        <v>20</v>
      </c>
      <c r="I19" s="15">
        <f t="shared" si="2"/>
        <v>100</v>
      </c>
      <c r="J19" s="16"/>
    </row>
    <row r="20" s="3" customFormat="1" ht="16" customHeight="1" spans="1:10">
      <c r="A20" s="11">
        <v>15</v>
      </c>
      <c r="B20" s="16" t="s">
        <v>26</v>
      </c>
      <c r="C20" s="16"/>
      <c r="D20" s="17" t="s">
        <v>15</v>
      </c>
      <c r="E20" s="17">
        <v>8</v>
      </c>
      <c r="F20" s="13">
        <f t="shared" si="0"/>
        <v>32.9411764705882</v>
      </c>
      <c r="G20" s="14">
        <f t="shared" si="1"/>
        <v>0.85</v>
      </c>
      <c r="H20" s="15">
        <v>28</v>
      </c>
      <c r="I20" s="15">
        <f t="shared" si="2"/>
        <v>224</v>
      </c>
      <c r="J20" s="16"/>
    </row>
    <row r="21" s="3" customFormat="1" ht="16" customHeight="1" spans="1:10">
      <c r="A21" s="11">
        <v>16</v>
      </c>
      <c r="B21" s="16" t="s">
        <v>92</v>
      </c>
      <c r="C21" s="16"/>
      <c r="D21" s="16" t="s">
        <v>15</v>
      </c>
      <c r="E21" s="17">
        <v>5</v>
      </c>
      <c r="F21" s="13">
        <f t="shared" si="0"/>
        <v>44.7058823529412</v>
      </c>
      <c r="G21" s="14">
        <f t="shared" si="1"/>
        <v>0.85</v>
      </c>
      <c r="H21" s="15">
        <v>38</v>
      </c>
      <c r="I21" s="15">
        <f t="shared" si="2"/>
        <v>190</v>
      </c>
      <c r="J21" s="16"/>
    </row>
    <row r="22" s="3" customFormat="1" ht="16" customHeight="1" spans="1:10">
      <c r="A22" s="11">
        <v>17</v>
      </c>
      <c r="B22" s="16" t="s">
        <v>40</v>
      </c>
      <c r="C22" s="16"/>
      <c r="D22" s="17" t="s">
        <v>15</v>
      </c>
      <c r="E22" s="17">
        <v>16.5</v>
      </c>
      <c r="F22" s="13">
        <f t="shared" si="0"/>
        <v>16.2352941176471</v>
      </c>
      <c r="G22" s="14">
        <f t="shared" si="1"/>
        <v>0.85</v>
      </c>
      <c r="H22" s="15">
        <v>13.8</v>
      </c>
      <c r="I22" s="15">
        <f t="shared" si="2"/>
        <v>227.7</v>
      </c>
      <c r="J22" s="16"/>
    </row>
    <row r="23" s="3" customFormat="1" ht="16" customHeight="1" spans="1:10">
      <c r="A23" s="11">
        <v>18</v>
      </c>
      <c r="B23" s="16" t="s">
        <v>93</v>
      </c>
      <c r="C23" s="16"/>
      <c r="D23" s="17" t="s">
        <v>15</v>
      </c>
      <c r="E23" s="17">
        <v>5</v>
      </c>
      <c r="F23" s="13">
        <f t="shared" si="0"/>
        <v>30.5882352941176</v>
      </c>
      <c r="G23" s="14">
        <f t="shared" si="1"/>
        <v>0.85</v>
      </c>
      <c r="H23" s="15">
        <v>26</v>
      </c>
      <c r="I23" s="15">
        <f t="shared" si="2"/>
        <v>130</v>
      </c>
      <c r="J23" s="16"/>
    </row>
    <row r="24" s="3" customFormat="1" ht="16" customHeight="1" spans="1:10">
      <c r="A24" s="11">
        <v>19</v>
      </c>
      <c r="B24" s="16"/>
      <c r="C24" s="16"/>
      <c r="D24" s="17"/>
      <c r="E24" s="17"/>
      <c r="F24" s="13"/>
      <c r="G24" s="14"/>
      <c r="H24" s="18"/>
      <c r="I24" s="15"/>
      <c r="J24" s="16"/>
    </row>
    <row r="25" s="3" customFormat="1" ht="16" customHeight="1" spans="1:10">
      <c r="A25" s="11">
        <v>20</v>
      </c>
      <c r="B25" s="11"/>
      <c r="C25" s="11"/>
      <c r="D25" s="12"/>
      <c r="E25" s="12"/>
      <c r="F25" s="13"/>
      <c r="G25" s="14"/>
      <c r="H25" s="15"/>
      <c r="I25" s="15"/>
      <c r="J25" s="11"/>
    </row>
    <row r="26" s="3" customFormat="1" ht="16" customHeight="1" spans="1:10">
      <c r="A26" s="11">
        <v>21</v>
      </c>
      <c r="B26" s="16"/>
      <c r="C26" s="16"/>
      <c r="D26" s="12"/>
      <c r="E26" s="12"/>
      <c r="F26" s="13"/>
      <c r="G26" s="14"/>
      <c r="H26" s="15"/>
      <c r="I26" s="15"/>
      <c r="J26" s="11"/>
    </row>
    <row r="27" s="3" customFormat="1" ht="16" customHeight="1" spans="1:10">
      <c r="A27" s="11">
        <v>22</v>
      </c>
      <c r="B27" s="16"/>
      <c r="C27" s="16"/>
      <c r="D27" s="16"/>
      <c r="E27" s="17"/>
      <c r="F27" s="13"/>
      <c r="G27" s="14"/>
      <c r="H27" s="15"/>
      <c r="I27" s="15"/>
      <c r="J27" s="16"/>
    </row>
    <row r="28" s="3" customFormat="1" ht="16" customHeight="1" spans="1:10">
      <c r="A28" s="11">
        <v>23</v>
      </c>
      <c r="B28" s="11"/>
      <c r="C28" s="11"/>
      <c r="D28" s="16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24</v>
      </c>
      <c r="B29" s="26"/>
      <c r="C29" s="11"/>
      <c r="D29" s="16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ht="16" customHeight="1" spans="1:10">
      <c r="A33" s="11">
        <v>28</v>
      </c>
      <c r="B33" s="11"/>
      <c r="C33" s="11"/>
      <c r="D33" s="11"/>
      <c r="E33" s="12"/>
      <c r="F33" s="13"/>
      <c r="G33" s="14"/>
      <c r="H33" s="15"/>
      <c r="I33" s="15"/>
      <c r="J33" s="11"/>
    </row>
    <row r="34" s="3" customFormat="1" customHeight="1" spans="1:10">
      <c r="A34" s="11" t="s">
        <v>45</v>
      </c>
      <c r="B34" s="19">
        <f>SUM(I6:I33)</f>
        <v>1509.76</v>
      </c>
      <c r="C34" s="20"/>
      <c r="D34" s="20"/>
      <c r="E34" s="20"/>
      <c r="F34" s="20"/>
      <c r="G34" s="20"/>
      <c r="H34" s="20"/>
      <c r="I34" s="20"/>
      <c r="J34" s="24"/>
    </row>
    <row r="35" s="3" customFormat="1" customHeight="1" spans="1:10">
      <c r="A35" s="11" t="s">
        <v>46</v>
      </c>
      <c r="B35" s="22">
        <f>B34</f>
        <v>1509.76</v>
      </c>
      <c r="C35" s="23"/>
      <c r="D35" s="23"/>
      <c r="E35" s="23"/>
      <c r="F35" s="23"/>
      <c r="G35" s="23"/>
      <c r="H35" s="23"/>
      <c r="I35" s="23"/>
      <c r="J35" s="25"/>
    </row>
    <row r="36" s="3" customFormat="1" customHeight="1" spans="1:1">
      <c r="A36" s="3" t="s">
        <v>47</v>
      </c>
    </row>
  </sheetData>
  <sortState ref="A16:I23">
    <sortCondition ref="A16"/>
  </sortState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3" workbookViewId="0">
      <selection activeCell="A27" sqref="$A27:$XFD27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2" width="11.6666666666667" style="3" customWidth="1"/>
    <col min="16313" max="16313" width="11.6666666666667" style="3"/>
    <col min="16314" max="16319" width="11" style="3"/>
    <col min="16320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8">
        <v>45328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5</v>
      </c>
      <c r="F6" s="13">
        <f>H6/0.85</f>
        <v>3.52941176470588</v>
      </c>
      <c r="G6" s="14">
        <f>H6/F6</f>
        <v>0.85</v>
      </c>
      <c r="H6" s="15">
        <v>3</v>
      </c>
      <c r="I6" s="15">
        <f>E6*H6</f>
        <v>15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6</v>
      </c>
      <c r="F7" s="13">
        <f>H7/0.85</f>
        <v>4.11764705882353</v>
      </c>
      <c r="G7" s="14">
        <f>H7/F7</f>
        <v>0.85</v>
      </c>
      <c r="H7" s="15">
        <v>3.5</v>
      </c>
      <c r="I7" s="15">
        <f>E7*H7</f>
        <v>21</v>
      </c>
      <c r="J7" s="11"/>
    </row>
    <row r="8" s="3" customFormat="1" ht="16" customHeight="1" spans="1:10">
      <c r="A8" s="11">
        <v>3</v>
      </c>
      <c r="B8" s="11" t="s">
        <v>94</v>
      </c>
      <c r="C8" s="11"/>
      <c r="D8" s="12" t="s">
        <v>15</v>
      </c>
      <c r="E8" s="12">
        <v>5</v>
      </c>
      <c r="F8" s="13">
        <f>H8/0.85</f>
        <v>7.05882352941176</v>
      </c>
      <c r="G8" s="14">
        <f>H8/F8</f>
        <v>0.85</v>
      </c>
      <c r="H8" s="15">
        <v>6</v>
      </c>
      <c r="I8" s="15">
        <f>E8*H8</f>
        <v>30</v>
      </c>
      <c r="J8" s="11"/>
    </row>
    <row r="9" s="3" customFormat="1" ht="16" customHeight="1" spans="1:10">
      <c r="A9" s="11">
        <v>4</v>
      </c>
      <c r="B9" s="16" t="s">
        <v>95</v>
      </c>
      <c r="C9" s="16"/>
      <c r="D9" s="12" t="s">
        <v>15</v>
      </c>
      <c r="E9" s="12">
        <v>5</v>
      </c>
      <c r="F9" s="13">
        <f>H9/0.85</f>
        <v>15.0588235294118</v>
      </c>
      <c r="G9" s="14">
        <f>H9/F9</f>
        <v>0.85</v>
      </c>
      <c r="H9" s="15">
        <v>12.8</v>
      </c>
      <c r="I9" s="15">
        <f>E9*H9</f>
        <v>64</v>
      </c>
      <c r="J9" s="11"/>
    </row>
    <row r="10" s="3" customFormat="1" ht="16" customHeight="1" spans="1:10">
      <c r="A10" s="11">
        <v>5</v>
      </c>
      <c r="B10" s="16" t="s">
        <v>84</v>
      </c>
      <c r="C10" s="16"/>
      <c r="D10" s="12" t="s">
        <v>15</v>
      </c>
      <c r="E10" s="12">
        <v>5</v>
      </c>
      <c r="F10" s="13">
        <f>H10/0.85</f>
        <v>8.82352941176471</v>
      </c>
      <c r="G10" s="14">
        <f>H10/F10</f>
        <v>0.85</v>
      </c>
      <c r="H10" s="15">
        <v>7.5</v>
      </c>
      <c r="I10" s="15">
        <f>E10*H10</f>
        <v>37.5</v>
      </c>
      <c r="J10" s="11"/>
    </row>
    <row r="11" s="3" customFormat="1" ht="16" customHeight="1" spans="1:10">
      <c r="A11" s="11">
        <v>6</v>
      </c>
      <c r="B11" s="11" t="s">
        <v>85</v>
      </c>
      <c r="C11" s="11"/>
      <c r="D11" s="12" t="s">
        <v>15</v>
      </c>
      <c r="E11" s="12">
        <v>5</v>
      </c>
      <c r="F11" s="13">
        <f>H11/0.85</f>
        <v>5.64705882352941</v>
      </c>
      <c r="G11" s="14">
        <f>H11/F11</f>
        <v>0.85</v>
      </c>
      <c r="H11" s="15">
        <v>4.8</v>
      </c>
      <c r="I11" s="15">
        <f>E11*H11</f>
        <v>24</v>
      </c>
      <c r="J11" s="11"/>
    </row>
    <row r="12" s="3" customFormat="1" ht="16" customHeight="1" spans="1:10">
      <c r="A12" s="11">
        <v>7</v>
      </c>
      <c r="B12" s="11" t="s">
        <v>96</v>
      </c>
      <c r="C12" s="11"/>
      <c r="D12" s="12" t="s">
        <v>15</v>
      </c>
      <c r="E12" s="12">
        <v>18</v>
      </c>
      <c r="F12" s="13">
        <f>H12/0.85</f>
        <v>5.64705882352941</v>
      </c>
      <c r="G12" s="14">
        <f>H12/F12</f>
        <v>0.85</v>
      </c>
      <c r="H12" s="15">
        <v>4.8</v>
      </c>
      <c r="I12" s="15">
        <f>E12*H12</f>
        <v>86.4</v>
      </c>
      <c r="J12" s="11"/>
    </row>
    <row r="13" s="3" customFormat="1" ht="16" customHeight="1" spans="1:10">
      <c r="A13" s="11">
        <v>9</v>
      </c>
      <c r="B13" s="16" t="s">
        <v>97</v>
      </c>
      <c r="C13" s="16"/>
      <c r="D13" s="17" t="s">
        <v>15</v>
      </c>
      <c r="E13" s="17">
        <v>16</v>
      </c>
      <c r="F13" s="13">
        <f>H13/0.85</f>
        <v>5.64705882352941</v>
      </c>
      <c r="G13" s="14">
        <f>H13/F13</f>
        <v>0.85</v>
      </c>
      <c r="H13" s="15">
        <v>4.8</v>
      </c>
      <c r="I13" s="15">
        <f>E13*H13</f>
        <v>76.8</v>
      </c>
      <c r="J13" s="16"/>
    </row>
    <row r="14" s="3" customFormat="1" ht="16" customHeight="1" spans="1:10">
      <c r="A14" s="11">
        <v>10</v>
      </c>
      <c r="B14" s="13" t="s">
        <v>70</v>
      </c>
      <c r="C14" s="13"/>
      <c r="D14" s="13" t="s">
        <v>15</v>
      </c>
      <c r="E14" s="12">
        <v>8</v>
      </c>
      <c r="F14" s="13">
        <f>H14/0.85</f>
        <v>56.4705882352941</v>
      </c>
      <c r="G14" s="14">
        <f>H14/F14</f>
        <v>0.85</v>
      </c>
      <c r="H14" s="18">
        <v>48</v>
      </c>
      <c r="I14" s="15">
        <f>E14*H14</f>
        <v>384</v>
      </c>
      <c r="J14" s="16"/>
    </row>
    <row r="15" s="3" customFormat="1" ht="16" customHeight="1" spans="1:10">
      <c r="A15" s="11">
        <v>11</v>
      </c>
      <c r="B15" s="16" t="s">
        <v>79</v>
      </c>
      <c r="C15" s="16"/>
      <c r="D15" s="17" t="s">
        <v>15</v>
      </c>
      <c r="E15" s="17">
        <v>6</v>
      </c>
      <c r="F15" s="13">
        <f t="shared" ref="F15:F27" si="0">H15/0.85</f>
        <v>7.05882352941176</v>
      </c>
      <c r="G15" s="14">
        <f t="shared" ref="G15:G27" si="1">H15/F15</f>
        <v>0.85</v>
      </c>
      <c r="H15" s="15">
        <v>6</v>
      </c>
      <c r="I15" s="15">
        <f t="shared" ref="I15:I27" si="2">E15*H15</f>
        <v>36</v>
      </c>
      <c r="J15" s="16"/>
    </row>
    <row r="16" s="3" customFormat="1" ht="16" customHeight="1" spans="1:10">
      <c r="A16" s="11">
        <v>12</v>
      </c>
      <c r="B16" s="16" t="s">
        <v>26</v>
      </c>
      <c r="C16" s="16"/>
      <c r="D16" s="17" t="s">
        <v>15</v>
      </c>
      <c r="E16" s="17">
        <v>18</v>
      </c>
      <c r="F16" s="13">
        <f t="shared" si="0"/>
        <v>32.9411764705882</v>
      </c>
      <c r="G16" s="14">
        <f t="shared" si="1"/>
        <v>0.85</v>
      </c>
      <c r="H16" s="15">
        <v>28</v>
      </c>
      <c r="I16" s="15">
        <f t="shared" si="2"/>
        <v>504</v>
      </c>
      <c r="J16" s="16"/>
    </row>
    <row r="17" s="3" customFormat="1" ht="16" customHeight="1" spans="1:10">
      <c r="A17" s="11">
        <v>13</v>
      </c>
      <c r="B17" s="16" t="s">
        <v>44</v>
      </c>
      <c r="C17" s="16"/>
      <c r="D17" s="17" t="s">
        <v>15</v>
      </c>
      <c r="E17" s="17">
        <v>7</v>
      </c>
      <c r="F17" s="13">
        <f t="shared" si="0"/>
        <v>32.9411764705882</v>
      </c>
      <c r="G17" s="14">
        <f t="shared" si="1"/>
        <v>0.85</v>
      </c>
      <c r="H17" s="15">
        <v>28</v>
      </c>
      <c r="I17" s="15">
        <f t="shared" si="2"/>
        <v>196</v>
      </c>
      <c r="J17" s="16"/>
    </row>
    <row r="18" s="3" customFormat="1" ht="16" customHeight="1" spans="1:10">
      <c r="A18" s="11">
        <v>14</v>
      </c>
      <c r="B18" s="11" t="s">
        <v>98</v>
      </c>
      <c r="C18" s="11" t="s">
        <v>99</v>
      </c>
      <c r="D18" s="12" t="s">
        <v>39</v>
      </c>
      <c r="E18" s="12">
        <v>16</v>
      </c>
      <c r="F18" s="13">
        <f t="shared" si="0"/>
        <v>64.7058823529412</v>
      </c>
      <c r="G18" s="14">
        <f t="shared" si="1"/>
        <v>0.85</v>
      </c>
      <c r="H18" s="15">
        <v>55</v>
      </c>
      <c r="I18" s="15">
        <f t="shared" si="2"/>
        <v>880</v>
      </c>
      <c r="J18" s="11"/>
    </row>
    <row r="19" s="3" customFormat="1" ht="16" customHeight="1" spans="1:10">
      <c r="A19" s="11">
        <v>15</v>
      </c>
      <c r="B19" s="16" t="s">
        <v>100</v>
      </c>
      <c r="C19" s="16"/>
      <c r="D19" s="17" t="s">
        <v>15</v>
      </c>
      <c r="E19" s="17">
        <v>6</v>
      </c>
      <c r="F19" s="13">
        <f t="shared" si="0"/>
        <v>8</v>
      </c>
      <c r="G19" s="14">
        <f t="shared" si="1"/>
        <v>0.85</v>
      </c>
      <c r="H19" s="15">
        <v>6.8</v>
      </c>
      <c r="I19" s="15">
        <f t="shared" si="2"/>
        <v>40.8</v>
      </c>
      <c r="J19" s="16"/>
    </row>
    <row r="20" s="3" customFormat="1" ht="16" customHeight="1" spans="1:10">
      <c r="A20" s="11">
        <v>16</v>
      </c>
      <c r="B20" s="16" t="s">
        <v>101</v>
      </c>
      <c r="C20" s="16"/>
      <c r="D20" s="17" t="s">
        <v>15</v>
      </c>
      <c r="E20" s="17">
        <v>11</v>
      </c>
      <c r="F20" s="13">
        <f t="shared" si="0"/>
        <v>37.6470588235294</v>
      </c>
      <c r="G20" s="14">
        <f t="shared" si="1"/>
        <v>0.85</v>
      </c>
      <c r="H20" s="15">
        <v>32</v>
      </c>
      <c r="I20" s="15">
        <f t="shared" si="2"/>
        <v>352</v>
      </c>
      <c r="J20" s="16"/>
    </row>
    <row r="21" s="3" customFormat="1" ht="16" customHeight="1" spans="1:10">
      <c r="A21" s="11">
        <v>17</v>
      </c>
      <c r="B21" s="16" t="s">
        <v>102</v>
      </c>
      <c r="C21" s="16" t="s">
        <v>103</v>
      </c>
      <c r="D21" s="17" t="s">
        <v>104</v>
      </c>
      <c r="E21" s="17">
        <v>4</v>
      </c>
      <c r="F21" s="13">
        <f t="shared" si="0"/>
        <v>2.35294117647059</v>
      </c>
      <c r="G21" s="14">
        <f t="shared" si="1"/>
        <v>0.85</v>
      </c>
      <c r="H21" s="15">
        <v>2</v>
      </c>
      <c r="I21" s="15">
        <f t="shared" si="2"/>
        <v>8</v>
      </c>
      <c r="J21" s="16"/>
    </row>
    <row r="22" s="3" customFormat="1" ht="16" customHeight="1" spans="1:10">
      <c r="A22" s="11">
        <v>18</v>
      </c>
      <c r="B22" s="16" t="s">
        <v>105</v>
      </c>
      <c r="C22" s="16" t="s">
        <v>61</v>
      </c>
      <c r="D22" s="16" t="s">
        <v>15</v>
      </c>
      <c r="E22" s="17">
        <v>6</v>
      </c>
      <c r="F22" s="13">
        <f t="shared" si="0"/>
        <v>14.1176470588235</v>
      </c>
      <c r="G22" s="14">
        <f t="shared" si="1"/>
        <v>0.85</v>
      </c>
      <c r="H22" s="15">
        <v>12</v>
      </c>
      <c r="I22" s="15">
        <f t="shared" si="2"/>
        <v>72</v>
      </c>
      <c r="J22" s="16"/>
    </row>
    <row r="23" s="3" customFormat="1" ht="16" customHeight="1" spans="1:10">
      <c r="A23" s="11">
        <v>19</v>
      </c>
      <c r="B23" s="16" t="s">
        <v>106</v>
      </c>
      <c r="C23" s="16" t="s">
        <v>107</v>
      </c>
      <c r="D23" s="17" t="s">
        <v>15</v>
      </c>
      <c r="E23" s="17">
        <v>6</v>
      </c>
      <c r="F23" s="13">
        <f t="shared" si="0"/>
        <v>6.47058823529412</v>
      </c>
      <c r="G23" s="14">
        <f t="shared" si="1"/>
        <v>0.85</v>
      </c>
      <c r="H23" s="15">
        <v>5.5</v>
      </c>
      <c r="I23" s="15">
        <f t="shared" si="2"/>
        <v>33</v>
      </c>
      <c r="J23" s="16"/>
    </row>
    <row r="24" s="3" customFormat="1" ht="16" customHeight="1" spans="1:10">
      <c r="A24" s="11">
        <v>20</v>
      </c>
      <c r="B24" s="16" t="s">
        <v>108</v>
      </c>
      <c r="C24" s="16" t="s">
        <v>61</v>
      </c>
      <c r="D24" s="17" t="s">
        <v>15</v>
      </c>
      <c r="E24" s="17">
        <v>8</v>
      </c>
      <c r="F24" s="13">
        <f t="shared" si="0"/>
        <v>8</v>
      </c>
      <c r="G24" s="14">
        <f t="shared" si="1"/>
        <v>0.85</v>
      </c>
      <c r="H24" s="15">
        <v>6.8</v>
      </c>
      <c r="I24" s="15">
        <f t="shared" si="2"/>
        <v>54.4</v>
      </c>
      <c r="J24" s="16"/>
    </row>
    <row r="25" s="3" customFormat="1" ht="16" customHeight="1" spans="1:10">
      <c r="A25" s="11">
        <v>21</v>
      </c>
      <c r="B25" s="11" t="s">
        <v>65</v>
      </c>
      <c r="C25" s="11" t="s">
        <v>66</v>
      </c>
      <c r="D25" s="12" t="s">
        <v>67</v>
      </c>
      <c r="E25" s="12">
        <v>74</v>
      </c>
      <c r="F25" s="13">
        <f t="shared" si="0"/>
        <v>4.11764705882353</v>
      </c>
      <c r="G25" s="14">
        <f t="shared" si="1"/>
        <v>0.85</v>
      </c>
      <c r="H25" s="15">
        <v>3.5</v>
      </c>
      <c r="I25" s="15">
        <f t="shared" si="2"/>
        <v>259</v>
      </c>
      <c r="J25" s="11"/>
    </row>
    <row r="26" s="3" customFormat="1" ht="16" customHeight="1" spans="1:10">
      <c r="A26" s="11">
        <v>22</v>
      </c>
      <c r="B26" s="16" t="s">
        <v>68</v>
      </c>
      <c r="C26" s="16" t="s">
        <v>69</v>
      </c>
      <c r="D26" s="16" t="s">
        <v>67</v>
      </c>
      <c r="E26" s="17">
        <v>60</v>
      </c>
      <c r="F26" s="13">
        <f t="shared" si="0"/>
        <v>3.76470588235294</v>
      </c>
      <c r="G26" s="14">
        <f t="shared" si="1"/>
        <v>0.85</v>
      </c>
      <c r="H26" s="15">
        <v>3.2</v>
      </c>
      <c r="I26" s="15">
        <f t="shared" si="2"/>
        <v>192</v>
      </c>
      <c r="J26" s="16"/>
    </row>
    <row r="27" s="3" customFormat="1" ht="16" customHeight="1" spans="1:10">
      <c r="A27" s="11">
        <v>24</v>
      </c>
      <c r="B27" s="11"/>
      <c r="C27" s="11"/>
      <c r="D27" s="16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25</v>
      </c>
      <c r="B28" s="11"/>
      <c r="C28" s="11"/>
      <c r="D28" s="11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26</v>
      </c>
      <c r="B29" s="11"/>
      <c r="C29" s="11"/>
      <c r="D29" s="11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27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28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29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customHeight="1" spans="1:10">
      <c r="A33" s="11" t="s">
        <v>45</v>
      </c>
      <c r="B33" s="19">
        <f>SUM(I6:I32)</f>
        <v>3365.9</v>
      </c>
      <c r="C33" s="20"/>
      <c r="D33" s="20"/>
      <c r="E33" s="20"/>
      <c r="F33" s="20"/>
      <c r="G33" s="20"/>
      <c r="H33" s="20"/>
      <c r="I33" s="20"/>
      <c r="J33" s="24"/>
    </row>
    <row r="34" s="3" customFormat="1" customHeight="1" spans="1:10">
      <c r="A34" s="11" t="s">
        <v>46</v>
      </c>
      <c r="B34" s="22">
        <f>B33</f>
        <v>3365.9</v>
      </c>
      <c r="C34" s="23"/>
      <c r="D34" s="23"/>
      <c r="E34" s="23"/>
      <c r="F34" s="23"/>
      <c r="G34" s="23"/>
      <c r="H34" s="23"/>
      <c r="I34" s="23"/>
      <c r="J34" s="25"/>
    </row>
    <row r="35" s="3" customFormat="1" customHeight="1" spans="1:1">
      <c r="A35" s="3" t="s">
        <v>47</v>
      </c>
    </row>
  </sheetData>
  <mergeCells count="4">
    <mergeCell ref="A1:J1"/>
    <mergeCell ref="B33:J33"/>
    <mergeCell ref="B34:J34"/>
    <mergeCell ref="A35:J35"/>
  </mergeCells>
  <conditionalFormatting sqref="B14">
    <cfRule type="duplicateValues" dxfId="0" priority="3"/>
    <cfRule type="duplicateValues" dxfId="0" priority="4"/>
  </conditionalFormatting>
  <conditionalFormatting sqref="B6:C13 B22 B23:C23 B24 B25:C25 B15:C21">
    <cfRule type="duplicateValues" dxfId="0" priority="6"/>
  </conditionalFormatting>
  <conditionalFormatting sqref="B6:B13 B15:B32">
    <cfRule type="duplicateValues" dxfId="0" priority="5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2"/>
  <sheetViews>
    <sheetView topLeftCell="A24" workbookViewId="0">
      <selection activeCell="A31" sqref="$A31:$XFD31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07" width="11.6666666666667" style="3" customWidth="1"/>
    <col min="16308" max="16308" width="11.6666666666667" style="3"/>
    <col min="16309" max="16314" width="11" style="3"/>
    <col min="1631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45340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10</v>
      </c>
      <c r="F6" s="13">
        <f t="shared" ref="F6:F12" si="0">H6/0.85</f>
        <v>3.52941176470588</v>
      </c>
      <c r="G6" s="14">
        <f t="shared" ref="G6:G12" si="1">H6/F6</f>
        <v>0.85</v>
      </c>
      <c r="H6" s="15">
        <v>3</v>
      </c>
      <c r="I6" s="15">
        <f t="shared" ref="I6:I12" si="2">E6*H6</f>
        <v>30</v>
      </c>
      <c r="J6" s="11"/>
    </row>
    <row r="7" s="3" customFormat="1" ht="16" customHeight="1" spans="1:10">
      <c r="A7" s="11">
        <v>2</v>
      </c>
      <c r="B7" s="11" t="s">
        <v>48</v>
      </c>
      <c r="C7" s="11"/>
      <c r="D7" s="12" t="s">
        <v>15</v>
      </c>
      <c r="E7" s="12">
        <v>5</v>
      </c>
      <c r="F7" s="13">
        <f t="shared" si="0"/>
        <v>4.70588235294118</v>
      </c>
      <c r="G7" s="14">
        <f t="shared" si="1"/>
        <v>0.85</v>
      </c>
      <c r="H7" s="15">
        <v>4</v>
      </c>
      <c r="I7" s="15">
        <f t="shared" si="2"/>
        <v>20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7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24.5</v>
      </c>
      <c r="J8" s="11"/>
    </row>
    <row r="9" s="3" customFormat="1" ht="16" customHeight="1" spans="1:10">
      <c r="A9" s="11">
        <v>4</v>
      </c>
      <c r="B9" s="11" t="s">
        <v>95</v>
      </c>
      <c r="C9" s="11"/>
      <c r="D9" s="12" t="s">
        <v>15</v>
      </c>
      <c r="E9" s="12">
        <v>5</v>
      </c>
      <c r="F9" s="13">
        <f t="shared" si="0"/>
        <v>15.0588235294118</v>
      </c>
      <c r="G9" s="14">
        <f t="shared" si="1"/>
        <v>0.85</v>
      </c>
      <c r="H9" s="15">
        <v>12.8</v>
      </c>
      <c r="I9" s="15">
        <f t="shared" si="2"/>
        <v>64</v>
      </c>
      <c r="J9" s="11"/>
    </row>
    <row r="10" s="3" customFormat="1" ht="16" customHeight="1" spans="1:10">
      <c r="A10" s="11">
        <v>5</v>
      </c>
      <c r="B10" s="11" t="s">
        <v>109</v>
      </c>
      <c r="C10" s="11"/>
      <c r="D10" s="12" t="s">
        <v>110</v>
      </c>
      <c r="E10" s="12">
        <v>5</v>
      </c>
      <c r="F10" s="13">
        <f t="shared" si="0"/>
        <v>15.0588235294118</v>
      </c>
      <c r="G10" s="14">
        <f t="shared" si="1"/>
        <v>0.85</v>
      </c>
      <c r="H10" s="15">
        <v>12.8</v>
      </c>
      <c r="I10" s="15">
        <f t="shared" si="2"/>
        <v>64</v>
      </c>
      <c r="J10" s="11"/>
    </row>
    <row r="11" s="3" customFormat="1" ht="16" customHeight="1" spans="1:10">
      <c r="A11" s="11">
        <v>6</v>
      </c>
      <c r="B11" s="16" t="s">
        <v>83</v>
      </c>
      <c r="C11" s="16"/>
      <c r="D11" s="17" t="s">
        <v>15</v>
      </c>
      <c r="E11" s="17">
        <v>3</v>
      </c>
      <c r="F11" s="13">
        <f t="shared" si="0"/>
        <v>8</v>
      </c>
      <c r="G11" s="14">
        <f t="shared" si="1"/>
        <v>0.85</v>
      </c>
      <c r="H11" s="18">
        <v>6.8</v>
      </c>
      <c r="I11" s="15">
        <f t="shared" si="2"/>
        <v>20.4</v>
      </c>
      <c r="J11" s="16"/>
    </row>
    <row r="12" s="3" customFormat="1" ht="16" customHeight="1" spans="1:10">
      <c r="A12" s="11">
        <v>7</v>
      </c>
      <c r="B12" s="16" t="s">
        <v>84</v>
      </c>
      <c r="C12" s="16"/>
      <c r="D12" s="17" t="s">
        <v>15</v>
      </c>
      <c r="E12" s="17">
        <v>6</v>
      </c>
      <c r="F12" s="13">
        <f t="shared" si="0"/>
        <v>8.82352941176471</v>
      </c>
      <c r="G12" s="14">
        <f t="shared" si="1"/>
        <v>0.85</v>
      </c>
      <c r="H12" s="18">
        <v>7.5</v>
      </c>
      <c r="I12" s="15">
        <f t="shared" si="2"/>
        <v>45</v>
      </c>
      <c r="J12" s="16"/>
    </row>
    <row r="13" s="3" customFormat="1" ht="16" customHeight="1" spans="1:10">
      <c r="A13" s="11">
        <v>8</v>
      </c>
      <c r="B13" s="16" t="s">
        <v>85</v>
      </c>
      <c r="C13" s="16"/>
      <c r="D13" s="17" t="s">
        <v>15</v>
      </c>
      <c r="E13" s="17">
        <v>5</v>
      </c>
      <c r="F13" s="13">
        <f t="shared" ref="F13:F18" si="3">H13/0.85</f>
        <v>5.64705882352941</v>
      </c>
      <c r="G13" s="14">
        <f t="shared" ref="G13:G18" si="4">H13/F13</f>
        <v>0.85</v>
      </c>
      <c r="H13" s="18">
        <v>4.8</v>
      </c>
      <c r="I13" s="15">
        <f t="shared" ref="I13:I18" si="5">E13*H13</f>
        <v>24</v>
      </c>
      <c r="J13" s="16"/>
    </row>
    <row r="14" s="3" customFormat="1" ht="16" customHeight="1" spans="1:10">
      <c r="A14" s="11">
        <v>9</v>
      </c>
      <c r="B14" s="16" t="s">
        <v>50</v>
      </c>
      <c r="C14" s="16"/>
      <c r="D14" s="17" t="s">
        <v>51</v>
      </c>
      <c r="E14" s="17">
        <v>12</v>
      </c>
      <c r="F14" s="13">
        <f t="shared" si="3"/>
        <v>5.29411764705882</v>
      </c>
      <c r="G14" s="14">
        <f t="shared" si="4"/>
        <v>0.85</v>
      </c>
      <c r="H14" s="18">
        <v>4.5</v>
      </c>
      <c r="I14" s="15">
        <f t="shared" si="5"/>
        <v>54</v>
      </c>
      <c r="J14" s="16"/>
    </row>
    <row r="15" s="3" customFormat="1" ht="16" customHeight="1" spans="1:10">
      <c r="A15" s="11">
        <v>10</v>
      </c>
      <c r="B15" s="16" t="s">
        <v>111</v>
      </c>
      <c r="C15" s="16"/>
      <c r="D15" s="17" t="s">
        <v>15</v>
      </c>
      <c r="E15" s="17">
        <v>10</v>
      </c>
      <c r="F15" s="13">
        <f t="shared" si="3"/>
        <v>4.11764705882353</v>
      </c>
      <c r="G15" s="14">
        <f t="shared" si="4"/>
        <v>0.85</v>
      </c>
      <c r="H15" s="18">
        <v>3.5</v>
      </c>
      <c r="I15" s="15">
        <f t="shared" si="5"/>
        <v>35</v>
      </c>
      <c r="J15" s="16"/>
    </row>
    <row r="16" s="3" customFormat="1" ht="16" customHeight="1" spans="1:10">
      <c r="A16" s="11">
        <v>11</v>
      </c>
      <c r="B16" s="11" t="s">
        <v>112</v>
      </c>
      <c r="C16" s="11"/>
      <c r="D16" s="12" t="s">
        <v>15</v>
      </c>
      <c r="E16" s="12">
        <v>5</v>
      </c>
      <c r="F16" s="13">
        <f t="shared" si="3"/>
        <v>4.47058823529412</v>
      </c>
      <c r="G16" s="14">
        <f t="shared" si="4"/>
        <v>0.85</v>
      </c>
      <c r="H16" s="18">
        <v>3.8</v>
      </c>
      <c r="I16" s="15">
        <f t="shared" si="5"/>
        <v>19</v>
      </c>
      <c r="J16" s="11"/>
    </row>
    <row r="17" s="3" customFormat="1" ht="16" customHeight="1" spans="1:10">
      <c r="A17" s="11">
        <v>12</v>
      </c>
      <c r="B17" s="16" t="s">
        <v>113</v>
      </c>
      <c r="C17" s="16"/>
      <c r="D17" s="16" t="s">
        <v>15</v>
      </c>
      <c r="E17" s="17">
        <v>8</v>
      </c>
      <c r="F17" s="13">
        <f t="shared" si="3"/>
        <v>17.6470588235294</v>
      </c>
      <c r="G17" s="14">
        <f t="shared" si="4"/>
        <v>0.85</v>
      </c>
      <c r="H17" s="18">
        <v>15</v>
      </c>
      <c r="I17" s="15">
        <f t="shared" si="5"/>
        <v>120</v>
      </c>
      <c r="J17" s="16"/>
    </row>
    <row r="18" s="3" customFormat="1" ht="16" customHeight="1" spans="1:10">
      <c r="A18" s="11">
        <v>13</v>
      </c>
      <c r="B18" s="13" t="s">
        <v>70</v>
      </c>
      <c r="C18" s="13"/>
      <c r="D18" s="13" t="s">
        <v>15</v>
      </c>
      <c r="E18" s="12">
        <v>8</v>
      </c>
      <c r="F18" s="13">
        <f t="shared" si="3"/>
        <v>56.4705882352941</v>
      </c>
      <c r="G18" s="14">
        <f t="shared" si="4"/>
        <v>0.85</v>
      </c>
      <c r="H18" s="18">
        <v>48</v>
      </c>
      <c r="I18" s="15">
        <f t="shared" si="5"/>
        <v>384</v>
      </c>
      <c r="J18" s="16"/>
    </row>
    <row r="19" s="3" customFormat="1" ht="16" customHeight="1" spans="1:10">
      <c r="A19" s="11">
        <v>14</v>
      </c>
      <c r="B19" s="11" t="s">
        <v>54</v>
      </c>
      <c r="C19" s="11"/>
      <c r="D19" s="16" t="s">
        <v>15</v>
      </c>
      <c r="E19" s="12">
        <v>3</v>
      </c>
      <c r="F19" s="13">
        <f t="shared" ref="F19:F22" si="6">H19/0.85</f>
        <v>5.64705882352941</v>
      </c>
      <c r="G19" s="14">
        <f t="shared" ref="G19:G22" si="7">H19/F19</f>
        <v>0.85</v>
      </c>
      <c r="H19" s="18">
        <v>4.8</v>
      </c>
      <c r="I19" s="15">
        <f t="shared" ref="I19:I22" si="8">E19*H19</f>
        <v>14.4</v>
      </c>
      <c r="J19" s="11"/>
    </row>
    <row r="20" s="3" customFormat="1" ht="16" customHeight="1" spans="1:10">
      <c r="A20" s="11">
        <v>15</v>
      </c>
      <c r="B20" s="11" t="s">
        <v>79</v>
      </c>
      <c r="C20" s="11"/>
      <c r="D20" s="11" t="s">
        <v>15</v>
      </c>
      <c r="E20" s="12">
        <v>5</v>
      </c>
      <c r="F20" s="13">
        <f t="shared" si="6"/>
        <v>7.05882352941176</v>
      </c>
      <c r="G20" s="14">
        <f t="shared" si="7"/>
        <v>0.85</v>
      </c>
      <c r="H20" s="18">
        <v>6</v>
      </c>
      <c r="I20" s="15">
        <f t="shared" si="8"/>
        <v>30</v>
      </c>
      <c r="J20" s="11"/>
    </row>
    <row r="21" s="3" customFormat="1" ht="16" customHeight="1" spans="1:10">
      <c r="A21" s="11">
        <v>16</v>
      </c>
      <c r="B21" s="11" t="s">
        <v>80</v>
      </c>
      <c r="C21" s="11"/>
      <c r="D21" s="11" t="s">
        <v>15</v>
      </c>
      <c r="E21" s="12">
        <v>12</v>
      </c>
      <c r="F21" s="13">
        <f t="shared" si="6"/>
        <v>5.29411764705882</v>
      </c>
      <c r="G21" s="14">
        <f t="shared" si="7"/>
        <v>0.85</v>
      </c>
      <c r="H21" s="18">
        <v>4.5</v>
      </c>
      <c r="I21" s="15">
        <f t="shared" si="8"/>
        <v>54</v>
      </c>
      <c r="J21" s="11"/>
    </row>
    <row r="22" s="3" customFormat="1" ht="16" customHeight="1" spans="1:10">
      <c r="A22" s="11">
        <v>17</v>
      </c>
      <c r="B22" s="16" t="s">
        <v>92</v>
      </c>
      <c r="C22" s="16"/>
      <c r="D22" s="16" t="s">
        <v>15</v>
      </c>
      <c r="E22" s="17">
        <v>6</v>
      </c>
      <c r="F22" s="13">
        <f t="shared" si="6"/>
        <v>44.7058823529412</v>
      </c>
      <c r="G22" s="14">
        <f t="shared" si="7"/>
        <v>0.85</v>
      </c>
      <c r="H22" s="15">
        <v>38</v>
      </c>
      <c r="I22" s="15">
        <f t="shared" si="8"/>
        <v>228</v>
      </c>
      <c r="J22" s="11"/>
    </row>
    <row r="23" s="3" customFormat="1" customHeight="1" spans="1:10">
      <c r="A23" s="11">
        <v>18</v>
      </c>
      <c r="B23" s="13" t="s">
        <v>114</v>
      </c>
      <c r="C23" s="13"/>
      <c r="D23" s="13" t="s">
        <v>15</v>
      </c>
      <c r="E23" s="12">
        <v>20.7</v>
      </c>
      <c r="F23" s="13">
        <f t="shared" ref="F23:F35" si="9">H23/0.85</f>
        <v>5.29411764705882</v>
      </c>
      <c r="G23" s="14">
        <f t="shared" ref="G23:G35" si="10">H23/F23</f>
        <v>0.85</v>
      </c>
      <c r="H23" s="18">
        <v>4.5</v>
      </c>
      <c r="I23" s="15">
        <f t="shared" ref="I23:I35" si="11">E23*H23</f>
        <v>93.15</v>
      </c>
      <c r="J23" s="13"/>
    </row>
    <row r="24" s="3" customFormat="1" customHeight="1" spans="1:10">
      <c r="A24" s="11">
        <v>19</v>
      </c>
      <c r="B24" s="13" t="s">
        <v>115</v>
      </c>
      <c r="C24" s="13"/>
      <c r="D24" s="13" t="s">
        <v>15</v>
      </c>
      <c r="E24" s="12">
        <v>6</v>
      </c>
      <c r="F24" s="13">
        <f t="shared" si="9"/>
        <v>4.11764705882353</v>
      </c>
      <c r="G24" s="14">
        <f t="shared" si="10"/>
        <v>0.85</v>
      </c>
      <c r="H24" s="18">
        <v>3.5</v>
      </c>
      <c r="I24" s="15">
        <f t="shared" si="11"/>
        <v>21</v>
      </c>
      <c r="J24" s="13"/>
    </row>
    <row r="25" s="3" customFormat="1" customHeight="1" spans="1:10">
      <c r="A25" s="11">
        <v>20</v>
      </c>
      <c r="B25" s="13" t="s">
        <v>116</v>
      </c>
      <c r="C25" s="13" t="s">
        <v>117</v>
      </c>
      <c r="D25" s="13" t="s">
        <v>34</v>
      </c>
      <c r="E25" s="12">
        <v>1</v>
      </c>
      <c r="F25" s="13">
        <f t="shared" si="9"/>
        <v>352.941176470588</v>
      </c>
      <c r="G25" s="14">
        <f t="shared" si="10"/>
        <v>0.85</v>
      </c>
      <c r="H25" s="18">
        <v>300</v>
      </c>
      <c r="I25" s="15">
        <f t="shared" si="11"/>
        <v>300</v>
      </c>
      <c r="J25" s="13"/>
    </row>
    <row r="26" s="3" customFormat="1" customHeight="1" spans="1:10">
      <c r="A26" s="11">
        <v>21</v>
      </c>
      <c r="B26" s="13" t="s">
        <v>72</v>
      </c>
      <c r="C26" s="13"/>
      <c r="D26" s="13" t="s">
        <v>15</v>
      </c>
      <c r="E26" s="12">
        <v>17</v>
      </c>
      <c r="F26" s="13">
        <f t="shared" si="9"/>
        <v>17.4117647058824</v>
      </c>
      <c r="G26" s="14">
        <f t="shared" si="10"/>
        <v>0.85</v>
      </c>
      <c r="H26" s="18">
        <v>14.8</v>
      </c>
      <c r="I26" s="15">
        <f t="shared" si="11"/>
        <v>251.6</v>
      </c>
      <c r="J26" s="13"/>
    </row>
    <row r="27" s="3" customFormat="1" customHeight="1" spans="1:10">
      <c r="A27" s="11">
        <v>22</v>
      </c>
      <c r="B27" s="13" t="s">
        <v>24</v>
      </c>
      <c r="C27" s="13"/>
      <c r="D27" s="13" t="s">
        <v>15</v>
      </c>
      <c r="E27" s="12">
        <v>5</v>
      </c>
      <c r="F27" s="13">
        <f t="shared" si="9"/>
        <v>16.2352941176471</v>
      </c>
      <c r="G27" s="14">
        <f t="shared" si="10"/>
        <v>0.85</v>
      </c>
      <c r="H27" s="18">
        <v>13.8</v>
      </c>
      <c r="I27" s="15">
        <f t="shared" si="11"/>
        <v>69</v>
      </c>
      <c r="J27" s="13"/>
    </row>
    <row r="28" s="3" customFormat="1" customHeight="1" spans="1:10">
      <c r="A28" s="11">
        <v>23</v>
      </c>
      <c r="B28" s="13" t="s">
        <v>25</v>
      </c>
      <c r="C28" s="13"/>
      <c r="D28" s="13" t="s">
        <v>15</v>
      </c>
      <c r="E28" s="12">
        <v>5</v>
      </c>
      <c r="F28" s="13">
        <f t="shared" si="9"/>
        <v>23.5294117647059</v>
      </c>
      <c r="G28" s="14">
        <f t="shared" si="10"/>
        <v>0.85</v>
      </c>
      <c r="H28" s="18">
        <v>20</v>
      </c>
      <c r="I28" s="15">
        <f t="shared" si="11"/>
        <v>100</v>
      </c>
      <c r="J28" s="13"/>
    </row>
    <row r="29" s="3" customFormat="1" customHeight="1" spans="1:10">
      <c r="A29" s="11">
        <v>24</v>
      </c>
      <c r="B29" s="13" t="s">
        <v>26</v>
      </c>
      <c r="C29" s="13"/>
      <c r="D29" s="13" t="s">
        <v>15</v>
      </c>
      <c r="E29" s="12">
        <v>8</v>
      </c>
      <c r="F29" s="13">
        <f t="shared" si="9"/>
        <v>32.9411764705882</v>
      </c>
      <c r="G29" s="14">
        <f t="shared" si="10"/>
        <v>0.85</v>
      </c>
      <c r="H29" s="18">
        <v>28</v>
      </c>
      <c r="I29" s="15">
        <f t="shared" si="11"/>
        <v>224</v>
      </c>
      <c r="J29" s="13"/>
    </row>
    <row r="30" s="3" customFormat="1" customHeight="1" spans="1:10">
      <c r="A30" s="11">
        <v>25</v>
      </c>
      <c r="B30" s="13" t="s">
        <v>118</v>
      </c>
      <c r="C30" s="13"/>
      <c r="D30" s="13" t="s">
        <v>15</v>
      </c>
      <c r="E30" s="12">
        <v>6</v>
      </c>
      <c r="F30" s="13">
        <f t="shared" si="9"/>
        <v>5.88235294117647</v>
      </c>
      <c r="G30" s="14">
        <f t="shared" si="10"/>
        <v>0.85</v>
      </c>
      <c r="H30" s="18">
        <v>5</v>
      </c>
      <c r="I30" s="15">
        <f t="shared" si="11"/>
        <v>30</v>
      </c>
      <c r="J30" s="13"/>
    </row>
    <row r="31" s="3" customFormat="1" customHeight="1" spans="1:10">
      <c r="A31" s="11">
        <v>26</v>
      </c>
      <c r="B31" s="13" t="s">
        <v>119</v>
      </c>
      <c r="C31" s="13" t="s">
        <v>61</v>
      </c>
      <c r="D31" s="13" t="s">
        <v>15</v>
      </c>
      <c r="E31" s="12">
        <v>4</v>
      </c>
      <c r="F31" s="13">
        <f>H31/0.85</f>
        <v>56.4705882352941</v>
      </c>
      <c r="G31" s="14">
        <f>H31/F31</f>
        <v>0.85</v>
      </c>
      <c r="H31" s="18">
        <v>48</v>
      </c>
      <c r="I31" s="15">
        <f>E31*H31</f>
        <v>192</v>
      </c>
      <c r="J31" s="13"/>
    </row>
    <row r="32" s="3" customFormat="1" customHeight="1" spans="1:10">
      <c r="A32" s="11">
        <v>27</v>
      </c>
      <c r="B32" s="13" t="s">
        <v>60</v>
      </c>
      <c r="C32" s="13" t="s">
        <v>61</v>
      </c>
      <c r="D32" s="13" t="s">
        <v>15</v>
      </c>
      <c r="E32" s="12">
        <v>5</v>
      </c>
      <c r="F32" s="13">
        <f>H32/0.85</f>
        <v>30.5882352941176</v>
      </c>
      <c r="G32" s="14">
        <f>H32/F32</f>
        <v>0.85</v>
      </c>
      <c r="H32" s="18">
        <v>26</v>
      </c>
      <c r="I32" s="15">
        <f>E32*H32</f>
        <v>130</v>
      </c>
      <c r="J32" s="13"/>
    </row>
    <row r="33" s="3" customFormat="1" customHeight="1" spans="1:10">
      <c r="A33" s="11">
        <v>28</v>
      </c>
      <c r="B33" s="13" t="s">
        <v>43</v>
      </c>
      <c r="C33" s="13"/>
      <c r="D33" s="13" t="s">
        <v>34</v>
      </c>
      <c r="E33" s="12">
        <v>1</v>
      </c>
      <c r="F33" s="13">
        <f>H33/0.85</f>
        <v>211.764705882353</v>
      </c>
      <c r="G33" s="14">
        <f>H33/F33</f>
        <v>0.85</v>
      </c>
      <c r="H33" s="18">
        <v>180</v>
      </c>
      <c r="I33" s="15">
        <f>E33*H33</f>
        <v>180</v>
      </c>
      <c r="J33" s="13"/>
    </row>
    <row r="34" s="3" customFormat="1" customHeight="1" spans="1:10">
      <c r="A34" s="11">
        <v>29</v>
      </c>
      <c r="B34" s="13" t="s">
        <v>63</v>
      </c>
      <c r="C34" s="13" t="s">
        <v>64</v>
      </c>
      <c r="D34" s="13" t="s">
        <v>39</v>
      </c>
      <c r="E34" s="12">
        <v>2</v>
      </c>
      <c r="F34" s="13">
        <f>H34/0.85</f>
        <v>205.882352941176</v>
      </c>
      <c r="G34" s="14">
        <f>H34/F34</f>
        <v>0.85</v>
      </c>
      <c r="H34" s="18">
        <v>175</v>
      </c>
      <c r="I34" s="15">
        <f>E34*H34</f>
        <v>350</v>
      </c>
      <c r="J34" s="13"/>
    </row>
    <row r="35" s="3" customFormat="1" customHeight="1" spans="1:10">
      <c r="A35" s="11">
        <v>30</v>
      </c>
      <c r="B35" s="13" t="s">
        <v>120</v>
      </c>
      <c r="C35" s="13" t="s">
        <v>61</v>
      </c>
      <c r="D35" s="13" t="s">
        <v>15</v>
      </c>
      <c r="E35" s="12">
        <v>2</v>
      </c>
      <c r="F35" s="13">
        <f t="shared" ref="F35:F40" si="12">H35/0.85</f>
        <v>32.9411764705882</v>
      </c>
      <c r="G35" s="14">
        <f t="shared" ref="G35:G40" si="13">H35/F35</f>
        <v>0.85</v>
      </c>
      <c r="H35" s="18">
        <v>28</v>
      </c>
      <c r="I35" s="15">
        <f t="shared" ref="I35:I40" si="14">E35*H35</f>
        <v>56</v>
      </c>
      <c r="J35" s="13"/>
    </row>
    <row r="36" s="3" customFormat="1" customHeight="1" spans="1:10">
      <c r="A36" s="11">
        <v>31</v>
      </c>
      <c r="B36" s="13" t="s">
        <v>27</v>
      </c>
      <c r="C36" s="13" t="s">
        <v>28</v>
      </c>
      <c r="D36" s="13" t="s">
        <v>15</v>
      </c>
      <c r="E36" s="12">
        <v>5</v>
      </c>
      <c r="F36" s="13">
        <f t="shared" si="12"/>
        <v>10</v>
      </c>
      <c r="G36" s="14">
        <f t="shared" si="13"/>
        <v>0.85</v>
      </c>
      <c r="H36" s="18">
        <v>8.5</v>
      </c>
      <c r="I36" s="15">
        <f t="shared" si="14"/>
        <v>42.5</v>
      </c>
      <c r="J36" s="13"/>
    </row>
    <row r="37" s="3" customFormat="1" customHeight="1" spans="1:10">
      <c r="A37" s="11">
        <v>32</v>
      </c>
      <c r="B37" s="13" t="s">
        <v>35</v>
      </c>
      <c r="C37" s="13" t="s">
        <v>36</v>
      </c>
      <c r="D37" s="13" t="s">
        <v>34</v>
      </c>
      <c r="E37" s="12">
        <v>2</v>
      </c>
      <c r="F37" s="13">
        <f t="shared" si="12"/>
        <v>411.764705882353</v>
      </c>
      <c r="G37" s="14">
        <f t="shared" si="13"/>
        <v>0.85</v>
      </c>
      <c r="H37" s="18">
        <v>350</v>
      </c>
      <c r="I37" s="15">
        <f t="shared" si="14"/>
        <v>700</v>
      </c>
      <c r="J37" s="13"/>
    </row>
    <row r="38" s="3" customFormat="1" customHeight="1" spans="1:10">
      <c r="A38" s="11">
        <v>33</v>
      </c>
      <c r="B38" s="13" t="s">
        <v>68</v>
      </c>
      <c r="C38" s="13" t="s">
        <v>69</v>
      </c>
      <c r="D38" s="13" t="s">
        <v>67</v>
      </c>
      <c r="E38" s="12">
        <v>55</v>
      </c>
      <c r="F38" s="13">
        <f t="shared" si="12"/>
        <v>3.76470588235294</v>
      </c>
      <c r="G38" s="14">
        <f t="shared" si="13"/>
        <v>0.85</v>
      </c>
      <c r="H38" s="18">
        <v>3.2</v>
      </c>
      <c r="I38" s="15">
        <f t="shared" si="14"/>
        <v>176</v>
      </c>
      <c r="J38" s="13"/>
    </row>
    <row r="39" s="3" customFormat="1" customHeight="1" spans="1:10">
      <c r="A39" s="11">
        <v>34</v>
      </c>
      <c r="B39" s="13" t="s">
        <v>82</v>
      </c>
      <c r="C39" s="13"/>
      <c r="D39" s="13" t="s">
        <v>15</v>
      </c>
      <c r="E39" s="12">
        <v>5</v>
      </c>
      <c r="F39" s="13">
        <f t="shared" si="12"/>
        <v>103.529411764706</v>
      </c>
      <c r="G39" s="14">
        <f t="shared" si="13"/>
        <v>0.85</v>
      </c>
      <c r="H39" s="18">
        <v>88</v>
      </c>
      <c r="I39" s="15">
        <f t="shared" si="14"/>
        <v>440</v>
      </c>
      <c r="J39" s="13"/>
    </row>
    <row r="40" s="3" customFormat="1" customHeight="1" spans="1:10">
      <c r="A40" s="11" t="s">
        <v>45</v>
      </c>
      <c r="B40" s="19">
        <f>SUM(I6:I39)</f>
        <v>4585.55</v>
      </c>
      <c r="C40" s="20"/>
      <c r="D40" s="20"/>
      <c r="E40" s="21"/>
      <c r="F40" s="20"/>
      <c r="G40" s="20"/>
      <c r="H40" s="20"/>
      <c r="I40" s="20"/>
      <c r="J40" s="24"/>
    </row>
    <row r="41" s="3" customFormat="1" customHeight="1" spans="1:10">
      <c r="A41" s="11" t="s">
        <v>46</v>
      </c>
      <c r="B41" s="22">
        <f>B40</f>
        <v>4585.55</v>
      </c>
      <c r="C41" s="23"/>
      <c r="D41" s="23"/>
      <c r="E41" s="21"/>
      <c r="F41" s="23"/>
      <c r="G41" s="23"/>
      <c r="H41" s="23"/>
      <c r="I41" s="23"/>
      <c r="J41" s="25"/>
    </row>
    <row r="42" s="3" customFormat="1" customHeight="1" spans="1:5">
      <c r="A42" s="3" t="s">
        <v>47</v>
      </c>
      <c r="E42" s="4"/>
    </row>
  </sheetData>
  <sortState ref="A23:J28">
    <sortCondition ref="A23"/>
  </sortState>
  <mergeCells count="4">
    <mergeCell ref="A1:J1"/>
    <mergeCell ref="B40:J40"/>
    <mergeCell ref="B41:J41"/>
    <mergeCell ref="A42:J42"/>
  </mergeCells>
  <conditionalFormatting sqref="B18">
    <cfRule type="duplicateValues" dxfId="0" priority="10"/>
    <cfRule type="duplicateValues" dxfId="0" priority="9"/>
  </conditionalFormatting>
  <conditionalFormatting sqref="B22:C22">
    <cfRule type="duplicateValues" dxfId="0" priority="8"/>
  </conditionalFormatting>
  <conditionalFormatting sqref="B22">
    <cfRule type="duplicateValues" dxfId="0" priority="7"/>
  </conditionalFormatting>
  <conditionalFormatting sqref="B33">
    <cfRule type="duplicateValues" dxfId="0" priority="3"/>
    <cfRule type="duplicateValues" dxfId="0" priority="4"/>
  </conditionalFormatting>
  <conditionalFormatting sqref="B34">
    <cfRule type="duplicateValues" dxfId="0" priority="5"/>
    <cfRule type="duplicateValues" dxfId="0" priority="6"/>
  </conditionalFormatting>
  <conditionalFormatting sqref="B1:B17 B19:B21 B23:B32 B35:B39 B42:B1048576">
    <cfRule type="duplicateValues" dxfId="0" priority="11"/>
  </conditionalFormatting>
  <conditionalFormatting sqref="B6:C16">
    <cfRule type="duplicateValues" dxfId="0" priority="13"/>
  </conditionalFormatting>
  <conditionalFormatting sqref="B6:B17 B19:B21 B23:B32 B35:B39">
    <cfRule type="duplicateValues" dxfId="0" priority="1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9" workbookViewId="0">
      <selection activeCell="A26" sqref="$A26:$XFD2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292" width="11.6666666666667" style="3" customWidth="1"/>
    <col min="16293" max="16293" width="11.6666666666667" style="3"/>
    <col min="16294" max="16299" width="11" style="3"/>
    <col min="16300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45341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6</v>
      </c>
      <c r="F6" s="13">
        <f t="shared" ref="F6:F27" si="0">H6/0.85</f>
        <v>3.52941176470588</v>
      </c>
      <c r="G6" s="14">
        <f t="shared" ref="G6:G27" si="1">H6/F6</f>
        <v>0.85</v>
      </c>
      <c r="H6" s="15">
        <v>3</v>
      </c>
      <c r="I6" s="15">
        <f t="shared" ref="I6:I27" si="2">E6*H6</f>
        <v>18</v>
      </c>
      <c r="J6" s="11"/>
    </row>
    <row r="7" s="3" customFormat="1" ht="16" customHeight="1" spans="1:10">
      <c r="A7" s="11">
        <v>2</v>
      </c>
      <c r="B7" s="11" t="s">
        <v>48</v>
      </c>
      <c r="C7" s="11"/>
      <c r="D7" s="12" t="s">
        <v>15</v>
      </c>
      <c r="E7" s="12">
        <v>2</v>
      </c>
      <c r="F7" s="13">
        <f t="shared" si="0"/>
        <v>4.70588235294118</v>
      </c>
      <c r="G7" s="14">
        <f t="shared" si="1"/>
        <v>0.85</v>
      </c>
      <c r="H7" s="15">
        <v>4</v>
      </c>
      <c r="I7" s="15">
        <f t="shared" si="2"/>
        <v>8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7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24.5</v>
      </c>
      <c r="J8" s="11"/>
    </row>
    <row r="9" s="3" customFormat="1" ht="16" customHeight="1" spans="1:10">
      <c r="A9" s="11">
        <v>4</v>
      </c>
      <c r="B9" s="16" t="s">
        <v>19</v>
      </c>
      <c r="C9" s="16"/>
      <c r="D9" s="12" t="s">
        <v>15</v>
      </c>
      <c r="E9" s="12">
        <v>15</v>
      </c>
      <c r="F9" s="13">
        <f t="shared" si="0"/>
        <v>6.82352941176471</v>
      </c>
      <c r="G9" s="14">
        <f t="shared" si="1"/>
        <v>0.85</v>
      </c>
      <c r="H9" s="15">
        <v>5.8</v>
      </c>
      <c r="I9" s="15">
        <f t="shared" si="2"/>
        <v>87</v>
      </c>
      <c r="J9" s="11"/>
    </row>
    <row r="10" s="3" customFormat="1" ht="16" customHeight="1" spans="1:10">
      <c r="A10" s="11">
        <v>5</v>
      </c>
      <c r="B10" s="11" t="s">
        <v>84</v>
      </c>
      <c r="C10" s="11"/>
      <c r="D10" s="12" t="s">
        <v>15</v>
      </c>
      <c r="E10" s="12">
        <v>2</v>
      </c>
      <c r="F10" s="13">
        <f t="shared" si="0"/>
        <v>8.82352941176471</v>
      </c>
      <c r="G10" s="14">
        <f t="shared" si="1"/>
        <v>0.85</v>
      </c>
      <c r="H10" s="15">
        <v>7.5</v>
      </c>
      <c r="I10" s="15">
        <f t="shared" si="2"/>
        <v>15</v>
      </c>
      <c r="J10" s="11"/>
    </row>
    <row r="11" s="3" customFormat="1" ht="16" customHeight="1" spans="1:10">
      <c r="A11" s="11">
        <v>6</v>
      </c>
      <c r="B11" s="11" t="s">
        <v>85</v>
      </c>
      <c r="C11" s="11"/>
      <c r="D11" s="12" t="s">
        <v>15</v>
      </c>
      <c r="E11" s="12">
        <v>2</v>
      </c>
      <c r="F11" s="13">
        <f t="shared" si="0"/>
        <v>5.64705882352941</v>
      </c>
      <c r="G11" s="14">
        <f t="shared" si="1"/>
        <v>0.85</v>
      </c>
      <c r="H11" s="15">
        <v>4.8</v>
      </c>
      <c r="I11" s="15">
        <f t="shared" si="2"/>
        <v>9.6</v>
      </c>
      <c r="J11" s="11"/>
    </row>
    <row r="12" s="3" customFormat="1" ht="16" customHeight="1" spans="1:10">
      <c r="A12" s="11">
        <v>7</v>
      </c>
      <c r="B12" s="16" t="s">
        <v>96</v>
      </c>
      <c r="C12" s="16"/>
      <c r="D12" s="17" t="s">
        <v>15</v>
      </c>
      <c r="E12" s="17">
        <v>8</v>
      </c>
      <c r="F12" s="13">
        <f t="shared" si="0"/>
        <v>5.64705882352941</v>
      </c>
      <c r="G12" s="14">
        <f t="shared" si="1"/>
        <v>0.85</v>
      </c>
      <c r="H12" s="18">
        <v>4.8</v>
      </c>
      <c r="I12" s="15">
        <f t="shared" si="2"/>
        <v>38.4</v>
      </c>
      <c r="J12" s="16"/>
    </row>
    <row r="13" s="3" customFormat="1" ht="16" customHeight="1" spans="1:10">
      <c r="A13" s="11">
        <v>8</v>
      </c>
      <c r="B13" s="16" t="s">
        <v>53</v>
      </c>
      <c r="C13" s="16"/>
      <c r="D13" s="17" t="s">
        <v>15</v>
      </c>
      <c r="E13" s="17">
        <v>2</v>
      </c>
      <c r="F13" s="13">
        <f t="shared" si="0"/>
        <v>11.5294117647059</v>
      </c>
      <c r="G13" s="14">
        <f t="shared" si="1"/>
        <v>0.85</v>
      </c>
      <c r="H13" s="18">
        <v>9.8</v>
      </c>
      <c r="I13" s="15">
        <f t="shared" si="2"/>
        <v>19.6</v>
      </c>
      <c r="J13" s="16"/>
    </row>
    <row r="14" s="3" customFormat="1" ht="16" customHeight="1" spans="1:10">
      <c r="A14" s="11">
        <v>9</v>
      </c>
      <c r="B14" s="16" t="s">
        <v>121</v>
      </c>
      <c r="C14" s="16"/>
      <c r="D14" s="17" t="s">
        <v>15</v>
      </c>
      <c r="E14" s="17">
        <v>12</v>
      </c>
      <c r="F14" s="13">
        <f t="shared" si="0"/>
        <v>2.11764705882353</v>
      </c>
      <c r="G14" s="14">
        <f t="shared" si="1"/>
        <v>0.85</v>
      </c>
      <c r="H14" s="18">
        <v>1.8</v>
      </c>
      <c r="I14" s="15">
        <f t="shared" si="2"/>
        <v>21.6</v>
      </c>
      <c r="J14" s="16"/>
    </row>
    <row r="15" s="3" customFormat="1" ht="16" customHeight="1" spans="1:10">
      <c r="A15" s="11">
        <v>10</v>
      </c>
      <c r="B15" s="16" t="s">
        <v>90</v>
      </c>
      <c r="C15" s="16"/>
      <c r="D15" s="17" t="s">
        <v>15</v>
      </c>
      <c r="E15" s="17">
        <v>3</v>
      </c>
      <c r="F15" s="13">
        <f t="shared" si="0"/>
        <v>16.2352941176471</v>
      </c>
      <c r="G15" s="14">
        <f t="shared" si="1"/>
        <v>0.85</v>
      </c>
      <c r="H15" s="18">
        <v>13.8</v>
      </c>
      <c r="I15" s="15">
        <f t="shared" si="2"/>
        <v>41.4</v>
      </c>
      <c r="J15" s="16"/>
    </row>
    <row r="16" s="3" customFormat="1" ht="16" customHeight="1" spans="1:10">
      <c r="A16" s="11">
        <v>11</v>
      </c>
      <c r="B16" s="16" t="s">
        <v>24</v>
      </c>
      <c r="C16" s="16"/>
      <c r="D16" s="17" t="s">
        <v>15</v>
      </c>
      <c r="E16" s="17">
        <v>8</v>
      </c>
      <c r="F16" s="13">
        <f t="shared" si="0"/>
        <v>16.2352941176471</v>
      </c>
      <c r="G16" s="14">
        <f t="shared" si="1"/>
        <v>0.85</v>
      </c>
      <c r="H16" s="18">
        <v>13.8</v>
      </c>
      <c r="I16" s="15">
        <f t="shared" si="2"/>
        <v>110.4</v>
      </c>
      <c r="J16" s="16"/>
    </row>
    <row r="17" s="3" customFormat="1" ht="16" customHeight="1" spans="1:10">
      <c r="A17" s="11">
        <v>12</v>
      </c>
      <c r="B17" s="16" t="s">
        <v>40</v>
      </c>
      <c r="C17" s="16"/>
      <c r="D17" s="16" t="s">
        <v>15</v>
      </c>
      <c r="E17" s="17">
        <v>12.5</v>
      </c>
      <c r="F17" s="13">
        <f t="shared" si="0"/>
        <v>16.2352941176471</v>
      </c>
      <c r="G17" s="14">
        <f t="shared" si="1"/>
        <v>0.85</v>
      </c>
      <c r="H17" s="18">
        <v>13.8</v>
      </c>
      <c r="I17" s="15">
        <f t="shared" si="2"/>
        <v>172.5</v>
      </c>
      <c r="J17" s="16"/>
    </row>
    <row r="18" s="3" customFormat="1" ht="16" customHeight="1" spans="1:10">
      <c r="A18" s="11">
        <v>13</v>
      </c>
      <c r="B18" s="11" t="s">
        <v>41</v>
      </c>
      <c r="C18" s="11" t="s">
        <v>42</v>
      </c>
      <c r="D18" s="11" t="s">
        <v>34</v>
      </c>
      <c r="E18" s="12">
        <v>2</v>
      </c>
      <c r="F18" s="13">
        <f t="shared" si="0"/>
        <v>98.8235294117647</v>
      </c>
      <c r="G18" s="14">
        <f t="shared" si="1"/>
        <v>0.85</v>
      </c>
      <c r="H18" s="18">
        <v>84</v>
      </c>
      <c r="I18" s="15">
        <f t="shared" si="2"/>
        <v>168</v>
      </c>
      <c r="J18" s="11"/>
    </row>
    <row r="19" s="3" customFormat="1" ht="16" customHeight="1" spans="1:10">
      <c r="A19" s="11">
        <v>14</v>
      </c>
      <c r="B19" s="16" t="s">
        <v>122</v>
      </c>
      <c r="C19" s="16"/>
      <c r="D19" s="17" t="s">
        <v>15</v>
      </c>
      <c r="E19" s="17">
        <v>20</v>
      </c>
      <c r="F19" s="13">
        <f t="shared" si="0"/>
        <v>5.76470588235294</v>
      </c>
      <c r="G19" s="14">
        <f t="shared" si="1"/>
        <v>0.85</v>
      </c>
      <c r="H19" s="18">
        <v>4.9</v>
      </c>
      <c r="I19" s="15">
        <f t="shared" si="2"/>
        <v>98</v>
      </c>
      <c r="J19" s="11"/>
    </row>
    <row r="20" s="3" customFormat="1" ht="16" customHeight="1" spans="1:10">
      <c r="A20" s="11">
        <v>15</v>
      </c>
      <c r="B20" s="11" t="s">
        <v>123</v>
      </c>
      <c r="C20" s="11" t="s">
        <v>124</v>
      </c>
      <c r="D20" s="11" t="s">
        <v>39</v>
      </c>
      <c r="E20" s="12">
        <v>2</v>
      </c>
      <c r="F20" s="13">
        <f t="shared" si="0"/>
        <v>97.6470588235294</v>
      </c>
      <c r="G20" s="14">
        <f t="shared" si="1"/>
        <v>0.85</v>
      </c>
      <c r="H20" s="18">
        <v>83</v>
      </c>
      <c r="I20" s="15">
        <f t="shared" si="2"/>
        <v>166</v>
      </c>
      <c r="J20" s="11"/>
    </row>
    <row r="21" s="3" customFormat="1" ht="16" customHeight="1" spans="1:10">
      <c r="A21" s="11">
        <v>16</v>
      </c>
      <c r="B21" s="11" t="s">
        <v>125</v>
      </c>
      <c r="C21" s="11" t="s">
        <v>61</v>
      </c>
      <c r="D21" s="11" t="s">
        <v>15</v>
      </c>
      <c r="E21" s="12">
        <v>10</v>
      </c>
      <c r="F21" s="13">
        <f t="shared" si="0"/>
        <v>14.1176470588235</v>
      </c>
      <c r="G21" s="14">
        <f t="shared" si="1"/>
        <v>0.85</v>
      </c>
      <c r="H21" s="18">
        <v>12</v>
      </c>
      <c r="I21" s="15">
        <f t="shared" si="2"/>
        <v>120</v>
      </c>
      <c r="J21" s="11"/>
    </row>
    <row r="22" s="3" customFormat="1" ht="16" customHeight="1" spans="1:10">
      <c r="A22" s="11">
        <v>17</v>
      </c>
      <c r="B22" s="13" t="s">
        <v>37</v>
      </c>
      <c r="C22" s="13" t="s">
        <v>38</v>
      </c>
      <c r="D22" s="13" t="s">
        <v>39</v>
      </c>
      <c r="E22" s="12">
        <v>1</v>
      </c>
      <c r="F22" s="13">
        <f t="shared" si="0"/>
        <v>174.117647058824</v>
      </c>
      <c r="G22" s="14">
        <f t="shared" si="1"/>
        <v>0.85</v>
      </c>
      <c r="H22" s="18">
        <v>148</v>
      </c>
      <c r="I22" s="15">
        <f t="shared" si="2"/>
        <v>148</v>
      </c>
      <c r="J22" s="13"/>
    </row>
    <row r="23" s="3" customFormat="1" customHeight="1" spans="1:10">
      <c r="A23" s="11">
        <v>18</v>
      </c>
      <c r="B23" s="13" t="s">
        <v>65</v>
      </c>
      <c r="C23" s="13" t="s">
        <v>66</v>
      </c>
      <c r="D23" s="13" t="s">
        <v>67</v>
      </c>
      <c r="E23" s="12">
        <v>50</v>
      </c>
      <c r="F23" s="13">
        <f t="shared" si="0"/>
        <v>4.11764705882353</v>
      </c>
      <c r="G23" s="14">
        <f t="shared" si="1"/>
        <v>0.85</v>
      </c>
      <c r="H23" s="18">
        <v>3.5</v>
      </c>
      <c r="I23" s="15">
        <f t="shared" si="2"/>
        <v>175</v>
      </c>
      <c r="J23" s="13"/>
    </row>
    <row r="24" s="3" customFormat="1" customHeight="1" spans="1:10">
      <c r="A24" s="11">
        <v>19</v>
      </c>
      <c r="B24" s="13" t="s">
        <v>126</v>
      </c>
      <c r="C24" s="13" t="s">
        <v>61</v>
      </c>
      <c r="D24" s="13" t="s">
        <v>15</v>
      </c>
      <c r="E24" s="12">
        <v>1</v>
      </c>
      <c r="F24" s="13">
        <f t="shared" si="0"/>
        <v>29.4117647058824</v>
      </c>
      <c r="G24" s="14">
        <f t="shared" si="1"/>
        <v>0.85</v>
      </c>
      <c r="H24" s="18">
        <v>25</v>
      </c>
      <c r="I24" s="15">
        <f t="shared" si="2"/>
        <v>25</v>
      </c>
      <c r="J24" s="13"/>
    </row>
    <row r="25" s="3" customFormat="1" customHeight="1" spans="1:10">
      <c r="A25" s="11">
        <v>20</v>
      </c>
      <c r="B25" s="16" t="s">
        <v>81</v>
      </c>
      <c r="C25" s="16"/>
      <c r="D25" s="16" t="s">
        <v>15</v>
      </c>
      <c r="E25" s="17">
        <v>8</v>
      </c>
      <c r="F25" s="13">
        <f t="shared" si="0"/>
        <v>103.529411764706</v>
      </c>
      <c r="G25" s="14">
        <f t="shared" si="1"/>
        <v>0.85</v>
      </c>
      <c r="H25" s="15">
        <v>88</v>
      </c>
      <c r="I25" s="15">
        <f t="shared" si="2"/>
        <v>704</v>
      </c>
      <c r="J25" s="13"/>
    </row>
    <row r="26" s="3" customFormat="1" customHeight="1" spans="1:10">
      <c r="A26" s="11">
        <v>22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23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24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25</v>
      </c>
      <c r="B29" s="11"/>
      <c r="C29" s="11"/>
      <c r="D29" s="11"/>
      <c r="E29" s="12"/>
      <c r="F29" s="13"/>
      <c r="G29" s="14"/>
      <c r="H29" s="18"/>
      <c r="I29" s="15"/>
      <c r="J29" s="11"/>
    </row>
    <row r="30" s="3" customFormat="1" customHeight="1" spans="1:10">
      <c r="A30" s="11">
        <v>26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27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28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 t="s">
        <v>45</v>
      </c>
      <c r="B33" s="19">
        <f>SUM(I6:I32)</f>
        <v>2170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46</v>
      </c>
      <c r="B34" s="22">
        <f>B33</f>
        <v>2170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47</v>
      </c>
      <c r="E35" s="4"/>
    </row>
  </sheetData>
  <sortState ref="A21:J30">
    <sortCondition ref="A21"/>
  </sortState>
  <mergeCells count="4">
    <mergeCell ref="A1:J1"/>
    <mergeCell ref="B33:J33"/>
    <mergeCell ref="B34:J34"/>
    <mergeCell ref="A35:J35"/>
  </mergeCells>
  <conditionalFormatting sqref="B24">
    <cfRule type="duplicateValues" dxfId="0" priority="6"/>
    <cfRule type="duplicateValues" dxfId="0" priority="5"/>
  </conditionalFormatting>
  <conditionalFormatting sqref="B25">
    <cfRule type="duplicateValues" dxfId="0" priority="4"/>
    <cfRule type="duplicateValues" dxfId="0" priority="3"/>
  </conditionalFormatting>
  <conditionalFormatting sqref="B1:B23 B26:B32 B35:B1048576">
    <cfRule type="duplicateValues" dxfId="0" priority="7"/>
  </conditionalFormatting>
  <conditionalFormatting sqref="B6:C17">
    <cfRule type="duplicateValues" dxfId="0" priority="9"/>
  </conditionalFormatting>
  <conditionalFormatting sqref="B6:B23 B26:B32">
    <cfRule type="duplicateValues" dxfId="0" priority="8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6" workbookViewId="0">
      <selection activeCell="B23" sqref="B23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283" width="11.6666666666667" style="3" customWidth="1"/>
    <col min="16284" max="16284" width="11.6666666666667" style="3"/>
    <col min="16285" max="16290" width="11" style="3"/>
    <col min="1629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45342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7</v>
      </c>
      <c r="F6" s="13">
        <f t="shared" ref="F6:F25" si="0">H6/0.85</f>
        <v>3.52941176470588</v>
      </c>
      <c r="G6" s="14">
        <f t="shared" ref="G6:G25" si="1">H6/F6</f>
        <v>0.85</v>
      </c>
      <c r="H6" s="15">
        <v>3</v>
      </c>
      <c r="I6" s="15">
        <f t="shared" ref="I6:I25" si="2">E6*H6</f>
        <v>21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8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28</v>
      </c>
      <c r="J7" s="11"/>
    </row>
    <row r="8" s="3" customFormat="1" ht="16" customHeight="1" spans="1:10">
      <c r="A8" s="11">
        <v>3</v>
      </c>
      <c r="B8" s="11" t="s">
        <v>127</v>
      </c>
      <c r="C8" s="11"/>
      <c r="D8" s="12" t="s">
        <v>15</v>
      </c>
      <c r="E8" s="12">
        <v>5</v>
      </c>
      <c r="F8" s="13">
        <f t="shared" si="0"/>
        <v>2.94117647058824</v>
      </c>
      <c r="G8" s="14">
        <f t="shared" si="1"/>
        <v>0.85</v>
      </c>
      <c r="H8" s="15">
        <v>2.5</v>
      </c>
      <c r="I8" s="15">
        <f t="shared" si="2"/>
        <v>12.5</v>
      </c>
      <c r="J8" s="11"/>
    </row>
    <row r="9" s="3" customFormat="1" ht="16" customHeight="1" spans="1:10">
      <c r="A9" s="11">
        <v>4</v>
      </c>
      <c r="B9" s="16" t="s">
        <v>128</v>
      </c>
      <c r="C9" s="16"/>
      <c r="D9" s="12" t="s">
        <v>15</v>
      </c>
      <c r="E9" s="12">
        <v>15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52.5</v>
      </c>
      <c r="J9" s="11"/>
    </row>
    <row r="10" s="3" customFormat="1" ht="16" customHeight="1" spans="1:10">
      <c r="A10" s="11">
        <v>5</v>
      </c>
      <c r="B10" s="16" t="s">
        <v>84</v>
      </c>
      <c r="C10" s="16"/>
      <c r="D10" s="17" t="s">
        <v>15</v>
      </c>
      <c r="E10" s="17">
        <v>5</v>
      </c>
      <c r="F10" s="13">
        <f t="shared" si="0"/>
        <v>8.82352941176471</v>
      </c>
      <c r="G10" s="14">
        <f t="shared" si="1"/>
        <v>0.85</v>
      </c>
      <c r="H10" s="15">
        <v>7.5</v>
      </c>
      <c r="I10" s="15">
        <f t="shared" si="2"/>
        <v>37.5</v>
      </c>
      <c r="J10" s="11"/>
    </row>
    <row r="11" s="3" customFormat="1" ht="16" customHeight="1" spans="1:10">
      <c r="A11" s="11">
        <v>6</v>
      </c>
      <c r="B11" s="16" t="s">
        <v>85</v>
      </c>
      <c r="C11" s="16"/>
      <c r="D11" s="17" t="s">
        <v>15</v>
      </c>
      <c r="E11" s="17">
        <v>5</v>
      </c>
      <c r="F11" s="13">
        <f t="shared" si="0"/>
        <v>5.64705882352941</v>
      </c>
      <c r="G11" s="14">
        <f t="shared" si="1"/>
        <v>0.85</v>
      </c>
      <c r="H11" s="15">
        <v>4.8</v>
      </c>
      <c r="I11" s="15">
        <f t="shared" si="2"/>
        <v>24</v>
      </c>
      <c r="J11" s="11"/>
    </row>
    <row r="12" s="3" customFormat="1" ht="16" customHeight="1" spans="1:10">
      <c r="A12" s="11">
        <v>7</v>
      </c>
      <c r="B12" s="16" t="s">
        <v>78</v>
      </c>
      <c r="C12" s="16"/>
      <c r="D12" s="17" t="s">
        <v>15</v>
      </c>
      <c r="E12" s="17">
        <v>5</v>
      </c>
      <c r="F12" s="13">
        <f t="shared" si="0"/>
        <v>6.82352941176471</v>
      </c>
      <c r="G12" s="14">
        <f t="shared" si="1"/>
        <v>0.85</v>
      </c>
      <c r="H12" s="15">
        <v>5.8</v>
      </c>
      <c r="I12" s="15">
        <f t="shared" si="2"/>
        <v>29</v>
      </c>
      <c r="J12" s="16"/>
    </row>
    <row r="13" s="3" customFormat="1" ht="16" customHeight="1" spans="1:10">
      <c r="A13" s="11">
        <v>8</v>
      </c>
      <c r="B13" s="16" t="s">
        <v>97</v>
      </c>
      <c r="C13" s="16"/>
      <c r="D13" s="17" t="s">
        <v>15</v>
      </c>
      <c r="E13" s="17">
        <v>12</v>
      </c>
      <c r="F13" s="13">
        <f t="shared" si="0"/>
        <v>5.64705882352941</v>
      </c>
      <c r="G13" s="14">
        <f t="shared" si="1"/>
        <v>0.85</v>
      </c>
      <c r="H13" s="15">
        <v>4.8</v>
      </c>
      <c r="I13" s="15">
        <f t="shared" si="2"/>
        <v>57.6</v>
      </c>
      <c r="J13" s="16"/>
    </row>
    <row r="14" s="3" customFormat="1" ht="16" customHeight="1" spans="1:10">
      <c r="A14" s="11">
        <v>9</v>
      </c>
      <c r="B14" s="16" t="s">
        <v>88</v>
      </c>
      <c r="C14" s="16"/>
      <c r="D14" s="17" t="s">
        <v>15</v>
      </c>
      <c r="E14" s="17">
        <v>5</v>
      </c>
      <c r="F14" s="13">
        <f t="shared" si="0"/>
        <v>5.64705882352941</v>
      </c>
      <c r="G14" s="14">
        <f t="shared" si="1"/>
        <v>0.85</v>
      </c>
      <c r="H14" s="15">
        <v>4.8</v>
      </c>
      <c r="I14" s="15">
        <f t="shared" si="2"/>
        <v>24</v>
      </c>
      <c r="J14" s="16"/>
    </row>
    <row r="15" s="3" customFormat="1" ht="16" customHeight="1" spans="1:10">
      <c r="A15" s="11">
        <v>10</v>
      </c>
      <c r="B15" s="16" t="s">
        <v>79</v>
      </c>
      <c r="C15" s="16"/>
      <c r="D15" s="17" t="s">
        <v>15</v>
      </c>
      <c r="E15" s="17">
        <v>5</v>
      </c>
      <c r="F15" s="13">
        <f t="shared" si="0"/>
        <v>7.05882352941176</v>
      </c>
      <c r="G15" s="14">
        <f t="shared" si="1"/>
        <v>0.85</v>
      </c>
      <c r="H15" s="15">
        <v>6</v>
      </c>
      <c r="I15" s="15">
        <f t="shared" si="2"/>
        <v>30</v>
      </c>
      <c r="J15" s="16"/>
    </row>
    <row r="16" s="3" customFormat="1" ht="16" customHeight="1" spans="1:10">
      <c r="A16" s="11">
        <v>11</v>
      </c>
      <c r="B16" s="11" t="s">
        <v>89</v>
      </c>
      <c r="C16" s="11"/>
      <c r="D16" s="11" t="s">
        <v>15</v>
      </c>
      <c r="E16" s="12">
        <v>23.5</v>
      </c>
      <c r="F16" s="13">
        <f t="shared" si="0"/>
        <v>6.82352941176471</v>
      </c>
      <c r="G16" s="14">
        <f t="shared" si="1"/>
        <v>0.85</v>
      </c>
      <c r="H16" s="15">
        <v>5.8</v>
      </c>
      <c r="I16" s="15">
        <f t="shared" si="2"/>
        <v>136.3</v>
      </c>
      <c r="J16" s="16"/>
    </row>
    <row r="17" s="3" customFormat="1" ht="16" customHeight="1" spans="1:10">
      <c r="A17" s="11">
        <v>12</v>
      </c>
      <c r="B17" s="11" t="s">
        <v>129</v>
      </c>
      <c r="C17" s="11"/>
      <c r="D17" s="11" t="s">
        <v>15</v>
      </c>
      <c r="E17" s="12">
        <v>7</v>
      </c>
      <c r="F17" s="13">
        <f t="shared" si="0"/>
        <v>8</v>
      </c>
      <c r="G17" s="14">
        <f t="shared" si="1"/>
        <v>0.85</v>
      </c>
      <c r="H17" s="15">
        <v>6.8</v>
      </c>
      <c r="I17" s="15">
        <f t="shared" si="2"/>
        <v>47.6</v>
      </c>
      <c r="J17" s="16"/>
    </row>
    <row r="18" s="3" customFormat="1" ht="16" customHeight="1" spans="1:10">
      <c r="A18" s="11">
        <v>13</v>
      </c>
      <c r="B18" s="11" t="s">
        <v>44</v>
      </c>
      <c r="C18" s="11"/>
      <c r="D18" s="11" t="s">
        <v>15</v>
      </c>
      <c r="E18" s="12">
        <v>7</v>
      </c>
      <c r="F18" s="13">
        <f t="shared" si="0"/>
        <v>32.9411764705882</v>
      </c>
      <c r="G18" s="14">
        <f t="shared" si="1"/>
        <v>0.85</v>
      </c>
      <c r="H18" s="15">
        <v>28</v>
      </c>
      <c r="I18" s="15">
        <f t="shared" si="2"/>
        <v>196</v>
      </c>
      <c r="J18" s="11"/>
    </row>
    <row r="19" s="3" customFormat="1" ht="16" customHeight="1" spans="1:10">
      <c r="A19" s="11">
        <v>14</v>
      </c>
      <c r="B19" s="13" t="s">
        <v>100</v>
      </c>
      <c r="C19" s="13"/>
      <c r="D19" s="13" t="s">
        <v>15</v>
      </c>
      <c r="E19" s="12">
        <v>3</v>
      </c>
      <c r="F19" s="13">
        <f t="shared" si="0"/>
        <v>8</v>
      </c>
      <c r="G19" s="14">
        <f t="shared" si="1"/>
        <v>0.85</v>
      </c>
      <c r="H19" s="15">
        <v>6.8</v>
      </c>
      <c r="I19" s="15">
        <f t="shared" si="2"/>
        <v>20.4</v>
      </c>
      <c r="J19" s="11"/>
    </row>
    <row r="20" s="3" customFormat="1" ht="16" customHeight="1" spans="1:10">
      <c r="A20" s="11">
        <v>15</v>
      </c>
      <c r="B20" s="11" t="s">
        <v>130</v>
      </c>
      <c r="C20" s="11"/>
      <c r="D20" s="12" t="s">
        <v>15</v>
      </c>
      <c r="E20" s="12">
        <v>7</v>
      </c>
      <c r="F20" s="13">
        <f t="shared" si="0"/>
        <v>5.88235294117647</v>
      </c>
      <c r="G20" s="14">
        <f t="shared" si="1"/>
        <v>0.85</v>
      </c>
      <c r="H20" s="15">
        <v>5</v>
      </c>
      <c r="I20" s="15">
        <f t="shared" si="2"/>
        <v>35</v>
      </c>
      <c r="J20" s="11"/>
    </row>
    <row r="21" s="3" customFormat="1" ht="16" customHeight="1" spans="1:10">
      <c r="A21" s="11">
        <v>16</v>
      </c>
      <c r="B21" s="13" t="s">
        <v>68</v>
      </c>
      <c r="C21" s="13" t="s">
        <v>69</v>
      </c>
      <c r="D21" s="13" t="s">
        <v>67</v>
      </c>
      <c r="E21" s="12">
        <v>56</v>
      </c>
      <c r="F21" s="13">
        <f t="shared" si="0"/>
        <v>3.76470588235294</v>
      </c>
      <c r="G21" s="14">
        <f t="shared" si="1"/>
        <v>0.85</v>
      </c>
      <c r="H21" s="15">
        <v>3.2</v>
      </c>
      <c r="I21" s="15">
        <f t="shared" si="2"/>
        <v>179.2</v>
      </c>
      <c r="J21" s="11"/>
    </row>
    <row r="22" s="3" customFormat="1" customHeight="1" spans="1:10">
      <c r="A22" s="11">
        <v>17</v>
      </c>
      <c r="B22" s="16" t="s">
        <v>93</v>
      </c>
      <c r="C22" s="16"/>
      <c r="D22" s="17" t="s">
        <v>15</v>
      </c>
      <c r="E22" s="17">
        <v>8</v>
      </c>
      <c r="F22" s="13">
        <f t="shared" si="0"/>
        <v>30.5882352941176</v>
      </c>
      <c r="G22" s="14">
        <f t="shared" si="1"/>
        <v>0.85</v>
      </c>
      <c r="H22" s="15">
        <v>26</v>
      </c>
      <c r="I22" s="15">
        <f t="shared" si="2"/>
        <v>208</v>
      </c>
      <c r="J22" s="13"/>
    </row>
    <row r="23" s="3" customFormat="1" customHeight="1" spans="1:10">
      <c r="A23" s="11">
        <v>18</v>
      </c>
      <c r="B23" s="13" t="s">
        <v>82</v>
      </c>
      <c r="C23" s="13"/>
      <c r="D23" s="13" t="s">
        <v>15</v>
      </c>
      <c r="E23" s="12">
        <v>8</v>
      </c>
      <c r="F23" s="13">
        <f t="shared" si="0"/>
        <v>103.529411764706</v>
      </c>
      <c r="G23" s="14">
        <f t="shared" si="1"/>
        <v>0.85</v>
      </c>
      <c r="H23" s="15">
        <v>88</v>
      </c>
      <c r="I23" s="15">
        <f t="shared" si="2"/>
        <v>704</v>
      </c>
      <c r="J23" s="13"/>
    </row>
    <row r="24" s="3" customFormat="1" customHeight="1" spans="1:10">
      <c r="A24" s="11">
        <v>19</v>
      </c>
      <c r="B24" s="13" t="s">
        <v>70</v>
      </c>
      <c r="C24" s="13"/>
      <c r="D24" s="13" t="s">
        <v>15</v>
      </c>
      <c r="E24" s="12">
        <v>8</v>
      </c>
      <c r="F24" s="13">
        <f t="shared" si="0"/>
        <v>56.4705882352941</v>
      </c>
      <c r="G24" s="14">
        <f t="shared" si="1"/>
        <v>0.85</v>
      </c>
      <c r="H24" s="18">
        <v>48</v>
      </c>
      <c r="I24" s="15">
        <f t="shared" si="2"/>
        <v>384</v>
      </c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5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5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5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5"/>
      <c r="I28" s="15"/>
      <c r="J28" s="13"/>
    </row>
    <row r="29" s="3" customFormat="1" customHeight="1" spans="1:10">
      <c r="A29" s="11">
        <v>24</v>
      </c>
      <c r="B29" s="11"/>
      <c r="C29" s="11"/>
      <c r="D29" s="16"/>
      <c r="E29" s="12"/>
      <c r="F29" s="13"/>
      <c r="G29" s="14"/>
      <c r="H29" s="15"/>
      <c r="I29" s="15"/>
      <c r="J29" s="13"/>
    </row>
    <row r="30" s="3" customFormat="1" customHeight="1" spans="1:10">
      <c r="A30" s="11">
        <v>25</v>
      </c>
      <c r="B30" s="11"/>
      <c r="C30" s="11"/>
      <c r="D30" s="16"/>
      <c r="E30" s="12"/>
      <c r="F30" s="13"/>
      <c r="G30" s="14"/>
      <c r="H30" s="15"/>
      <c r="I30" s="15"/>
      <c r="J30" s="13"/>
    </row>
    <row r="31" s="3" customFormat="1" customHeight="1" spans="1:10">
      <c r="A31" s="11">
        <v>26</v>
      </c>
      <c r="B31" s="11"/>
      <c r="C31" s="11"/>
      <c r="D31" s="16"/>
      <c r="E31" s="12"/>
      <c r="F31" s="13"/>
      <c r="G31" s="14"/>
      <c r="H31" s="15"/>
      <c r="I31" s="15"/>
      <c r="J31" s="13"/>
    </row>
    <row r="32" s="3" customFormat="1" customHeight="1" spans="1:10">
      <c r="A32" s="11">
        <v>27</v>
      </c>
      <c r="B32" s="11"/>
      <c r="C32" s="11"/>
      <c r="D32" s="16"/>
      <c r="E32" s="12"/>
      <c r="F32" s="13"/>
      <c r="G32" s="14"/>
      <c r="H32" s="15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45</v>
      </c>
      <c r="B34" s="19">
        <f>SUM(I6:I33)</f>
        <v>2226.6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46</v>
      </c>
      <c r="B35" s="22">
        <f>B34</f>
        <v>2226.6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47</v>
      </c>
      <c r="E36" s="4"/>
    </row>
  </sheetData>
  <sortState ref="A20:I25">
    <sortCondition ref="A20"/>
  </sortState>
  <mergeCells count="4">
    <mergeCell ref="A1:J1"/>
    <mergeCell ref="B34:J34"/>
    <mergeCell ref="B35:J35"/>
    <mergeCell ref="A36:J36"/>
  </mergeCells>
  <conditionalFormatting sqref="B22:C22">
    <cfRule type="duplicateValues" dxfId="0" priority="6"/>
  </conditionalFormatting>
  <conditionalFormatting sqref="B22">
    <cfRule type="duplicateValues" dxfId="0" priority="5"/>
  </conditionalFormatting>
  <conditionalFormatting sqref="B23">
    <cfRule type="duplicateValues" dxfId="0" priority="4"/>
    <cfRule type="duplicateValues" dxfId="0" priority="3"/>
  </conditionalFormatting>
  <conditionalFormatting sqref="B24">
    <cfRule type="duplicateValues" dxfId="0" priority="2"/>
    <cfRule type="duplicateValues" dxfId="0" priority="1"/>
  </conditionalFormatting>
  <conditionalFormatting sqref="B1:B21 B25:B33 B36:B1048576">
    <cfRule type="duplicateValues" dxfId="0" priority="7"/>
  </conditionalFormatting>
  <conditionalFormatting sqref="B6:C17">
    <cfRule type="duplicateValues" dxfId="0" priority="9"/>
  </conditionalFormatting>
  <conditionalFormatting sqref="B6:B21 B25:B33">
    <cfRule type="duplicateValues" dxfId="0" priority="8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6" workbookViewId="0">
      <selection activeCell="B18" sqref="B18:I18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283" width="11.6666666666667" style="3" customWidth="1"/>
    <col min="16284" max="16284" width="11.6666666666667" style="3"/>
    <col min="16285" max="16290" width="11" style="3"/>
    <col min="1629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45343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4</v>
      </c>
      <c r="F6" s="13">
        <f t="shared" ref="F6:F22" si="0">H6/0.85</f>
        <v>3.52941176470588</v>
      </c>
      <c r="G6" s="14">
        <f t="shared" ref="G6:G22" si="1">H6/F6</f>
        <v>0.85</v>
      </c>
      <c r="H6" s="15">
        <v>3</v>
      </c>
      <c r="I6" s="15">
        <f t="shared" ref="I6:I22" si="2">E6*H6</f>
        <v>12</v>
      </c>
      <c r="J6" s="11"/>
    </row>
    <row r="7" s="3" customFormat="1" ht="16" customHeight="1" spans="1:10">
      <c r="A7" s="11">
        <v>2</v>
      </c>
      <c r="B7" s="11" t="s">
        <v>73</v>
      </c>
      <c r="C7" s="11" t="s">
        <v>61</v>
      </c>
      <c r="D7" s="12" t="s">
        <v>15</v>
      </c>
      <c r="E7" s="12">
        <v>10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35</v>
      </c>
      <c r="J7" s="11"/>
    </row>
    <row r="8" s="3" customFormat="1" ht="16" customHeight="1" spans="1:10">
      <c r="A8" s="11">
        <v>3</v>
      </c>
      <c r="B8" s="11" t="s">
        <v>16</v>
      </c>
      <c r="C8" s="11"/>
      <c r="D8" s="12" t="s">
        <v>15</v>
      </c>
      <c r="E8" s="12">
        <v>4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14</v>
      </c>
      <c r="J8" s="11"/>
    </row>
    <row r="9" s="3" customFormat="1" ht="16" customHeight="1" spans="1:10">
      <c r="A9" s="11">
        <v>4</v>
      </c>
      <c r="B9" s="16" t="s">
        <v>17</v>
      </c>
      <c r="C9" s="16"/>
      <c r="D9" s="12" t="s">
        <v>15</v>
      </c>
      <c r="E9" s="12">
        <v>5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17.5</v>
      </c>
      <c r="J9" s="11"/>
    </row>
    <row r="10" s="3" customFormat="1" ht="16" customHeight="1" spans="1:10">
      <c r="A10" s="11">
        <v>5</v>
      </c>
      <c r="B10" s="16" t="s">
        <v>94</v>
      </c>
      <c r="C10" s="16"/>
      <c r="D10" s="17" t="s">
        <v>15</v>
      </c>
      <c r="E10" s="17">
        <v>5</v>
      </c>
      <c r="F10" s="13">
        <f t="shared" si="0"/>
        <v>7.05882352941176</v>
      </c>
      <c r="G10" s="14">
        <f t="shared" si="1"/>
        <v>0.85</v>
      </c>
      <c r="H10" s="15">
        <v>6</v>
      </c>
      <c r="I10" s="15">
        <f t="shared" si="2"/>
        <v>30</v>
      </c>
      <c r="J10" s="11"/>
    </row>
    <row r="11" s="3" customFormat="1" ht="16" customHeight="1" spans="1:10">
      <c r="A11" s="11">
        <v>6</v>
      </c>
      <c r="B11" s="16" t="s">
        <v>131</v>
      </c>
      <c r="C11" s="16"/>
      <c r="D11" s="17" t="s">
        <v>15</v>
      </c>
      <c r="E11" s="17">
        <v>5</v>
      </c>
      <c r="F11" s="13">
        <f t="shared" si="0"/>
        <v>10.3529411764706</v>
      </c>
      <c r="G11" s="14">
        <f t="shared" si="1"/>
        <v>0.85</v>
      </c>
      <c r="H11" s="15">
        <v>8.8</v>
      </c>
      <c r="I11" s="15">
        <f t="shared" si="2"/>
        <v>44</v>
      </c>
      <c r="J11" s="11"/>
    </row>
    <row r="12" s="3" customFormat="1" ht="16" customHeight="1" spans="1:10">
      <c r="A12" s="11">
        <v>7</v>
      </c>
      <c r="B12" s="16" t="s">
        <v>132</v>
      </c>
      <c r="C12" s="16"/>
      <c r="D12" s="17" t="s">
        <v>15</v>
      </c>
      <c r="E12" s="17">
        <v>5</v>
      </c>
      <c r="F12" s="13">
        <f t="shared" si="0"/>
        <v>6.82352941176471</v>
      </c>
      <c r="G12" s="14">
        <f t="shared" si="1"/>
        <v>0.85</v>
      </c>
      <c r="H12" s="15">
        <v>5.8</v>
      </c>
      <c r="I12" s="15">
        <f t="shared" si="2"/>
        <v>29</v>
      </c>
      <c r="J12" s="16"/>
    </row>
    <row r="13" s="3" customFormat="1" ht="16" customHeight="1" spans="1:10">
      <c r="A13" s="11">
        <v>8</v>
      </c>
      <c r="B13" s="16" t="s">
        <v>53</v>
      </c>
      <c r="C13" s="16"/>
      <c r="D13" s="17" t="s">
        <v>15</v>
      </c>
      <c r="E13" s="17">
        <v>7</v>
      </c>
      <c r="F13" s="13">
        <f t="shared" si="0"/>
        <v>11.5294117647059</v>
      </c>
      <c r="G13" s="14">
        <f t="shared" si="1"/>
        <v>0.85</v>
      </c>
      <c r="H13" s="15">
        <v>9.8</v>
      </c>
      <c r="I13" s="15">
        <f t="shared" si="2"/>
        <v>68.6</v>
      </c>
      <c r="J13" s="16"/>
    </row>
    <row r="14" s="3" customFormat="1" ht="16" customHeight="1" spans="1:10">
      <c r="A14" s="11">
        <v>9</v>
      </c>
      <c r="B14" s="16" t="s">
        <v>87</v>
      </c>
      <c r="C14" s="16"/>
      <c r="D14" s="17" t="s">
        <v>15</v>
      </c>
      <c r="E14" s="17">
        <v>15</v>
      </c>
      <c r="F14" s="13">
        <f t="shared" si="0"/>
        <v>5.64705882352941</v>
      </c>
      <c r="G14" s="14">
        <f t="shared" si="1"/>
        <v>0.85</v>
      </c>
      <c r="H14" s="15">
        <v>4.8</v>
      </c>
      <c r="I14" s="15">
        <f t="shared" si="2"/>
        <v>72</v>
      </c>
      <c r="J14" s="16"/>
    </row>
    <row r="15" s="3" customFormat="1" ht="16" customHeight="1" spans="1:10">
      <c r="A15" s="11">
        <v>10</v>
      </c>
      <c r="B15" s="16" t="s">
        <v>133</v>
      </c>
      <c r="C15" s="16"/>
      <c r="D15" s="17" t="s">
        <v>15</v>
      </c>
      <c r="E15" s="17">
        <v>15</v>
      </c>
      <c r="F15" s="13">
        <f t="shared" si="0"/>
        <v>8</v>
      </c>
      <c r="G15" s="14">
        <f t="shared" si="1"/>
        <v>0.85</v>
      </c>
      <c r="H15" s="15">
        <v>6.8</v>
      </c>
      <c r="I15" s="15">
        <f t="shared" si="2"/>
        <v>102</v>
      </c>
      <c r="J15" s="16"/>
    </row>
    <row r="16" s="3" customFormat="1" ht="16" customHeight="1" spans="1:10">
      <c r="A16" s="11">
        <v>11</v>
      </c>
      <c r="B16" s="11" t="s">
        <v>115</v>
      </c>
      <c r="C16" s="11"/>
      <c r="D16" s="11" t="s">
        <v>15</v>
      </c>
      <c r="E16" s="12">
        <v>2</v>
      </c>
      <c r="F16" s="13">
        <f t="shared" si="0"/>
        <v>4.11764705882353</v>
      </c>
      <c r="G16" s="14">
        <f t="shared" si="1"/>
        <v>0.85</v>
      </c>
      <c r="H16" s="15">
        <v>3.5</v>
      </c>
      <c r="I16" s="15">
        <f t="shared" si="2"/>
        <v>7</v>
      </c>
      <c r="J16" s="16"/>
    </row>
    <row r="17" s="3" customFormat="1" ht="16" customHeight="1" spans="1:10">
      <c r="A17" s="11">
        <v>12</v>
      </c>
      <c r="B17" s="11" t="s">
        <v>72</v>
      </c>
      <c r="C17" s="11"/>
      <c r="D17" s="11" t="s">
        <v>15</v>
      </c>
      <c r="E17" s="12">
        <v>8</v>
      </c>
      <c r="F17" s="13">
        <f t="shared" si="0"/>
        <v>17.4117647058824</v>
      </c>
      <c r="G17" s="14">
        <f t="shared" si="1"/>
        <v>0.85</v>
      </c>
      <c r="H17" s="15">
        <v>14.8</v>
      </c>
      <c r="I17" s="15">
        <f t="shared" si="2"/>
        <v>118.4</v>
      </c>
      <c r="J17" s="16"/>
    </row>
    <row r="18" s="3" customFormat="1" ht="16" customHeight="1" spans="1:10">
      <c r="A18" s="11">
        <v>13</v>
      </c>
      <c r="B18" s="11" t="s">
        <v>71</v>
      </c>
      <c r="C18" s="11"/>
      <c r="D18" s="11" t="s">
        <v>15</v>
      </c>
      <c r="E18" s="12">
        <v>16</v>
      </c>
      <c r="F18" s="13">
        <f t="shared" si="0"/>
        <v>22.9411764705882</v>
      </c>
      <c r="G18" s="14">
        <f t="shared" si="1"/>
        <v>0.85</v>
      </c>
      <c r="H18" s="15">
        <v>19.5</v>
      </c>
      <c r="I18" s="15">
        <f t="shared" si="2"/>
        <v>312</v>
      </c>
      <c r="J18" s="11"/>
    </row>
    <row r="19" s="3" customFormat="1" ht="16" customHeight="1" spans="1:10">
      <c r="A19" s="11">
        <v>14</v>
      </c>
      <c r="B19" s="13" t="s">
        <v>24</v>
      </c>
      <c r="C19" s="13"/>
      <c r="D19" s="13" t="s">
        <v>15</v>
      </c>
      <c r="E19" s="12">
        <v>6</v>
      </c>
      <c r="F19" s="13">
        <f t="shared" si="0"/>
        <v>16.2352941176471</v>
      </c>
      <c r="G19" s="14">
        <f t="shared" si="1"/>
        <v>0.85</v>
      </c>
      <c r="H19" s="15">
        <v>13.8</v>
      </c>
      <c r="I19" s="15">
        <f t="shared" si="2"/>
        <v>82.8</v>
      </c>
      <c r="J19" s="11"/>
    </row>
    <row r="20" s="3" customFormat="1" ht="16" customHeight="1" spans="1:10">
      <c r="A20" s="11">
        <v>15</v>
      </c>
      <c r="B20" s="11" t="s">
        <v>91</v>
      </c>
      <c r="C20" s="11"/>
      <c r="D20" s="12" t="s">
        <v>15</v>
      </c>
      <c r="E20" s="12">
        <v>5</v>
      </c>
      <c r="F20" s="13">
        <f t="shared" si="0"/>
        <v>23.5294117647059</v>
      </c>
      <c r="G20" s="14">
        <f t="shared" si="1"/>
        <v>0.85</v>
      </c>
      <c r="H20" s="15">
        <v>20</v>
      </c>
      <c r="I20" s="15">
        <f t="shared" si="2"/>
        <v>100</v>
      </c>
      <c r="J20" s="11"/>
    </row>
    <row r="21" s="3" customFormat="1" customHeight="1" spans="1:10">
      <c r="A21" s="11">
        <v>16</v>
      </c>
      <c r="B21" s="13" t="s">
        <v>58</v>
      </c>
      <c r="C21" s="13" t="s">
        <v>59</v>
      </c>
      <c r="D21" s="13" t="s">
        <v>15</v>
      </c>
      <c r="E21" s="12">
        <v>8</v>
      </c>
      <c r="F21" s="13">
        <f t="shared" si="0"/>
        <v>19.7647058823529</v>
      </c>
      <c r="G21" s="14">
        <f t="shared" si="1"/>
        <v>0.85</v>
      </c>
      <c r="H21" s="15">
        <v>16.8</v>
      </c>
      <c r="I21" s="15">
        <f t="shared" si="2"/>
        <v>134.4</v>
      </c>
      <c r="J21" s="13"/>
    </row>
    <row r="22" s="3" customFormat="1" customHeight="1" spans="1:10">
      <c r="A22" s="11">
        <v>17</v>
      </c>
      <c r="B22" s="11" t="s">
        <v>134</v>
      </c>
      <c r="C22" s="11" t="s">
        <v>135</v>
      </c>
      <c r="D22" s="12" t="s">
        <v>39</v>
      </c>
      <c r="E22" s="12">
        <v>3</v>
      </c>
      <c r="F22" s="13">
        <f t="shared" ref="F22:F27" si="3">H22/0.85</f>
        <v>29.4117647058824</v>
      </c>
      <c r="G22" s="14">
        <f t="shared" ref="G22:G27" si="4">H22/F22</f>
        <v>0.85</v>
      </c>
      <c r="H22" s="15">
        <v>25</v>
      </c>
      <c r="I22" s="15">
        <f t="shared" ref="I22:I27" si="5">E22*H22</f>
        <v>75</v>
      </c>
      <c r="J22" s="13"/>
    </row>
    <row r="23" s="3" customFormat="1" customHeight="1" spans="1:10">
      <c r="A23" s="11">
        <v>18</v>
      </c>
      <c r="B23" s="13" t="s">
        <v>136</v>
      </c>
      <c r="C23" s="13" t="s">
        <v>61</v>
      </c>
      <c r="D23" s="13" t="s">
        <v>15</v>
      </c>
      <c r="E23" s="12">
        <v>2</v>
      </c>
      <c r="F23" s="13">
        <f t="shared" si="3"/>
        <v>17.6470588235294</v>
      </c>
      <c r="G23" s="14">
        <f t="shared" si="4"/>
        <v>0.85</v>
      </c>
      <c r="H23" s="15">
        <v>15</v>
      </c>
      <c r="I23" s="15">
        <f t="shared" si="5"/>
        <v>30</v>
      </c>
      <c r="J23" s="13"/>
    </row>
    <row r="24" s="3" customFormat="1" customHeight="1" spans="1:10">
      <c r="A24" s="11">
        <v>19</v>
      </c>
      <c r="B24" s="13" t="s">
        <v>137</v>
      </c>
      <c r="C24" s="13" t="s">
        <v>138</v>
      </c>
      <c r="D24" s="13" t="s">
        <v>110</v>
      </c>
      <c r="E24" s="12">
        <v>5</v>
      </c>
      <c r="F24" s="13">
        <f t="shared" si="3"/>
        <v>16.2352941176471</v>
      </c>
      <c r="G24" s="14">
        <f t="shared" si="4"/>
        <v>0.85</v>
      </c>
      <c r="H24" s="15">
        <v>13.8</v>
      </c>
      <c r="I24" s="15">
        <f t="shared" si="5"/>
        <v>69</v>
      </c>
      <c r="J24" s="13"/>
    </row>
    <row r="25" s="3" customFormat="1" customHeight="1" spans="1:10">
      <c r="A25" s="11">
        <v>20</v>
      </c>
      <c r="B25" s="13" t="s">
        <v>139</v>
      </c>
      <c r="C25" s="13" t="s">
        <v>140</v>
      </c>
      <c r="D25" s="13" t="s">
        <v>34</v>
      </c>
      <c r="E25" s="12">
        <v>2</v>
      </c>
      <c r="F25" s="13">
        <f t="shared" si="3"/>
        <v>64.7058823529412</v>
      </c>
      <c r="G25" s="14">
        <f t="shared" si="4"/>
        <v>0.85</v>
      </c>
      <c r="H25" s="15">
        <v>55</v>
      </c>
      <c r="I25" s="15">
        <f t="shared" si="5"/>
        <v>110</v>
      </c>
      <c r="J25" s="13"/>
    </row>
    <row r="26" s="3" customFormat="1" customHeight="1" spans="1:10">
      <c r="A26" s="11">
        <v>21</v>
      </c>
      <c r="B26" s="13" t="s">
        <v>65</v>
      </c>
      <c r="C26" s="13" t="s">
        <v>66</v>
      </c>
      <c r="D26" s="13" t="s">
        <v>67</v>
      </c>
      <c r="E26" s="12">
        <v>58</v>
      </c>
      <c r="F26" s="13">
        <f t="shared" si="3"/>
        <v>4.11764705882353</v>
      </c>
      <c r="G26" s="14">
        <f t="shared" si="4"/>
        <v>0.85</v>
      </c>
      <c r="H26" s="15">
        <v>3.5</v>
      </c>
      <c r="I26" s="15">
        <f t="shared" si="5"/>
        <v>203</v>
      </c>
      <c r="J26" s="13"/>
    </row>
    <row r="27" s="3" customFormat="1" customHeight="1" spans="1:10">
      <c r="A27" s="11">
        <v>22</v>
      </c>
      <c r="B27" s="13" t="s">
        <v>31</v>
      </c>
      <c r="C27" s="13"/>
      <c r="D27" s="13" t="s">
        <v>15</v>
      </c>
      <c r="E27" s="12">
        <v>6</v>
      </c>
      <c r="F27" s="13">
        <f t="shared" si="3"/>
        <v>51.7647058823529</v>
      </c>
      <c r="G27" s="14">
        <f t="shared" si="4"/>
        <v>0.85</v>
      </c>
      <c r="H27" s="15">
        <v>44</v>
      </c>
      <c r="I27" s="15">
        <f t="shared" si="5"/>
        <v>264</v>
      </c>
      <c r="J27" s="13"/>
    </row>
    <row r="28" s="3" customFormat="1" customHeight="1" spans="1:10">
      <c r="A28" s="11">
        <v>23</v>
      </c>
      <c r="B28" s="11"/>
      <c r="C28" s="11"/>
      <c r="D28" s="16"/>
      <c r="E28" s="12"/>
      <c r="F28" s="13"/>
      <c r="G28" s="14"/>
      <c r="H28" s="15"/>
      <c r="I28" s="15"/>
      <c r="J28" s="13"/>
    </row>
    <row r="29" s="3" customFormat="1" customHeight="1" spans="1:10">
      <c r="A29" s="11">
        <v>24</v>
      </c>
      <c r="B29" s="11"/>
      <c r="C29" s="11"/>
      <c r="D29" s="16"/>
      <c r="E29" s="12"/>
      <c r="F29" s="13"/>
      <c r="G29" s="14"/>
      <c r="H29" s="15"/>
      <c r="I29" s="15"/>
      <c r="J29" s="13"/>
    </row>
    <row r="30" s="3" customFormat="1" customHeight="1" spans="1:10">
      <c r="A30" s="11">
        <v>25</v>
      </c>
      <c r="B30" s="11"/>
      <c r="C30" s="11"/>
      <c r="D30" s="16"/>
      <c r="E30" s="12"/>
      <c r="F30" s="13"/>
      <c r="G30" s="14"/>
      <c r="H30" s="15"/>
      <c r="I30" s="15"/>
      <c r="J30" s="13"/>
    </row>
    <row r="31" s="3" customFormat="1" customHeight="1" spans="1:10">
      <c r="A31" s="11">
        <v>26</v>
      </c>
      <c r="B31" s="11"/>
      <c r="C31" s="11"/>
      <c r="D31" s="16"/>
      <c r="E31" s="12"/>
      <c r="F31" s="13"/>
      <c r="G31" s="14"/>
      <c r="H31" s="15"/>
      <c r="I31" s="15"/>
      <c r="J31" s="13"/>
    </row>
    <row r="32" s="3" customFormat="1" customHeight="1" spans="1:10">
      <c r="A32" s="11">
        <v>27</v>
      </c>
      <c r="B32" s="11"/>
      <c r="C32" s="11"/>
      <c r="D32" s="16"/>
      <c r="E32" s="12"/>
      <c r="F32" s="13"/>
      <c r="G32" s="14"/>
      <c r="H32" s="15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45</v>
      </c>
      <c r="B34" s="19">
        <f>SUM(I6:I33)</f>
        <v>1929.7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46</v>
      </c>
      <c r="B35" s="22">
        <f>B34</f>
        <v>1929.7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47</v>
      </c>
      <c r="E36" s="4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9" workbookViewId="0">
      <selection activeCell="A24" sqref="$A24:$XFD24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283" width="11.6666666666667" style="3" customWidth="1"/>
    <col min="16284" max="16284" width="11.6666666666667" style="3"/>
    <col min="16285" max="16290" width="11" style="3"/>
    <col min="16291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45344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5</v>
      </c>
      <c r="F6" s="13">
        <f t="shared" ref="F6:F24" si="0">H6/0.85</f>
        <v>3.52941176470588</v>
      </c>
      <c r="G6" s="14">
        <f t="shared" ref="G6:G24" si="1">H6/F6</f>
        <v>0.85</v>
      </c>
      <c r="H6" s="15">
        <v>3</v>
      </c>
      <c r="I6" s="15">
        <f t="shared" ref="I6:I24" si="2">E6*H6</f>
        <v>15</v>
      </c>
      <c r="J6" s="11"/>
    </row>
    <row r="7" s="3" customFormat="1" ht="16" customHeight="1" spans="1:10">
      <c r="A7" s="11">
        <v>2</v>
      </c>
      <c r="B7" s="11" t="s">
        <v>141</v>
      </c>
      <c r="C7" s="11"/>
      <c r="D7" s="12" t="s">
        <v>15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5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17.5</v>
      </c>
      <c r="J8" s="11"/>
    </row>
    <row r="9" s="3" customFormat="1" ht="16" customHeight="1" spans="1:10">
      <c r="A9" s="11">
        <v>4</v>
      </c>
      <c r="B9" s="16" t="s">
        <v>142</v>
      </c>
      <c r="C9" s="16"/>
      <c r="D9" s="12" t="s">
        <v>15</v>
      </c>
      <c r="E9" s="12">
        <v>3</v>
      </c>
      <c r="F9" s="13">
        <f t="shared" si="0"/>
        <v>5.88235294117647</v>
      </c>
      <c r="G9" s="14">
        <f t="shared" si="1"/>
        <v>0.85</v>
      </c>
      <c r="H9" s="15">
        <v>5</v>
      </c>
      <c r="I9" s="15">
        <f t="shared" si="2"/>
        <v>15</v>
      </c>
      <c r="J9" s="11"/>
    </row>
    <row r="10" s="3" customFormat="1" ht="16" customHeight="1" spans="1:10">
      <c r="A10" s="11">
        <v>5</v>
      </c>
      <c r="B10" s="16" t="s">
        <v>18</v>
      </c>
      <c r="C10" s="16"/>
      <c r="D10" s="17" t="s">
        <v>15</v>
      </c>
      <c r="E10" s="17">
        <v>11</v>
      </c>
      <c r="F10" s="13">
        <f t="shared" si="0"/>
        <v>2.35294117647059</v>
      </c>
      <c r="G10" s="14">
        <f t="shared" si="1"/>
        <v>0.85</v>
      </c>
      <c r="H10" s="15">
        <v>2</v>
      </c>
      <c r="I10" s="15">
        <f t="shared" si="2"/>
        <v>22</v>
      </c>
      <c r="J10" s="11"/>
    </row>
    <row r="11" s="3" customFormat="1" ht="16" customHeight="1" spans="1:10">
      <c r="A11" s="11">
        <v>6</v>
      </c>
      <c r="B11" s="16" t="s">
        <v>84</v>
      </c>
      <c r="C11" s="16"/>
      <c r="D11" s="17" t="s">
        <v>15</v>
      </c>
      <c r="E11" s="17">
        <v>2</v>
      </c>
      <c r="F11" s="13">
        <f t="shared" si="0"/>
        <v>8.82352941176471</v>
      </c>
      <c r="G11" s="14">
        <f t="shared" si="1"/>
        <v>0.85</v>
      </c>
      <c r="H11" s="15">
        <v>7.5</v>
      </c>
      <c r="I11" s="15">
        <f t="shared" si="2"/>
        <v>15</v>
      </c>
      <c r="J11" s="11"/>
    </row>
    <row r="12" s="3" customFormat="1" ht="16" customHeight="1" spans="1:10">
      <c r="A12" s="11">
        <v>7</v>
      </c>
      <c r="B12" s="16" t="s">
        <v>50</v>
      </c>
      <c r="C12" s="16"/>
      <c r="D12" s="17" t="s">
        <v>51</v>
      </c>
      <c r="E12" s="17">
        <v>16</v>
      </c>
      <c r="F12" s="13">
        <f t="shared" si="0"/>
        <v>5.29411764705882</v>
      </c>
      <c r="G12" s="14">
        <f t="shared" si="1"/>
        <v>0.85</v>
      </c>
      <c r="H12" s="15">
        <v>4.5</v>
      </c>
      <c r="I12" s="15">
        <f t="shared" si="2"/>
        <v>72</v>
      </c>
      <c r="J12" s="16"/>
    </row>
    <row r="13" s="3" customFormat="1" ht="16" customHeight="1" spans="1:10">
      <c r="A13" s="11">
        <v>8</v>
      </c>
      <c r="B13" s="16" t="s">
        <v>143</v>
      </c>
      <c r="C13" s="16"/>
      <c r="D13" s="17" t="s">
        <v>15</v>
      </c>
      <c r="E13" s="17">
        <v>12</v>
      </c>
      <c r="F13" s="13">
        <f t="shared" si="0"/>
        <v>2.35294117647059</v>
      </c>
      <c r="G13" s="14">
        <f t="shared" si="1"/>
        <v>0.85</v>
      </c>
      <c r="H13" s="15">
        <v>2</v>
      </c>
      <c r="I13" s="15">
        <f t="shared" si="2"/>
        <v>24</v>
      </c>
      <c r="J13" s="16"/>
    </row>
    <row r="14" s="3" customFormat="1" ht="16" customHeight="1" spans="1:10">
      <c r="A14" s="11">
        <v>9</v>
      </c>
      <c r="B14" s="16" t="s">
        <v>115</v>
      </c>
      <c r="C14" s="16"/>
      <c r="D14" s="17" t="s">
        <v>15</v>
      </c>
      <c r="E14" s="17">
        <v>13</v>
      </c>
      <c r="F14" s="13">
        <f t="shared" si="0"/>
        <v>4.11764705882353</v>
      </c>
      <c r="G14" s="14">
        <f t="shared" si="1"/>
        <v>0.85</v>
      </c>
      <c r="H14" s="15">
        <v>3.5</v>
      </c>
      <c r="I14" s="15">
        <f t="shared" si="2"/>
        <v>45.5</v>
      </c>
      <c r="J14" s="16"/>
    </row>
    <row r="15" s="3" customFormat="1" ht="16" customHeight="1" spans="1:10">
      <c r="A15" s="11">
        <v>10</v>
      </c>
      <c r="B15" s="16" t="s">
        <v>144</v>
      </c>
      <c r="C15" s="16"/>
      <c r="D15" s="17" t="s">
        <v>15</v>
      </c>
      <c r="E15" s="17">
        <v>8</v>
      </c>
      <c r="F15" s="13">
        <f t="shared" si="0"/>
        <v>25.8823529411765</v>
      </c>
      <c r="G15" s="14">
        <f t="shared" si="1"/>
        <v>0.85</v>
      </c>
      <c r="H15" s="15">
        <v>22</v>
      </c>
      <c r="I15" s="15">
        <f t="shared" si="2"/>
        <v>176</v>
      </c>
      <c r="J15" s="16"/>
    </row>
    <row r="16" s="3" customFormat="1" ht="16" customHeight="1" spans="1:10">
      <c r="A16" s="11">
        <v>11</v>
      </c>
      <c r="B16" s="11" t="s">
        <v>24</v>
      </c>
      <c r="C16" s="11"/>
      <c r="D16" s="11" t="s">
        <v>15</v>
      </c>
      <c r="E16" s="12">
        <v>12</v>
      </c>
      <c r="F16" s="13">
        <f t="shared" si="0"/>
        <v>16.2352941176471</v>
      </c>
      <c r="G16" s="14">
        <f t="shared" si="1"/>
        <v>0.85</v>
      </c>
      <c r="H16" s="15">
        <v>13.8</v>
      </c>
      <c r="I16" s="15">
        <f t="shared" si="2"/>
        <v>165.6</v>
      </c>
      <c r="J16" s="16"/>
    </row>
    <row r="17" s="3" customFormat="1" ht="16" customHeight="1" spans="1:10">
      <c r="A17" s="11">
        <v>12</v>
      </c>
      <c r="B17" s="11" t="s">
        <v>26</v>
      </c>
      <c r="C17" s="11"/>
      <c r="D17" s="11" t="s">
        <v>15</v>
      </c>
      <c r="E17" s="12">
        <v>8</v>
      </c>
      <c r="F17" s="13">
        <f t="shared" si="0"/>
        <v>32.9411764705882</v>
      </c>
      <c r="G17" s="14">
        <f t="shared" si="1"/>
        <v>0.85</v>
      </c>
      <c r="H17" s="15">
        <v>28</v>
      </c>
      <c r="I17" s="15">
        <f t="shared" si="2"/>
        <v>224</v>
      </c>
      <c r="J17" s="16"/>
    </row>
    <row r="18" s="3" customFormat="1" ht="16" customHeight="1" spans="1:10">
      <c r="A18" s="11">
        <v>13</v>
      </c>
      <c r="B18" s="11" t="s">
        <v>145</v>
      </c>
      <c r="C18" s="11" t="s">
        <v>146</v>
      </c>
      <c r="D18" s="11" t="s">
        <v>34</v>
      </c>
      <c r="E18" s="12">
        <v>1</v>
      </c>
      <c r="F18" s="13">
        <f t="shared" si="0"/>
        <v>411.764705882353</v>
      </c>
      <c r="G18" s="14">
        <f t="shared" si="1"/>
        <v>0.85</v>
      </c>
      <c r="H18" s="15">
        <v>350</v>
      </c>
      <c r="I18" s="15">
        <f t="shared" si="2"/>
        <v>350</v>
      </c>
      <c r="J18" s="11"/>
    </row>
    <row r="19" s="3" customFormat="1" ht="16" customHeight="1" spans="1:10">
      <c r="A19" s="11">
        <v>14</v>
      </c>
      <c r="B19" s="13" t="s">
        <v>147</v>
      </c>
      <c r="C19" s="13" t="s">
        <v>148</v>
      </c>
      <c r="D19" s="13" t="s">
        <v>110</v>
      </c>
      <c r="E19" s="12">
        <v>10</v>
      </c>
      <c r="F19" s="13">
        <f t="shared" si="0"/>
        <v>8</v>
      </c>
      <c r="G19" s="14">
        <f t="shared" si="1"/>
        <v>0.85</v>
      </c>
      <c r="H19" s="15">
        <v>6.8</v>
      </c>
      <c r="I19" s="15">
        <f t="shared" si="2"/>
        <v>68</v>
      </c>
      <c r="J19" s="11"/>
    </row>
    <row r="20" s="3" customFormat="1" ht="16" customHeight="1" spans="1:10">
      <c r="A20" s="11">
        <v>15</v>
      </c>
      <c r="B20" s="13" t="s">
        <v>149</v>
      </c>
      <c r="C20" s="13" t="s">
        <v>150</v>
      </c>
      <c r="D20" s="13" t="s">
        <v>39</v>
      </c>
      <c r="E20" s="12">
        <v>20</v>
      </c>
      <c r="F20" s="13">
        <f t="shared" si="0"/>
        <v>2.35294117647059</v>
      </c>
      <c r="G20" s="14">
        <f t="shared" si="1"/>
        <v>0.85</v>
      </c>
      <c r="H20" s="15">
        <v>2</v>
      </c>
      <c r="I20" s="15">
        <f t="shared" si="2"/>
        <v>40</v>
      </c>
      <c r="J20" s="11"/>
    </row>
    <row r="21" s="3" customFormat="1" ht="16" customHeight="1" spans="1:10">
      <c r="A21" s="11">
        <v>16</v>
      </c>
      <c r="B21" s="11" t="s">
        <v>68</v>
      </c>
      <c r="C21" s="11" t="s">
        <v>69</v>
      </c>
      <c r="D21" s="12" t="s">
        <v>67</v>
      </c>
      <c r="E21" s="12">
        <v>40</v>
      </c>
      <c r="F21" s="13">
        <f t="shared" si="0"/>
        <v>3.76470588235294</v>
      </c>
      <c r="G21" s="14">
        <f t="shared" si="1"/>
        <v>0.85</v>
      </c>
      <c r="H21" s="15">
        <v>3.2</v>
      </c>
      <c r="I21" s="15">
        <f t="shared" si="2"/>
        <v>128</v>
      </c>
      <c r="J21" s="11"/>
    </row>
    <row r="22" s="3" customFormat="1" customHeight="1" spans="1:10">
      <c r="A22" s="11">
        <v>17</v>
      </c>
      <c r="B22" s="13" t="s">
        <v>151</v>
      </c>
      <c r="C22" s="13"/>
      <c r="D22" s="13" t="s">
        <v>15</v>
      </c>
      <c r="E22" s="12">
        <v>7</v>
      </c>
      <c r="F22" s="13">
        <f t="shared" si="0"/>
        <v>11.5294117647059</v>
      </c>
      <c r="G22" s="14">
        <f t="shared" si="1"/>
        <v>0.85</v>
      </c>
      <c r="H22" s="15">
        <v>9.8</v>
      </c>
      <c r="I22" s="15">
        <f t="shared" si="2"/>
        <v>68.6</v>
      </c>
      <c r="J22" s="13"/>
    </row>
    <row r="23" s="3" customFormat="1" customHeight="1" spans="1:10">
      <c r="A23" s="11">
        <v>18</v>
      </c>
      <c r="B23" s="16" t="s">
        <v>92</v>
      </c>
      <c r="C23" s="16"/>
      <c r="D23" s="16" t="s">
        <v>15</v>
      </c>
      <c r="E23" s="17">
        <v>7.3</v>
      </c>
      <c r="F23" s="13">
        <f t="shared" si="0"/>
        <v>44.7058823529412</v>
      </c>
      <c r="G23" s="14">
        <f t="shared" si="1"/>
        <v>0.85</v>
      </c>
      <c r="H23" s="15">
        <v>38</v>
      </c>
      <c r="I23" s="15">
        <f t="shared" si="2"/>
        <v>277.4</v>
      </c>
      <c r="J23" s="13"/>
    </row>
    <row r="24" s="3" customFormat="1" customHeight="1" spans="1:10">
      <c r="A24" s="11">
        <v>20</v>
      </c>
      <c r="B24" s="13"/>
      <c r="C24" s="13"/>
      <c r="D24" s="13"/>
      <c r="E24" s="12"/>
      <c r="F24" s="13"/>
      <c r="G24" s="14"/>
      <c r="H24" s="15"/>
      <c r="I24" s="15"/>
      <c r="J24" s="13"/>
    </row>
    <row r="25" s="3" customFormat="1" customHeight="1" spans="1:10">
      <c r="A25" s="11">
        <v>21</v>
      </c>
      <c r="B25" s="13"/>
      <c r="C25" s="13"/>
      <c r="D25" s="13"/>
      <c r="E25" s="12"/>
      <c r="F25" s="13"/>
      <c r="G25" s="14"/>
      <c r="H25" s="15"/>
      <c r="I25" s="15"/>
      <c r="J25" s="13"/>
    </row>
    <row r="26" s="3" customFormat="1" customHeight="1" spans="1:10">
      <c r="A26" s="11">
        <v>22</v>
      </c>
      <c r="B26" s="13"/>
      <c r="C26" s="13"/>
      <c r="D26" s="13"/>
      <c r="E26" s="12"/>
      <c r="F26" s="13"/>
      <c r="G26" s="14"/>
      <c r="H26" s="15"/>
      <c r="I26" s="15"/>
      <c r="J26" s="13"/>
    </row>
    <row r="27" s="3" customFormat="1" customHeight="1" spans="1:10">
      <c r="A27" s="11">
        <v>23</v>
      </c>
      <c r="B27" s="13"/>
      <c r="C27" s="13"/>
      <c r="D27" s="13"/>
      <c r="E27" s="12"/>
      <c r="F27" s="13"/>
      <c r="G27" s="14"/>
      <c r="H27" s="15"/>
      <c r="I27" s="15"/>
      <c r="J27" s="13"/>
    </row>
    <row r="28" s="3" customFormat="1" customHeight="1" spans="1:10">
      <c r="A28" s="11">
        <v>24</v>
      </c>
      <c r="B28" s="11"/>
      <c r="C28" s="11"/>
      <c r="D28" s="16"/>
      <c r="E28" s="12"/>
      <c r="F28" s="13"/>
      <c r="G28" s="14"/>
      <c r="H28" s="15"/>
      <c r="I28" s="15"/>
      <c r="J28" s="13"/>
    </row>
    <row r="29" s="3" customFormat="1" customHeight="1" spans="1:10">
      <c r="A29" s="11">
        <v>25</v>
      </c>
      <c r="B29" s="11"/>
      <c r="C29" s="11"/>
      <c r="D29" s="16"/>
      <c r="E29" s="12"/>
      <c r="F29" s="13"/>
      <c r="G29" s="14"/>
      <c r="H29" s="15"/>
      <c r="I29" s="15"/>
      <c r="J29" s="13"/>
    </row>
    <row r="30" s="3" customFormat="1" customHeight="1" spans="1:10">
      <c r="A30" s="11">
        <v>26</v>
      </c>
      <c r="B30" s="11"/>
      <c r="C30" s="11"/>
      <c r="D30" s="16"/>
      <c r="E30" s="12"/>
      <c r="F30" s="13"/>
      <c r="G30" s="14"/>
      <c r="H30" s="15"/>
      <c r="I30" s="15"/>
      <c r="J30" s="13"/>
    </row>
    <row r="31" s="3" customFormat="1" customHeight="1" spans="1:10">
      <c r="A31" s="11">
        <v>27</v>
      </c>
      <c r="B31" s="11"/>
      <c r="C31" s="11"/>
      <c r="D31" s="16"/>
      <c r="E31" s="12"/>
      <c r="F31" s="13"/>
      <c r="G31" s="14"/>
      <c r="H31" s="15"/>
      <c r="I31" s="15"/>
      <c r="J31" s="13"/>
    </row>
    <row r="32" s="3" customFormat="1" customHeight="1" spans="1:10">
      <c r="A32" s="11">
        <v>28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 t="s">
        <v>45</v>
      </c>
      <c r="B33" s="19">
        <f>SUM(I6:I32)</f>
        <v>1744.6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46</v>
      </c>
      <c r="B34" s="22">
        <f>B33</f>
        <v>1744.6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47</v>
      </c>
      <c r="E35" s="4"/>
    </row>
  </sheetData>
  <sortState ref="A10:I23">
    <sortCondition ref="A10"/>
  </sortState>
  <mergeCells count="4">
    <mergeCell ref="A1:J1"/>
    <mergeCell ref="B33:J33"/>
    <mergeCell ref="B34:J34"/>
    <mergeCell ref="A35:J35"/>
  </mergeCells>
  <conditionalFormatting sqref="B23:C23">
    <cfRule type="duplicateValues" dxfId="0" priority="4"/>
  </conditionalFormatting>
  <conditionalFormatting sqref="B23">
    <cfRule type="duplicateValues" dxfId="0" priority="3"/>
  </conditionalFormatting>
  <conditionalFormatting sqref="B1:B22 B24:B32 B35:B1048576">
    <cfRule type="duplicateValues" dxfId="0" priority="5"/>
  </conditionalFormatting>
  <conditionalFormatting sqref="B6:C17">
    <cfRule type="duplicateValues" dxfId="0" priority="7"/>
  </conditionalFormatting>
  <conditionalFormatting sqref="B6:B22 B24:B32">
    <cfRule type="duplicateValues" dxfId="0" priority="6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6" workbookViewId="0">
      <selection activeCell="H24" sqref="H24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00" width="11.6666666666667" style="3" customWidth="1"/>
    <col min="16301" max="16301" width="11.6666666666667" style="3"/>
    <col min="16302" max="16307" width="11" style="3"/>
    <col min="16308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45345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16</v>
      </c>
      <c r="C6" s="11"/>
      <c r="D6" s="12" t="s">
        <v>15</v>
      </c>
      <c r="E6" s="12">
        <v>2</v>
      </c>
      <c r="F6" s="13">
        <f t="shared" ref="F6:F25" si="0">H6/0.85</f>
        <v>4.11764705882353</v>
      </c>
      <c r="G6" s="14">
        <f t="shared" ref="G6:G25" si="1">H6/F6</f>
        <v>0.85</v>
      </c>
      <c r="H6" s="15">
        <v>3.5</v>
      </c>
      <c r="I6" s="15">
        <f t="shared" ref="I6:I25" si="2">E6*H6</f>
        <v>7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17.5</v>
      </c>
      <c r="J7" s="11"/>
    </row>
    <row r="8" s="3" customFormat="1" ht="16" customHeight="1" spans="1:10">
      <c r="A8" s="11">
        <v>3</v>
      </c>
      <c r="B8" s="16" t="s">
        <v>83</v>
      </c>
      <c r="C8" s="16"/>
      <c r="D8" s="12" t="s">
        <v>15</v>
      </c>
      <c r="E8" s="12">
        <v>2</v>
      </c>
      <c r="F8" s="13">
        <f t="shared" si="0"/>
        <v>8</v>
      </c>
      <c r="G8" s="14">
        <f t="shared" si="1"/>
        <v>0.85</v>
      </c>
      <c r="H8" s="15">
        <v>6.8</v>
      </c>
      <c r="I8" s="15">
        <f t="shared" si="2"/>
        <v>13.6</v>
      </c>
      <c r="J8" s="11"/>
    </row>
    <row r="9" s="3" customFormat="1" ht="16" customHeight="1" spans="1:10">
      <c r="A9" s="11">
        <v>4</v>
      </c>
      <c r="B9" s="11" t="s">
        <v>74</v>
      </c>
      <c r="C9" s="11"/>
      <c r="D9" s="12" t="s">
        <v>15</v>
      </c>
      <c r="E9" s="12">
        <v>8</v>
      </c>
      <c r="F9" s="13">
        <f t="shared" si="0"/>
        <v>32.9411764705882</v>
      </c>
      <c r="G9" s="14">
        <f t="shared" si="1"/>
        <v>0.85</v>
      </c>
      <c r="H9" s="15">
        <v>28</v>
      </c>
      <c r="I9" s="15">
        <f t="shared" si="2"/>
        <v>224</v>
      </c>
      <c r="J9" s="11"/>
    </row>
    <row r="10" s="3" customFormat="1" ht="16" customHeight="1" spans="1:10">
      <c r="A10" s="11">
        <v>5</v>
      </c>
      <c r="B10" s="16" t="s">
        <v>75</v>
      </c>
      <c r="C10" s="16"/>
      <c r="D10" s="17" t="s">
        <v>15</v>
      </c>
      <c r="E10" s="17">
        <v>5</v>
      </c>
      <c r="F10" s="13">
        <f t="shared" si="0"/>
        <v>9.41176470588235</v>
      </c>
      <c r="G10" s="14">
        <f t="shared" si="1"/>
        <v>0.85</v>
      </c>
      <c r="H10" s="18">
        <v>8</v>
      </c>
      <c r="I10" s="15">
        <f t="shared" si="2"/>
        <v>40</v>
      </c>
      <c r="J10" s="11"/>
    </row>
    <row r="11" s="3" customFormat="1" ht="16" customHeight="1" spans="1:10">
      <c r="A11" s="11">
        <v>6</v>
      </c>
      <c r="B11" s="16" t="s">
        <v>21</v>
      </c>
      <c r="C11" s="16"/>
      <c r="D11" s="17" t="s">
        <v>15</v>
      </c>
      <c r="E11" s="17">
        <v>3</v>
      </c>
      <c r="F11" s="13">
        <f t="shared" si="0"/>
        <v>2.94117647058824</v>
      </c>
      <c r="G11" s="14">
        <f t="shared" si="1"/>
        <v>0.85</v>
      </c>
      <c r="H11" s="18">
        <v>2.5</v>
      </c>
      <c r="I11" s="15">
        <f t="shared" si="2"/>
        <v>7.5</v>
      </c>
      <c r="J11" s="16"/>
    </row>
    <row r="12" s="3" customFormat="1" ht="16" customHeight="1" spans="1:10">
      <c r="A12" s="11">
        <v>7</v>
      </c>
      <c r="B12" s="16" t="s">
        <v>131</v>
      </c>
      <c r="C12" s="16"/>
      <c r="D12" s="17" t="s">
        <v>15</v>
      </c>
      <c r="E12" s="17">
        <v>2</v>
      </c>
      <c r="F12" s="13">
        <f t="shared" si="0"/>
        <v>10.3529411764706</v>
      </c>
      <c r="G12" s="14">
        <f t="shared" si="1"/>
        <v>0.85</v>
      </c>
      <c r="H12" s="18">
        <v>8.8</v>
      </c>
      <c r="I12" s="15">
        <f t="shared" si="2"/>
        <v>17.6</v>
      </c>
      <c r="J12" s="16"/>
    </row>
    <row r="13" s="3" customFormat="1" ht="16" customHeight="1" spans="1:10">
      <c r="A13" s="11">
        <v>8</v>
      </c>
      <c r="B13" s="16" t="s">
        <v>77</v>
      </c>
      <c r="C13" s="16"/>
      <c r="D13" s="17" t="s">
        <v>15</v>
      </c>
      <c r="E13" s="17">
        <v>10</v>
      </c>
      <c r="F13" s="13">
        <f t="shared" si="0"/>
        <v>5.64705882352941</v>
      </c>
      <c r="G13" s="14">
        <f t="shared" si="1"/>
        <v>0.85</v>
      </c>
      <c r="H13" s="18">
        <v>4.8</v>
      </c>
      <c r="I13" s="15">
        <f t="shared" si="2"/>
        <v>48</v>
      </c>
      <c r="J13" s="16"/>
    </row>
    <row r="14" s="3" customFormat="1" ht="16" customHeight="1" spans="1:10">
      <c r="A14" s="11">
        <v>9</v>
      </c>
      <c r="B14" s="11" t="s">
        <v>53</v>
      </c>
      <c r="C14" s="11"/>
      <c r="D14" s="11" t="s">
        <v>15</v>
      </c>
      <c r="E14" s="12">
        <v>3</v>
      </c>
      <c r="F14" s="13">
        <f t="shared" si="0"/>
        <v>11.5294117647059</v>
      </c>
      <c r="G14" s="14">
        <f t="shared" si="1"/>
        <v>0.85</v>
      </c>
      <c r="H14" s="18">
        <v>9.8</v>
      </c>
      <c r="I14" s="15">
        <f t="shared" si="2"/>
        <v>29.4</v>
      </c>
      <c r="J14" s="16"/>
    </row>
    <row r="15" s="3" customFormat="1" ht="16" customHeight="1" spans="1:10">
      <c r="A15" s="11">
        <v>10</v>
      </c>
      <c r="B15" s="11" t="s">
        <v>152</v>
      </c>
      <c r="C15" s="11"/>
      <c r="D15" s="11" t="s">
        <v>15</v>
      </c>
      <c r="E15" s="12">
        <v>11</v>
      </c>
      <c r="F15" s="13">
        <f t="shared" si="0"/>
        <v>4.47058823529412</v>
      </c>
      <c r="G15" s="14">
        <f t="shared" si="1"/>
        <v>0.85</v>
      </c>
      <c r="H15" s="18">
        <v>3.8</v>
      </c>
      <c r="I15" s="15">
        <f t="shared" si="2"/>
        <v>41.8</v>
      </c>
      <c r="J15" s="11"/>
    </row>
    <row r="16" s="3" customFormat="1" ht="16" customHeight="1" spans="1:10">
      <c r="A16" s="11">
        <v>11</v>
      </c>
      <c r="B16" s="13" t="s">
        <v>115</v>
      </c>
      <c r="C16" s="13"/>
      <c r="D16" s="13" t="s">
        <v>15</v>
      </c>
      <c r="E16" s="12">
        <v>5</v>
      </c>
      <c r="F16" s="13">
        <f t="shared" si="0"/>
        <v>4.11764705882353</v>
      </c>
      <c r="G16" s="14">
        <f t="shared" si="1"/>
        <v>0.85</v>
      </c>
      <c r="H16" s="18">
        <v>3.5</v>
      </c>
      <c r="I16" s="15">
        <f t="shared" si="2"/>
        <v>17.5</v>
      </c>
      <c r="J16" s="11"/>
    </row>
    <row r="17" s="3" customFormat="1" ht="16" customHeight="1" spans="1:10">
      <c r="A17" s="11">
        <v>12</v>
      </c>
      <c r="B17" s="13" t="s">
        <v>24</v>
      </c>
      <c r="C17" s="13"/>
      <c r="D17" s="13" t="s">
        <v>15</v>
      </c>
      <c r="E17" s="12">
        <v>8</v>
      </c>
      <c r="F17" s="13">
        <f t="shared" si="0"/>
        <v>16.2352941176471</v>
      </c>
      <c r="G17" s="14">
        <f t="shared" si="1"/>
        <v>0.85</v>
      </c>
      <c r="H17" s="18">
        <v>13.8</v>
      </c>
      <c r="I17" s="15">
        <f t="shared" si="2"/>
        <v>110.4</v>
      </c>
      <c r="J17" s="11"/>
    </row>
    <row r="18" s="3" customFormat="1" customHeight="1" spans="1:10">
      <c r="A18" s="11">
        <v>13</v>
      </c>
      <c r="B18" s="13" t="s">
        <v>153</v>
      </c>
      <c r="C18" s="13"/>
      <c r="D18" s="13" t="s">
        <v>15</v>
      </c>
      <c r="E18" s="12">
        <v>7</v>
      </c>
      <c r="F18" s="13">
        <f t="shared" si="0"/>
        <v>20.5882352941176</v>
      </c>
      <c r="G18" s="14">
        <f t="shared" si="1"/>
        <v>0.85</v>
      </c>
      <c r="H18" s="18">
        <v>17.5</v>
      </c>
      <c r="I18" s="15">
        <f t="shared" si="2"/>
        <v>122.5</v>
      </c>
      <c r="J18" s="13"/>
    </row>
    <row r="19" s="3" customFormat="1" customHeight="1" spans="1:10">
      <c r="A19" s="11">
        <v>14</v>
      </c>
      <c r="B19" s="13" t="s">
        <v>154</v>
      </c>
      <c r="C19" s="13"/>
      <c r="D19" s="13" t="s">
        <v>15</v>
      </c>
      <c r="E19" s="12">
        <v>12</v>
      </c>
      <c r="F19" s="13">
        <f t="shared" si="0"/>
        <v>23.5294117647059</v>
      </c>
      <c r="G19" s="14">
        <f t="shared" si="1"/>
        <v>0.85</v>
      </c>
      <c r="H19" s="18">
        <v>20</v>
      </c>
      <c r="I19" s="15">
        <f t="shared" si="2"/>
        <v>240</v>
      </c>
      <c r="J19" s="13"/>
    </row>
    <row r="20" s="3" customFormat="1" customHeight="1" spans="1:10">
      <c r="A20" s="11">
        <v>15</v>
      </c>
      <c r="B20" s="13" t="s">
        <v>155</v>
      </c>
      <c r="C20" s="13" t="s">
        <v>156</v>
      </c>
      <c r="D20" s="13" t="s">
        <v>39</v>
      </c>
      <c r="E20" s="12">
        <v>14</v>
      </c>
      <c r="F20" s="13">
        <f t="shared" si="0"/>
        <v>11.5294117647059</v>
      </c>
      <c r="G20" s="14">
        <f t="shared" si="1"/>
        <v>0.85</v>
      </c>
      <c r="H20" s="18">
        <v>9.8</v>
      </c>
      <c r="I20" s="15">
        <f t="shared" si="2"/>
        <v>137.2</v>
      </c>
      <c r="J20" s="13"/>
    </row>
    <row r="21" s="3" customFormat="1" customHeight="1" spans="1:10">
      <c r="A21" s="11">
        <v>16</v>
      </c>
      <c r="B21" s="13" t="s">
        <v>65</v>
      </c>
      <c r="C21" s="13" t="s">
        <v>66</v>
      </c>
      <c r="D21" s="13" t="s">
        <v>67</v>
      </c>
      <c r="E21" s="12">
        <v>50</v>
      </c>
      <c r="F21" s="13">
        <f t="shared" si="0"/>
        <v>4.11764705882353</v>
      </c>
      <c r="G21" s="14">
        <f t="shared" si="1"/>
        <v>0.85</v>
      </c>
      <c r="H21" s="18">
        <v>3.5</v>
      </c>
      <c r="I21" s="15">
        <f t="shared" si="2"/>
        <v>175</v>
      </c>
      <c r="J21" s="13"/>
    </row>
    <row r="22" s="3" customFormat="1" customHeight="1" spans="1:10">
      <c r="A22" s="11">
        <v>17</v>
      </c>
      <c r="B22" s="16" t="s">
        <v>81</v>
      </c>
      <c r="C22" s="16"/>
      <c r="D22" s="17" t="s">
        <v>15</v>
      </c>
      <c r="E22" s="17">
        <v>8</v>
      </c>
      <c r="F22" s="13">
        <f t="shared" si="0"/>
        <v>103.529411764706</v>
      </c>
      <c r="G22" s="14">
        <f t="shared" si="1"/>
        <v>0.85</v>
      </c>
      <c r="H22" s="15">
        <v>88</v>
      </c>
      <c r="I22" s="15">
        <f t="shared" si="2"/>
        <v>704</v>
      </c>
      <c r="J22" s="13"/>
    </row>
    <row r="23" s="3" customFormat="1" customHeight="1" spans="1:10">
      <c r="A23" s="11">
        <v>18</v>
      </c>
      <c r="B23" s="13" t="s">
        <v>32</v>
      </c>
      <c r="C23" s="13" t="s">
        <v>33</v>
      </c>
      <c r="D23" s="13" t="s">
        <v>34</v>
      </c>
      <c r="E23" s="12">
        <v>1</v>
      </c>
      <c r="F23" s="13">
        <f t="shared" si="0"/>
        <v>176.470588235294</v>
      </c>
      <c r="G23" s="14">
        <f t="shared" si="1"/>
        <v>0.85</v>
      </c>
      <c r="H23" s="18">
        <v>150</v>
      </c>
      <c r="I23" s="15">
        <f t="shared" si="2"/>
        <v>150</v>
      </c>
      <c r="J23" s="13"/>
    </row>
    <row r="24" s="3" customFormat="1" customHeight="1" spans="1:10">
      <c r="A24" s="11">
        <v>19</v>
      </c>
      <c r="B24" s="16" t="s">
        <v>40</v>
      </c>
      <c r="C24" s="16"/>
      <c r="D24" s="17" t="s">
        <v>15</v>
      </c>
      <c r="E24" s="17">
        <v>16.5</v>
      </c>
      <c r="F24" s="13">
        <f t="shared" si="0"/>
        <v>16.2352941176471</v>
      </c>
      <c r="G24" s="14">
        <f t="shared" si="1"/>
        <v>0.85</v>
      </c>
      <c r="H24" s="15">
        <v>13.8</v>
      </c>
      <c r="I24" s="15">
        <f t="shared" si="2"/>
        <v>227.7</v>
      </c>
      <c r="J24" s="13"/>
    </row>
    <row r="25" s="3" customFormat="1" customHeight="1" spans="1:10">
      <c r="A25" s="11">
        <v>20</v>
      </c>
      <c r="B25" s="13" t="s">
        <v>63</v>
      </c>
      <c r="C25" s="13" t="s">
        <v>64</v>
      </c>
      <c r="D25" s="13" t="s">
        <v>39</v>
      </c>
      <c r="E25" s="12">
        <v>2</v>
      </c>
      <c r="F25" s="13">
        <f t="shared" si="0"/>
        <v>205.882352941176</v>
      </c>
      <c r="G25" s="14">
        <f t="shared" si="1"/>
        <v>0.85</v>
      </c>
      <c r="H25" s="18">
        <v>175</v>
      </c>
      <c r="I25" s="15">
        <f t="shared" si="2"/>
        <v>350</v>
      </c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1"/>
      <c r="C29" s="11"/>
      <c r="D29" s="12"/>
      <c r="E29" s="12"/>
      <c r="F29" s="13"/>
      <c r="G29" s="14"/>
      <c r="H29" s="15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45</v>
      </c>
      <c r="B34" s="19">
        <f>SUM(I6:I33)</f>
        <v>2680.7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46</v>
      </c>
      <c r="B35" s="22">
        <f>B34</f>
        <v>2680.7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47</v>
      </c>
      <c r="E36" s="4"/>
    </row>
  </sheetData>
  <sortState ref="A14:I24">
    <sortCondition ref="A14"/>
  </sortState>
  <mergeCells count="4">
    <mergeCell ref="A1:J1"/>
    <mergeCell ref="B34:J34"/>
    <mergeCell ref="B35:J35"/>
    <mergeCell ref="A36:J36"/>
  </mergeCells>
  <conditionalFormatting sqref="B22:C22">
    <cfRule type="duplicateValues" dxfId="0" priority="8"/>
  </conditionalFormatting>
  <conditionalFormatting sqref="B22">
    <cfRule type="duplicateValues" dxfId="0" priority="7"/>
  </conditionalFormatting>
  <conditionalFormatting sqref="B23">
    <cfRule type="duplicateValues" dxfId="0" priority="6"/>
    <cfRule type="duplicateValues" dxfId="0" priority="5"/>
  </conditionalFormatting>
  <conditionalFormatting sqref="B24:C24">
    <cfRule type="duplicateValues" dxfId="0" priority="4"/>
  </conditionalFormatting>
  <conditionalFormatting sqref="B24">
    <cfRule type="duplicateValues" dxfId="0" priority="3"/>
  </conditionalFormatting>
  <conditionalFormatting sqref="B25">
    <cfRule type="duplicateValues" dxfId="0" priority="2"/>
    <cfRule type="duplicateValues" dxfId="0" priority="1"/>
  </conditionalFormatting>
  <conditionalFormatting sqref="B1:B21 B26:B33 B36:B1048576">
    <cfRule type="duplicateValues" dxfId="0" priority="9"/>
  </conditionalFormatting>
  <conditionalFormatting sqref="B6:C14">
    <cfRule type="duplicateValues" dxfId="0" priority="11"/>
  </conditionalFormatting>
  <conditionalFormatting sqref="B6:B21 B26:B33">
    <cfRule type="duplicateValues" dxfId="0" priority="10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7"/>
  <sheetViews>
    <sheetView topLeftCell="A15" workbookViewId="0">
      <selection activeCell="F23" sqref="F23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6.1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07" width="11.6666666666667" style="3" customWidth="1"/>
    <col min="16308" max="16308" width="11.6666666666667" style="3"/>
    <col min="16309" max="16314" width="11" style="3"/>
    <col min="1631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45348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4</v>
      </c>
      <c r="F6" s="13">
        <f t="shared" ref="F6:F23" si="0">H6/0.85</f>
        <v>3.52941176470588</v>
      </c>
      <c r="G6" s="14">
        <f t="shared" ref="G6:G23" si="1">H6/F6</f>
        <v>0.85</v>
      </c>
      <c r="H6" s="15">
        <v>3</v>
      </c>
      <c r="I6" s="15">
        <f t="shared" ref="I6:I23" si="2">E6*H6</f>
        <v>12</v>
      </c>
      <c r="J6" s="11"/>
    </row>
    <row r="7" s="3" customFormat="1" ht="16" customHeight="1" spans="1:10">
      <c r="A7" s="11">
        <v>2</v>
      </c>
      <c r="B7" s="11" t="s">
        <v>16</v>
      </c>
      <c r="C7" s="11"/>
      <c r="D7" s="12" t="s">
        <v>15</v>
      </c>
      <c r="E7" s="12">
        <v>2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7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7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24.5</v>
      </c>
      <c r="J8" s="11"/>
    </row>
    <row r="9" s="3" customFormat="1" ht="16" customHeight="1" spans="1:10">
      <c r="A9" s="11">
        <v>4</v>
      </c>
      <c r="B9" s="16" t="s">
        <v>21</v>
      </c>
      <c r="C9" s="16"/>
      <c r="D9" s="12" t="s">
        <v>15</v>
      </c>
      <c r="E9" s="12">
        <v>8</v>
      </c>
      <c r="F9" s="13">
        <f t="shared" si="0"/>
        <v>2.94117647058824</v>
      </c>
      <c r="G9" s="14">
        <f t="shared" si="1"/>
        <v>0.85</v>
      </c>
      <c r="H9" s="15">
        <v>2.5</v>
      </c>
      <c r="I9" s="15">
        <f t="shared" si="2"/>
        <v>20</v>
      </c>
      <c r="J9" s="11"/>
    </row>
    <row r="10" s="3" customFormat="1" ht="16" customHeight="1" spans="1:10">
      <c r="A10" s="11">
        <v>5</v>
      </c>
      <c r="B10" s="11" t="s">
        <v>50</v>
      </c>
      <c r="C10" s="11"/>
      <c r="D10" s="12" t="s">
        <v>51</v>
      </c>
      <c r="E10" s="12">
        <v>8</v>
      </c>
      <c r="F10" s="13">
        <f t="shared" si="0"/>
        <v>5.29411764705882</v>
      </c>
      <c r="G10" s="14">
        <f t="shared" si="1"/>
        <v>0.85</v>
      </c>
      <c r="H10" s="15">
        <v>4.5</v>
      </c>
      <c r="I10" s="15">
        <f t="shared" si="2"/>
        <v>36</v>
      </c>
      <c r="J10" s="11"/>
    </row>
    <row r="11" s="3" customFormat="1" ht="16" customHeight="1" spans="1:10">
      <c r="A11" s="11">
        <v>6</v>
      </c>
      <c r="B11" s="11" t="s">
        <v>131</v>
      </c>
      <c r="C11" s="11"/>
      <c r="D11" s="12" t="s">
        <v>15</v>
      </c>
      <c r="E11" s="12">
        <v>8</v>
      </c>
      <c r="F11" s="13">
        <f t="shared" si="0"/>
        <v>10.3529411764706</v>
      </c>
      <c r="G11" s="14">
        <f t="shared" si="1"/>
        <v>0.85</v>
      </c>
      <c r="H11" s="15">
        <v>8.8</v>
      </c>
      <c r="I11" s="15">
        <f t="shared" si="2"/>
        <v>70.4</v>
      </c>
      <c r="J11" s="11"/>
    </row>
    <row r="12" s="3" customFormat="1" ht="16" customHeight="1" spans="1:10">
      <c r="A12" s="11">
        <v>7</v>
      </c>
      <c r="B12" s="16" t="s">
        <v>53</v>
      </c>
      <c r="C12" s="16"/>
      <c r="D12" s="17" t="s">
        <v>15</v>
      </c>
      <c r="E12" s="17">
        <v>4</v>
      </c>
      <c r="F12" s="13">
        <f t="shared" si="0"/>
        <v>11.5294117647059</v>
      </c>
      <c r="G12" s="14">
        <f t="shared" si="1"/>
        <v>0.85</v>
      </c>
      <c r="H12" s="18">
        <v>9.8</v>
      </c>
      <c r="I12" s="15">
        <f t="shared" si="2"/>
        <v>39.2</v>
      </c>
      <c r="J12" s="16"/>
    </row>
    <row r="13" s="3" customFormat="1" ht="16" customHeight="1" spans="1:10">
      <c r="A13" s="11">
        <v>8</v>
      </c>
      <c r="B13" s="16" t="s">
        <v>143</v>
      </c>
      <c r="C13" s="16"/>
      <c r="D13" s="17" t="s">
        <v>15</v>
      </c>
      <c r="E13" s="17">
        <v>12</v>
      </c>
      <c r="F13" s="13">
        <f t="shared" si="0"/>
        <v>2.35294117647059</v>
      </c>
      <c r="G13" s="14">
        <f t="shared" si="1"/>
        <v>0.85</v>
      </c>
      <c r="H13" s="18">
        <v>2</v>
      </c>
      <c r="I13" s="15">
        <f t="shared" si="2"/>
        <v>24</v>
      </c>
      <c r="J13" s="16"/>
    </row>
    <row r="14" s="3" customFormat="1" ht="16" customHeight="1" spans="1:10">
      <c r="A14" s="11">
        <v>9</v>
      </c>
      <c r="B14" s="16" t="s">
        <v>88</v>
      </c>
      <c r="C14" s="16"/>
      <c r="D14" s="17" t="s">
        <v>15</v>
      </c>
      <c r="E14" s="17">
        <v>5.4</v>
      </c>
      <c r="F14" s="13">
        <f t="shared" si="0"/>
        <v>5.64705882352941</v>
      </c>
      <c r="G14" s="14">
        <f t="shared" si="1"/>
        <v>0.85</v>
      </c>
      <c r="H14" s="18">
        <v>4.8</v>
      </c>
      <c r="I14" s="15">
        <f t="shared" si="2"/>
        <v>25.92</v>
      </c>
      <c r="J14" s="16"/>
    </row>
    <row r="15" s="3" customFormat="1" ht="16" customHeight="1" spans="1:10">
      <c r="A15" s="11">
        <v>10</v>
      </c>
      <c r="B15" s="16" t="s">
        <v>114</v>
      </c>
      <c r="C15" s="16"/>
      <c r="D15" s="17" t="s">
        <v>15</v>
      </c>
      <c r="E15" s="17">
        <v>7.7</v>
      </c>
      <c r="F15" s="13">
        <f t="shared" si="0"/>
        <v>5.29411764705882</v>
      </c>
      <c r="G15" s="14">
        <f t="shared" si="1"/>
        <v>0.85</v>
      </c>
      <c r="H15" s="18">
        <v>4.5</v>
      </c>
      <c r="I15" s="15">
        <f t="shared" si="2"/>
        <v>34.65</v>
      </c>
      <c r="J15" s="16"/>
    </row>
    <row r="16" s="3" customFormat="1" ht="16" customHeight="1" spans="1:10">
      <c r="A16" s="11">
        <v>11</v>
      </c>
      <c r="B16" s="16" t="s">
        <v>157</v>
      </c>
      <c r="C16" s="16"/>
      <c r="D16" s="17" t="s">
        <v>15</v>
      </c>
      <c r="E16" s="17">
        <v>7</v>
      </c>
      <c r="F16" s="13">
        <f t="shared" si="0"/>
        <v>8</v>
      </c>
      <c r="G16" s="14">
        <f t="shared" si="1"/>
        <v>0.85</v>
      </c>
      <c r="H16" s="18">
        <v>6.8</v>
      </c>
      <c r="I16" s="15">
        <f t="shared" si="2"/>
        <v>47.6</v>
      </c>
      <c r="J16" s="16"/>
    </row>
    <row r="17" s="3" customFormat="1" ht="16" customHeight="1" spans="1:10">
      <c r="A17" s="11">
        <v>12</v>
      </c>
      <c r="B17" s="11" t="s">
        <v>116</v>
      </c>
      <c r="C17" s="11" t="s">
        <v>117</v>
      </c>
      <c r="D17" s="11" t="s">
        <v>34</v>
      </c>
      <c r="E17" s="12">
        <v>2</v>
      </c>
      <c r="F17" s="13">
        <f t="shared" si="0"/>
        <v>352.941176470588</v>
      </c>
      <c r="G17" s="14">
        <f t="shared" si="1"/>
        <v>0.85</v>
      </c>
      <c r="H17" s="18">
        <v>300</v>
      </c>
      <c r="I17" s="15">
        <f t="shared" si="2"/>
        <v>600</v>
      </c>
      <c r="J17" s="16"/>
    </row>
    <row r="18" s="3" customFormat="1" ht="16" customHeight="1" spans="1:10">
      <c r="A18" s="11"/>
      <c r="B18" s="13" t="s">
        <v>70</v>
      </c>
      <c r="C18" s="13"/>
      <c r="D18" s="13" t="s">
        <v>15</v>
      </c>
      <c r="E18" s="12">
        <v>5</v>
      </c>
      <c r="F18" s="13">
        <f t="shared" si="0"/>
        <v>56.4705882352941</v>
      </c>
      <c r="G18" s="14">
        <f t="shared" si="1"/>
        <v>0.85</v>
      </c>
      <c r="H18" s="18">
        <v>48</v>
      </c>
      <c r="I18" s="15">
        <f t="shared" si="2"/>
        <v>240</v>
      </c>
      <c r="J18" s="16"/>
    </row>
    <row r="19" s="3" customFormat="1" ht="16" customHeight="1" spans="1:10">
      <c r="A19" s="11">
        <v>13</v>
      </c>
      <c r="B19" s="13" t="s">
        <v>70</v>
      </c>
      <c r="C19" s="13"/>
      <c r="D19" s="13" t="s">
        <v>15</v>
      </c>
      <c r="E19" s="12">
        <v>7</v>
      </c>
      <c r="F19" s="13">
        <f t="shared" si="0"/>
        <v>56.4705882352941</v>
      </c>
      <c r="G19" s="14">
        <f t="shared" si="1"/>
        <v>0.85</v>
      </c>
      <c r="H19" s="18">
        <v>48</v>
      </c>
      <c r="I19" s="15">
        <f t="shared" si="2"/>
        <v>336</v>
      </c>
      <c r="J19" s="11"/>
    </row>
    <row r="20" s="3" customFormat="1" ht="16" customHeight="1" spans="1:10">
      <c r="A20" s="11">
        <v>14</v>
      </c>
      <c r="B20" s="13" t="s">
        <v>24</v>
      </c>
      <c r="C20" s="13"/>
      <c r="D20" s="13" t="s">
        <v>15</v>
      </c>
      <c r="E20" s="12">
        <v>3</v>
      </c>
      <c r="F20" s="13">
        <f t="shared" ref="F20:F27" si="3">H20/0.85</f>
        <v>16.2352941176471</v>
      </c>
      <c r="G20" s="14">
        <f t="shared" ref="G20:G27" si="4">H20/F20</f>
        <v>0.85</v>
      </c>
      <c r="H20" s="18">
        <v>13.8</v>
      </c>
      <c r="I20" s="15">
        <f t="shared" ref="I20:I27" si="5">E20*H20</f>
        <v>41.4</v>
      </c>
      <c r="J20" s="11"/>
    </row>
    <row r="21" s="3" customFormat="1" customHeight="1" spans="1:10">
      <c r="A21" s="11">
        <v>15</v>
      </c>
      <c r="B21" s="13" t="s">
        <v>126</v>
      </c>
      <c r="C21" s="13" t="s">
        <v>61</v>
      </c>
      <c r="D21" s="13" t="s">
        <v>15</v>
      </c>
      <c r="E21" s="12">
        <v>1</v>
      </c>
      <c r="F21" s="13">
        <f t="shared" si="3"/>
        <v>29.4117647058824</v>
      </c>
      <c r="G21" s="14">
        <f t="shared" si="4"/>
        <v>0.85</v>
      </c>
      <c r="H21" s="18">
        <v>25</v>
      </c>
      <c r="I21" s="15">
        <f t="shared" si="5"/>
        <v>25</v>
      </c>
      <c r="J21" s="13"/>
    </row>
    <row r="22" s="3" customFormat="1" customHeight="1" spans="1:10">
      <c r="A22" s="11">
        <v>16</v>
      </c>
      <c r="B22" s="13" t="s">
        <v>68</v>
      </c>
      <c r="C22" s="13" t="s">
        <v>69</v>
      </c>
      <c r="D22" s="13" t="s">
        <v>67</v>
      </c>
      <c r="E22" s="12">
        <v>56</v>
      </c>
      <c r="F22" s="13">
        <f t="shared" si="3"/>
        <v>3.76470588235294</v>
      </c>
      <c r="G22" s="14">
        <f t="shared" si="4"/>
        <v>0.85</v>
      </c>
      <c r="H22" s="18">
        <v>3.2</v>
      </c>
      <c r="I22" s="15">
        <f t="shared" si="5"/>
        <v>179.2</v>
      </c>
      <c r="J22" s="13"/>
    </row>
    <row r="23" s="3" customFormat="1" customHeight="1" spans="1:10">
      <c r="A23" s="11">
        <v>17</v>
      </c>
      <c r="B23" s="13" t="s">
        <v>154</v>
      </c>
      <c r="C23" s="13"/>
      <c r="D23" s="13" t="s">
        <v>15</v>
      </c>
      <c r="E23" s="12">
        <v>6</v>
      </c>
      <c r="F23" s="13">
        <f t="shared" si="3"/>
        <v>23.5294117647059</v>
      </c>
      <c r="G23" s="14">
        <f t="shared" si="4"/>
        <v>0.85</v>
      </c>
      <c r="H23" s="18">
        <v>20</v>
      </c>
      <c r="I23" s="15">
        <f t="shared" si="5"/>
        <v>120</v>
      </c>
      <c r="J23" s="13"/>
    </row>
    <row r="24" s="3" customFormat="1" customHeight="1" spans="1:10">
      <c r="A24" s="11">
        <v>18</v>
      </c>
      <c r="B24" s="13" t="s">
        <v>82</v>
      </c>
      <c r="C24" s="13"/>
      <c r="D24" s="13" t="s">
        <v>15</v>
      </c>
      <c r="E24" s="12">
        <v>5</v>
      </c>
      <c r="F24" s="13">
        <f t="shared" si="3"/>
        <v>103.529411764706</v>
      </c>
      <c r="G24" s="14">
        <f t="shared" si="4"/>
        <v>0.85</v>
      </c>
      <c r="H24" s="18">
        <v>88</v>
      </c>
      <c r="I24" s="15">
        <f t="shared" si="5"/>
        <v>440</v>
      </c>
      <c r="J24" s="13"/>
    </row>
    <row r="25" s="3" customFormat="1" customHeight="1" spans="1:10">
      <c r="A25" s="11">
        <v>19</v>
      </c>
      <c r="B25" s="16" t="s">
        <v>92</v>
      </c>
      <c r="C25" s="16"/>
      <c r="D25" s="16" t="s">
        <v>15</v>
      </c>
      <c r="E25" s="17">
        <v>7.4</v>
      </c>
      <c r="F25" s="13">
        <f t="shared" si="3"/>
        <v>44.7058823529412</v>
      </c>
      <c r="G25" s="14">
        <f t="shared" si="4"/>
        <v>0.85</v>
      </c>
      <c r="H25" s="15">
        <v>38</v>
      </c>
      <c r="I25" s="15">
        <f t="shared" si="5"/>
        <v>281.2</v>
      </c>
      <c r="J25" s="13"/>
    </row>
    <row r="26" s="3" customFormat="1" customHeight="1" spans="1:10">
      <c r="A26" s="11">
        <v>20</v>
      </c>
      <c r="B26" s="13" t="s">
        <v>35</v>
      </c>
      <c r="C26" s="13" t="s">
        <v>36</v>
      </c>
      <c r="D26" s="13" t="s">
        <v>34</v>
      </c>
      <c r="E26" s="12">
        <v>2</v>
      </c>
      <c r="F26" s="13">
        <f t="shared" si="3"/>
        <v>411.764705882353</v>
      </c>
      <c r="G26" s="14">
        <f t="shared" si="4"/>
        <v>0.85</v>
      </c>
      <c r="H26" s="18">
        <v>350</v>
      </c>
      <c r="I26" s="15">
        <f t="shared" si="5"/>
        <v>700</v>
      </c>
      <c r="J26" s="13"/>
    </row>
    <row r="27" s="3" customFormat="1" customHeight="1" spans="1:10">
      <c r="A27" s="11">
        <v>21</v>
      </c>
      <c r="B27" s="13" t="s">
        <v>37</v>
      </c>
      <c r="C27" s="13" t="s">
        <v>38</v>
      </c>
      <c r="D27" s="13" t="s">
        <v>39</v>
      </c>
      <c r="E27" s="12">
        <v>1</v>
      </c>
      <c r="F27" s="13">
        <f t="shared" si="3"/>
        <v>174.117647058824</v>
      </c>
      <c r="G27" s="14">
        <f t="shared" si="4"/>
        <v>0.85</v>
      </c>
      <c r="H27" s="18">
        <v>148</v>
      </c>
      <c r="I27" s="15">
        <f t="shared" si="5"/>
        <v>148</v>
      </c>
      <c r="J27" s="13"/>
    </row>
    <row r="28" s="3" customFormat="1" customHeight="1" spans="1:10">
      <c r="A28" s="11">
        <v>22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23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24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25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26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27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>
        <v>28</v>
      </c>
      <c r="B34" s="13"/>
      <c r="C34" s="13"/>
      <c r="D34" s="13"/>
      <c r="E34" s="12"/>
      <c r="F34" s="13"/>
      <c r="G34" s="14"/>
      <c r="H34" s="18"/>
      <c r="I34" s="15"/>
      <c r="J34" s="13"/>
    </row>
    <row r="35" s="3" customFormat="1" customHeight="1" spans="1:10">
      <c r="A35" s="11" t="s">
        <v>45</v>
      </c>
      <c r="B35" s="19">
        <f>SUM(I6:I34)</f>
        <v>3452.07</v>
      </c>
      <c r="C35" s="20"/>
      <c r="D35" s="20"/>
      <c r="E35" s="21"/>
      <c r="F35" s="20"/>
      <c r="G35" s="20"/>
      <c r="H35" s="20"/>
      <c r="I35" s="20"/>
      <c r="J35" s="24"/>
    </row>
    <row r="36" s="3" customFormat="1" customHeight="1" spans="1:10">
      <c r="A36" s="11" t="s">
        <v>46</v>
      </c>
      <c r="B36" s="22">
        <f>B35</f>
        <v>3452.07</v>
      </c>
      <c r="C36" s="23"/>
      <c r="D36" s="23"/>
      <c r="E36" s="21"/>
      <c r="F36" s="23"/>
      <c r="G36" s="23"/>
      <c r="H36" s="23"/>
      <c r="I36" s="23"/>
      <c r="J36" s="25"/>
    </row>
    <row r="37" s="3" customFormat="1" customHeight="1" spans="1:5">
      <c r="A37" s="3" t="s">
        <v>47</v>
      </c>
      <c r="E37" s="4"/>
    </row>
  </sheetData>
  <sortState ref="A18:I24">
    <sortCondition ref="A18"/>
  </sortState>
  <mergeCells count="4">
    <mergeCell ref="A1:J1"/>
    <mergeCell ref="B35:J35"/>
    <mergeCell ref="B36:J36"/>
    <mergeCell ref="A37:J37"/>
  </mergeCells>
  <conditionalFormatting sqref="B18">
    <cfRule type="duplicateValues" dxfId="0" priority="8"/>
    <cfRule type="duplicateValues" dxfId="0" priority="7"/>
  </conditionalFormatting>
  <conditionalFormatting sqref="B23">
    <cfRule type="duplicateValues" dxfId="0" priority="9"/>
    <cfRule type="duplicateValues" dxfId="0" priority="10"/>
  </conditionalFormatting>
  <conditionalFormatting sqref="B25:C25">
    <cfRule type="duplicateValues" dxfId="0" priority="6"/>
  </conditionalFormatting>
  <conditionalFormatting sqref="B25">
    <cfRule type="duplicateValues" dxfId="0" priority="5"/>
  </conditionalFormatting>
  <conditionalFormatting sqref="B26">
    <cfRule type="duplicateValues" dxfId="0" priority="4"/>
    <cfRule type="duplicateValues" dxfId="0" priority="3"/>
  </conditionalFormatting>
  <conditionalFormatting sqref="B27">
    <cfRule type="duplicateValues" dxfId="0" priority="2"/>
    <cfRule type="duplicateValues" dxfId="0" priority="1"/>
  </conditionalFormatting>
  <conditionalFormatting sqref="B1:B17 B19:B22 B37:B1048576 B24 B28:B34">
    <cfRule type="duplicateValues" dxfId="0" priority="11"/>
  </conditionalFormatting>
  <conditionalFormatting sqref="B6:C17">
    <cfRule type="duplicateValues" dxfId="0" priority="13"/>
  </conditionalFormatting>
  <conditionalFormatting sqref="B6:B17 B19:B22 B24 B28:B34">
    <cfRule type="duplicateValues" dxfId="0" priority="12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4" workbookViewId="0">
      <selection activeCell="H19" sqref="H19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297" width="11.6666666666667" style="3" customWidth="1"/>
    <col min="16298" max="16298" width="11.6666666666667" style="3"/>
    <col min="16299" max="16304" width="11" style="3"/>
    <col min="1630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45349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5</v>
      </c>
      <c r="F6" s="13">
        <f t="shared" ref="F6:F26" si="0">H6/0.85</f>
        <v>3.52941176470588</v>
      </c>
      <c r="G6" s="14">
        <f t="shared" ref="G6:G26" si="1">H6/F6</f>
        <v>0.85</v>
      </c>
      <c r="H6" s="15">
        <v>3</v>
      </c>
      <c r="I6" s="15">
        <f t="shared" ref="I6:I26" si="2">E6*H6</f>
        <v>15</v>
      </c>
      <c r="J6" s="11"/>
    </row>
    <row r="7" s="3" customFormat="1" ht="16" customHeight="1" spans="1:10">
      <c r="A7" s="11">
        <v>2</v>
      </c>
      <c r="B7" s="11" t="s">
        <v>73</v>
      </c>
      <c r="C7" s="11" t="s">
        <v>61</v>
      </c>
      <c r="D7" s="12" t="s">
        <v>15</v>
      </c>
      <c r="E7" s="12">
        <v>10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35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6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21</v>
      </c>
      <c r="J8" s="11"/>
    </row>
    <row r="9" s="3" customFormat="1" ht="16" customHeight="1" spans="1:10">
      <c r="A9" s="11">
        <v>4</v>
      </c>
      <c r="B9" s="16" t="s">
        <v>158</v>
      </c>
      <c r="C9" s="16"/>
      <c r="D9" s="12" t="s">
        <v>15</v>
      </c>
      <c r="E9" s="12">
        <v>8</v>
      </c>
      <c r="F9" s="13">
        <f t="shared" si="0"/>
        <v>6.82352941176471</v>
      </c>
      <c r="G9" s="14">
        <f t="shared" si="1"/>
        <v>0.85</v>
      </c>
      <c r="H9" s="15">
        <v>5.8</v>
      </c>
      <c r="I9" s="15">
        <f t="shared" si="2"/>
        <v>46.4</v>
      </c>
      <c r="J9" s="11"/>
    </row>
    <row r="10" s="3" customFormat="1" ht="16" customHeight="1" spans="1:10">
      <c r="A10" s="11">
        <v>5</v>
      </c>
      <c r="B10" s="11" t="s">
        <v>95</v>
      </c>
      <c r="C10" s="11"/>
      <c r="D10" s="12" t="s">
        <v>15</v>
      </c>
      <c r="E10" s="12">
        <v>5</v>
      </c>
      <c r="F10" s="13">
        <f t="shared" si="0"/>
        <v>15.0588235294118</v>
      </c>
      <c r="G10" s="14">
        <f t="shared" si="1"/>
        <v>0.85</v>
      </c>
      <c r="H10" s="15">
        <v>12.8</v>
      </c>
      <c r="I10" s="15">
        <f t="shared" si="2"/>
        <v>64</v>
      </c>
      <c r="J10" s="11"/>
    </row>
    <row r="11" s="3" customFormat="1" ht="16" customHeight="1" spans="1:10">
      <c r="A11" s="11">
        <v>6</v>
      </c>
      <c r="B11" s="16" t="s">
        <v>83</v>
      </c>
      <c r="C11" s="16"/>
      <c r="D11" s="17" t="s">
        <v>15</v>
      </c>
      <c r="E11" s="17">
        <v>2</v>
      </c>
      <c r="F11" s="13">
        <f t="shared" si="0"/>
        <v>8</v>
      </c>
      <c r="G11" s="14">
        <f t="shared" si="1"/>
        <v>0.85</v>
      </c>
      <c r="H11" s="18">
        <v>6.8</v>
      </c>
      <c r="I11" s="15">
        <f t="shared" si="2"/>
        <v>13.6</v>
      </c>
      <c r="J11" s="16"/>
    </row>
    <row r="12" s="3" customFormat="1" ht="16" customHeight="1" spans="1:10">
      <c r="A12" s="11">
        <v>7</v>
      </c>
      <c r="B12" s="16" t="s">
        <v>159</v>
      </c>
      <c r="C12" s="16"/>
      <c r="D12" s="17" t="s">
        <v>15</v>
      </c>
      <c r="E12" s="17">
        <v>12</v>
      </c>
      <c r="F12" s="13">
        <f t="shared" si="0"/>
        <v>10.5882352941176</v>
      </c>
      <c r="G12" s="14">
        <f t="shared" si="1"/>
        <v>0.85</v>
      </c>
      <c r="H12" s="18">
        <v>9</v>
      </c>
      <c r="I12" s="15">
        <f t="shared" si="2"/>
        <v>108</v>
      </c>
      <c r="J12" s="16"/>
    </row>
    <row r="13" s="3" customFormat="1" ht="16" customHeight="1" spans="1:10">
      <c r="A13" s="11">
        <v>8</v>
      </c>
      <c r="B13" s="16" t="s">
        <v>18</v>
      </c>
      <c r="C13" s="16"/>
      <c r="D13" s="17" t="s">
        <v>15</v>
      </c>
      <c r="E13" s="17">
        <v>6</v>
      </c>
      <c r="F13" s="13">
        <f t="shared" si="0"/>
        <v>2.35294117647059</v>
      </c>
      <c r="G13" s="14">
        <f t="shared" si="1"/>
        <v>0.85</v>
      </c>
      <c r="H13" s="18">
        <v>2</v>
      </c>
      <c r="I13" s="15">
        <f t="shared" si="2"/>
        <v>12</v>
      </c>
      <c r="J13" s="16"/>
    </row>
    <row r="14" s="3" customFormat="1" ht="16" customHeight="1" spans="1:10">
      <c r="A14" s="11">
        <v>9</v>
      </c>
      <c r="B14" s="11" t="s">
        <v>19</v>
      </c>
      <c r="C14" s="11"/>
      <c r="D14" s="16" t="s">
        <v>15</v>
      </c>
      <c r="E14" s="12">
        <v>15</v>
      </c>
      <c r="F14" s="13">
        <f t="shared" si="0"/>
        <v>6.82352941176471</v>
      </c>
      <c r="G14" s="14">
        <f t="shared" si="1"/>
        <v>0.85</v>
      </c>
      <c r="H14" s="18">
        <v>5.8</v>
      </c>
      <c r="I14" s="15">
        <f t="shared" si="2"/>
        <v>87</v>
      </c>
      <c r="J14" s="16"/>
    </row>
    <row r="15" s="3" customFormat="1" ht="16" customHeight="1" spans="1:10">
      <c r="A15" s="11">
        <v>10</v>
      </c>
      <c r="B15" s="11" t="s">
        <v>84</v>
      </c>
      <c r="C15" s="11"/>
      <c r="D15" s="11" t="s">
        <v>15</v>
      </c>
      <c r="E15" s="12">
        <v>2</v>
      </c>
      <c r="F15" s="13">
        <f t="shared" si="0"/>
        <v>8.82352941176471</v>
      </c>
      <c r="G15" s="14">
        <f t="shared" si="1"/>
        <v>0.85</v>
      </c>
      <c r="H15" s="18">
        <v>7.5</v>
      </c>
      <c r="I15" s="15">
        <f t="shared" si="2"/>
        <v>15</v>
      </c>
      <c r="J15" s="16"/>
    </row>
    <row r="16" s="3" customFormat="1" ht="16" customHeight="1" spans="1:10">
      <c r="A16" s="11">
        <v>11</v>
      </c>
      <c r="B16" s="13" t="s">
        <v>79</v>
      </c>
      <c r="C16" s="13"/>
      <c r="D16" s="13" t="s">
        <v>15</v>
      </c>
      <c r="E16" s="12">
        <v>1</v>
      </c>
      <c r="F16" s="13">
        <f t="shared" si="0"/>
        <v>7.05882352941176</v>
      </c>
      <c r="G16" s="14">
        <f t="shared" si="1"/>
        <v>0.85</v>
      </c>
      <c r="H16" s="18">
        <v>6</v>
      </c>
      <c r="I16" s="15">
        <f t="shared" si="2"/>
        <v>6</v>
      </c>
      <c r="J16" s="11"/>
    </row>
    <row r="17" s="3" customFormat="1" ht="16" customHeight="1" spans="1:10">
      <c r="A17" s="11">
        <v>12</v>
      </c>
      <c r="B17" s="13" t="s">
        <v>80</v>
      </c>
      <c r="C17" s="13"/>
      <c r="D17" s="13" t="s">
        <v>15</v>
      </c>
      <c r="E17" s="12">
        <v>12</v>
      </c>
      <c r="F17" s="13">
        <f t="shared" si="0"/>
        <v>5.29411764705882</v>
      </c>
      <c r="G17" s="14">
        <f t="shared" si="1"/>
        <v>0.85</v>
      </c>
      <c r="H17" s="18">
        <v>4.5</v>
      </c>
      <c r="I17" s="15">
        <f t="shared" si="2"/>
        <v>54</v>
      </c>
      <c r="J17" s="11"/>
    </row>
    <row r="18" s="3" customFormat="1" customHeight="1" spans="1:10">
      <c r="A18" s="11">
        <v>13</v>
      </c>
      <c r="B18" s="13" t="s">
        <v>160</v>
      </c>
      <c r="C18" s="13"/>
      <c r="D18" s="13" t="s">
        <v>15</v>
      </c>
      <c r="E18" s="12">
        <v>6</v>
      </c>
      <c r="F18" s="13">
        <f t="shared" si="0"/>
        <v>16.2352941176471</v>
      </c>
      <c r="G18" s="14">
        <f t="shared" si="1"/>
        <v>0.85</v>
      </c>
      <c r="H18" s="18">
        <v>13.8</v>
      </c>
      <c r="I18" s="15">
        <f t="shared" si="2"/>
        <v>82.8</v>
      </c>
      <c r="J18" s="13"/>
    </row>
    <row r="19" s="3" customFormat="1" customHeight="1" spans="1:10">
      <c r="A19" s="11">
        <v>14</v>
      </c>
      <c r="B19" s="13" t="s">
        <v>91</v>
      </c>
      <c r="C19" s="13"/>
      <c r="D19" s="13" t="s">
        <v>15</v>
      </c>
      <c r="E19" s="12">
        <v>5</v>
      </c>
      <c r="F19" s="13">
        <f t="shared" si="0"/>
        <v>23.5294117647059</v>
      </c>
      <c r="G19" s="14">
        <f t="shared" si="1"/>
        <v>0.85</v>
      </c>
      <c r="H19" s="18">
        <v>20</v>
      </c>
      <c r="I19" s="15">
        <f t="shared" si="2"/>
        <v>100</v>
      </c>
      <c r="J19" s="13"/>
    </row>
    <row r="20" s="3" customFormat="1" customHeight="1" spans="1:10">
      <c r="A20" s="11">
        <v>15</v>
      </c>
      <c r="B20" s="13" t="s">
        <v>153</v>
      </c>
      <c r="C20" s="13"/>
      <c r="D20" s="13" t="s">
        <v>15</v>
      </c>
      <c r="E20" s="12">
        <v>7</v>
      </c>
      <c r="F20" s="13">
        <f t="shared" si="0"/>
        <v>20.5882352941176</v>
      </c>
      <c r="G20" s="14">
        <f t="shared" si="1"/>
        <v>0.85</v>
      </c>
      <c r="H20" s="18">
        <v>17.5</v>
      </c>
      <c r="I20" s="15">
        <f t="shared" si="2"/>
        <v>122.5</v>
      </c>
      <c r="J20" s="13"/>
    </row>
    <row r="21" s="3" customFormat="1" customHeight="1" spans="1:10">
      <c r="A21" s="11">
        <v>16</v>
      </c>
      <c r="B21" s="13" t="s">
        <v>44</v>
      </c>
      <c r="C21" s="13"/>
      <c r="D21" s="13" t="s">
        <v>15</v>
      </c>
      <c r="E21" s="12">
        <v>6</v>
      </c>
      <c r="F21" s="13">
        <f t="shared" si="0"/>
        <v>32.9411764705882</v>
      </c>
      <c r="G21" s="14">
        <f t="shared" si="1"/>
        <v>0.85</v>
      </c>
      <c r="H21" s="18">
        <v>28</v>
      </c>
      <c r="I21" s="15">
        <f t="shared" si="2"/>
        <v>168</v>
      </c>
      <c r="J21" s="13"/>
    </row>
    <row r="22" s="3" customFormat="1" customHeight="1" spans="1:10">
      <c r="A22" s="11">
        <v>17</v>
      </c>
      <c r="B22" s="13" t="s">
        <v>100</v>
      </c>
      <c r="C22" s="13"/>
      <c r="D22" s="13" t="s">
        <v>15</v>
      </c>
      <c r="E22" s="12">
        <v>3</v>
      </c>
      <c r="F22" s="13">
        <f t="shared" si="0"/>
        <v>8</v>
      </c>
      <c r="G22" s="14">
        <f t="shared" si="1"/>
        <v>0.85</v>
      </c>
      <c r="H22" s="18">
        <v>6.8</v>
      </c>
      <c r="I22" s="15">
        <f t="shared" si="2"/>
        <v>20.4</v>
      </c>
      <c r="J22" s="13"/>
    </row>
    <row r="23" s="3" customFormat="1" customHeight="1" spans="1:10">
      <c r="A23" s="11">
        <v>18</v>
      </c>
      <c r="B23" s="16" t="s">
        <v>161</v>
      </c>
      <c r="C23" s="16" t="s">
        <v>162</v>
      </c>
      <c r="D23" s="17" t="s">
        <v>163</v>
      </c>
      <c r="E23" s="17">
        <v>1</v>
      </c>
      <c r="F23" s="13">
        <f t="shared" si="0"/>
        <v>47.0588235294118</v>
      </c>
      <c r="G23" s="14">
        <f t="shared" si="1"/>
        <v>0.85</v>
      </c>
      <c r="H23" s="18">
        <v>40</v>
      </c>
      <c r="I23" s="15">
        <f t="shared" si="2"/>
        <v>40</v>
      </c>
      <c r="J23" s="13"/>
    </row>
    <row r="24" s="3" customFormat="1" customHeight="1" spans="1:10">
      <c r="A24" s="11">
        <v>19</v>
      </c>
      <c r="B24" s="13" t="s">
        <v>63</v>
      </c>
      <c r="C24" s="13" t="s">
        <v>64</v>
      </c>
      <c r="D24" s="13" t="s">
        <v>39</v>
      </c>
      <c r="E24" s="12">
        <v>2</v>
      </c>
      <c r="F24" s="13">
        <f t="shared" si="0"/>
        <v>205.882352941176</v>
      </c>
      <c r="G24" s="14">
        <f t="shared" si="1"/>
        <v>0.85</v>
      </c>
      <c r="H24" s="18">
        <v>175</v>
      </c>
      <c r="I24" s="15">
        <f t="shared" si="2"/>
        <v>350</v>
      </c>
      <c r="J24" s="13"/>
    </row>
    <row r="25" s="3" customFormat="1" customHeight="1" spans="1:10">
      <c r="A25" s="11">
        <v>20</v>
      </c>
      <c r="B25" s="16" t="s">
        <v>65</v>
      </c>
      <c r="C25" s="16" t="s">
        <v>66</v>
      </c>
      <c r="D25" s="17" t="s">
        <v>67</v>
      </c>
      <c r="E25" s="17">
        <v>50</v>
      </c>
      <c r="F25" s="13">
        <f t="shared" si="0"/>
        <v>4.11764705882353</v>
      </c>
      <c r="G25" s="14">
        <f t="shared" si="1"/>
        <v>0.85</v>
      </c>
      <c r="H25" s="18">
        <v>3.5</v>
      </c>
      <c r="I25" s="15">
        <f t="shared" si="2"/>
        <v>175</v>
      </c>
      <c r="J25" s="13"/>
    </row>
    <row r="26" s="3" customFormat="1" customHeight="1" spans="1:10">
      <c r="A26" s="11">
        <v>21</v>
      </c>
      <c r="B26" s="11" t="s">
        <v>41</v>
      </c>
      <c r="C26" s="11" t="s">
        <v>42</v>
      </c>
      <c r="D26" s="11" t="s">
        <v>34</v>
      </c>
      <c r="E26" s="12">
        <v>2</v>
      </c>
      <c r="F26" s="13">
        <f t="shared" si="0"/>
        <v>98.8235294117647</v>
      </c>
      <c r="G26" s="14">
        <f t="shared" si="1"/>
        <v>0.85</v>
      </c>
      <c r="H26" s="18">
        <v>84</v>
      </c>
      <c r="I26" s="15">
        <f t="shared" si="2"/>
        <v>168</v>
      </c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45</v>
      </c>
      <c r="B34" s="19">
        <f>SUM(I6:I33)</f>
        <v>1703.7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46</v>
      </c>
      <c r="B35" s="22">
        <f>B34</f>
        <v>1703.7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47</v>
      </c>
      <c r="E36" s="4"/>
    </row>
  </sheetData>
  <mergeCells count="4">
    <mergeCell ref="A1:J1"/>
    <mergeCell ref="B34:J34"/>
    <mergeCell ref="B35:J35"/>
    <mergeCell ref="A36:J36"/>
  </mergeCells>
  <conditionalFormatting sqref="B26">
    <cfRule type="duplicateValues" dxfId="0" priority="2"/>
    <cfRule type="duplicateValues" dxfId="0" priority="1"/>
  </conditionalFormatting>
  <conditionalFormatting sqref="B1:B25 B27:B33 B36:B1048576">
    <cfRule type="duplicateValues" dxfId="0" priority="3"/>
  </conditionalFormatting>
  <conditionalFormatting sqref="B6:C15">
    <cfRule type="duplicateValues" dxfId="0" priority="5"/>
  </conditionalFormatting>
  <conditionalFormatting sqref="B6:B25 B27:B33">
    <cfRule type="duplicateValues" dxfId="0" priority="4"/>
  </conditionalFormatting>
  <pageMargins left="0.751388888888889" right="0.751388888888889" top="0.2125" bottom="0.60625" header="0.5" footer="0.5"/>
  <pageSetup paperSize="9" scale="93" orientation="portrait" horizont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4" workbookViewId="0">
      <selection activeCell="G29" sqref="G29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07" width="11.6666666666667" style="3" customWidth="1"/>
    <col min="16308" max="16308" width="11.6666666666667" style="3"/>
    <col min="16309" max="16314" width="11" style="3"/>
    <col min="1631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45350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7</v>
      </c>
      <c r="F6" s="13">
        <f t="shared" ref="F6:F26" si="0">H6/0.85</f>
        <v>3.52941176470588</v>
      </c>
      <c r="G6" s="14">
        <f t="shared" ref="G6:G26" si="1">H6/F6</f>
        <v>0.85</v>
      </c>
      <c r="H6" s="15">
        <v>3</v>
      </c>
      <c r="I6" s="15">
        <f t="shared" ref="I6:I26" si="2">E6*H6</f>
        <v>21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4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14</v>
      </c>
      <c r="J7" s="11"/>
    </row>
    <row r="8" s="3" customFormat="1" ht="16" customHeight="1" spans="1:10">
      <c r="A8" s="11">
        <v>3</v>
      </c>
      <c r="B8" s="11" t="s">
        <v>94</v>
      </c>
      <c r="C8" s="11"/>
      <c r="D8" s="12" t="s">
        <v>15</v>
      </c>
      <c r="E8" s="12">
        <v>5</v>
      </c>
      <c r="F8" s="13">
        <f t="shared" si="0"/>
        <v>7.05882352941176</v>
      </c>
      <c r="G8" s="14">
        <f t="shared" si="1"/>
        <v>0.85</v>
      </c>
      <c r="H8" s="15">
        <v>6</v>
      </c>
      <c r="I8" s="15">
        <f t="shared" si="2"/>
        <v>30</v>
      </c>
      <c r="J8" s="11"/>
    </row>
    <row r="9" s="3" customFormat="1" ht="16" customHeight="1" spans="1:10">
      <c r="A9" s="11">
        <v>4</v>
      </c>
      <c r="B9" s="16" t="s">
        <v>128</v>
      </c>
      <c r="C9" s="16"/>
      <c r="D9" s="12" t="s">
        <v>15</v>
      </c>
      <c r="E9" s="12">
        <v>10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35</v>
      </c>
      <c r="J9" s="11"/>
    </row>
    <row r="10" s="3" customFormat="1" ht="16" customHeight="1" spans="1:10">
      <c r="A10" s="11">
        <v>5</v>
      </c>
      <c r="B10" s="11" t="s">
        <v>131</v>
      </c>
      <c r="C10" s="11"/>
      <c r="D10" s="12" t="s">
        <v>15</v>
      </c>
      <c r="E10" s="12">
        <v>2</v>
      </c>
      <c r="F10" s="13">
        <f t="shared" si="0"/>
        <v>10.3529411764706</v>
      </c>
      <c r="G10" s="14">
        <f t="shared" si="1"/>
        <v>0.85</v>
      </c>
      <c r="H10" s="15">
        <v>8.8</v>
      </c>
      <c r="I10" s="15">
        <f t="shared" si="2"/>
        <v>17.6</v>
      </c>
      <c r="J10" s="11"/>
    </row>
    <row r="11" s="3" customFormat="1" ht="16" customHeight="1" spans="1:10">
      <c r="A11" s="11">
        <v>6</v>
      </c>
      <c r="B11" s="11" t="s">
        <v>164</v>
      </c>
      <c r="C11" s="11"/>
      <c r="D11" s="12" t="s">
        <v>15</v>
      </c>
      <c r="E11" s="12">
        <v>12</v>
      </c>
      <c r="F11" s="13">
        <f t="shared" si="0"/>
        <v>8</v>
      </c>
      <c r="G11" s="14">
        <f t="shared" si="1"/>
        <v>0.85</v>
      </c>
      <c r="H11" s="15">
        <v>6.8</v>
      </c>
      <c r="I11" s="15">
        <f t="shared" si="2"/>
        <v>81.6</v>
      </c>
      <c r="J11" s="11"/>
    </row>
    <row r="12" s="3" customFormat="1" ht="16" customHeight="1" spans="1:10">
      <c r="A12" s="11">
        <v>7</v>
      </c>
      <c r="B12" s="16" t="s">
        <v>78</v>
      </c>
      <c r="C12" s="16"/>
      <c r="D12" s="17" t="s">
        <v>15</v>
      </c>
      <c r="E12" s="17">
        <v>5</v>
      </c>
      <c r="F12" s="13">
        <f t="shared" si="0"/>
        <v>6.82352941176471</v>
      </c>
      <c r="G12" s="14">
        <f t="shared" si="1"/>
        <v>0.85</v>
      </c>
      <c r="H12" s="18">
        <v>5.8</v>
      </c>
      <c r="I12" s="15">
        <f t="shared" si="2"/>
        <v>29</v>
      </c>
      <c r="J12" s="16"/>
    </row>
    <row r="13" s="3" customFormat="1" ht="16" customHeight="1" spans="1:10">
      <c r="A13" s="11">
        <v>8</v>
      </c>
      <c r="B13" s="16" t="s">
        <v>121</v>
      </c>
      <c r="C13" s="16"/>
      <c r="D13" s="17" t="s">
        <v>15</v>
      </c>
      <c r="E13" s="17">
        <v>12</v>
      </c>
      <c r="F13" s="13">
        <f t="shared" si="0"/>
        <v>2.11764705882353</v>
      </c>
      <c r="G13" s="14">
        <f t="shared" si="1"/>
        <v>0.85</v>
      </c>
      <c r="H13" s="18">
        <v>1.8</v>
      </c>
      <c r="I13" s="15">
        <f t="shared" si="2"/>
        <v>21.6</v>
      </c>
      <c r="J13" s="16"/>
    </row>
    <row r="14" s="3" customFormat="1" ht="16" customHeight="1" spans="1:10">
      <c r="A14" s="11">
        <v>9</v>
      </c>
      <c r="B14" s="16" t="s">
        <v>79</v>
      </c>
      <c r="C14" s="16"/>
      <c r="D14" s="17" t="s">
        <v>15</v>
      </c>
      <c r="E14" s="17">
        <v>2</v>
      </c>
      <c r="F14" s="13">
        <f t="shared" si="0"/>
        <v>7.05882352941176</v>
      </c>
      <c r="G14" s="14">
        <f t="shared" si="1"/>
        <v>0.85</v>
      </c>
      <c r="H14" s="18">
        <v>6</v>
      </c>
      <c r="I14" s="15">
        <f t="shared" si="2"/>
        <v>12</v>
      </c>
      <c r="J14" s="16"/>
    </row>
    <row r="15" s="3" customFormat="1" ht="16" customHeight="1" spans="1:10">
      <c r="A15" s="11">
        <v>10</v>
      </c>
      <c r="B15" s="16" t="s">
        <v>165</v>
      </c>
      <c r="C15" s="16"/>
      <c r="D15" s="17" t="s">
        <v>15</v>
      </c>
      <c r="E15" s="17">
        <v>20</v>
      </c>
      <c r="F15" s="13">
        <f t="shared" si="0"/>
        <v>10</v>
      </c>
      <c r="G15" s="14">
        <f t="shared" si="1"/>
        <v>0.85</v>
      </c>
      <c r="H15" s="18">
        <v>8.5</v>
      </c>
      <c r="I15" s="15">
        <f t="shared" si="2"/>
        <v>170</v>
      </c>
      <c r="J15" s="16"/>
    </row>
    <row r="16" s="3" customFormat="1" ht="16" customHeight="1" spans="1:10">
      <c r="A16" s="11">
        <v>11</v>
      </c>
      <c r="B16" s="11" t="s">
        <v>55</v>
      </c>
      <c r="C16" s="11"/>
      <c r="D16" s="16" t="s">
        <v>15</v>
      </c>
      <c r="E16" s="12">
        <v>8</v>
      </c>
      <c r="F16" s="13">
        <f t="shared" si="0"/>
        <v>8</v>
      </c>
      <c r="G16" s="14">
        <f t="shared" si="1"/>
        <v>0.85</v>
      </c>
      <c r="H16" s="18">
        <v>6.8</v>
      </c>
      <c r="I16" s="15">
        <f t="shared" si="2"/>
        <v>54.4</v>
      </c>
      <c r="J16" s="16"/>
    </row>
    <row r="17" s="3" customFormat="1" ht="16" customHeight="1" spans="1:10">
      <c r="A17" s="11">
        <v>12</v>
      </c>
      <c r="B17" s="11" t="s">
        <v>72</v>
      </c>
      <c r="C17" s="11"/>
      <c r="D17" s="11" t="s">
        <v>15</v>
      </c>
      <c r="E17" s="12">
        <v>8</v>
      </c>
      <c r="F17" s="13">
        <f t="shared" si="0"/>
        <v>17.4117647058824</v>
      </c>
      <c r="G17" s="14">
        <f t="shared" si="1"/>
        <v>0.85</v>
      </c>
      <c r="H17" s="18">
        <v>14.8</v>
      </c>
      <c r="I17" s="15">
        <f t="shared" si="2"/>
        <v>118.4</v>
      </c>
      <c r="J17" s="11"/>
    </row>
    <row r="18" s="3" customFormat="1" ht="16" customHeight="1" spans="1:10">
      <c r="A18" s="11">
        <v>13</v>
      </c>
      <c r="B18" s="13" t="s">
        <v>40</v>
      </c>
      <c r="C18" s="13"/>
      <c r="D18" s="13" t="s">
        <v>15</v>
      </c>
      <c r="E18" s="12">
        <v>13.1</v>
      </c>
      <c r="F18" s="13">
        <f t="shared" si="0"/>
        <v>16.2352941176471</v>
      </c>
      <c r="G18" s="14">
        <f t="shared" si="1"/>
        <v>0.85</v>
      </c>
      <c r="H18" s="18">
        <v>13.8</v>
      </c>
      <c r="I18" s="15">
        <f t="shared" si="2"/>
        <v>180.78</v>
      </c>
      <c r="J18" s="11"/>
    </row>
    <row r="19" s="3" customFormat="1" customHeight="1" spans="1:10">
      <c r="A19" s="11">
        <v>14</v>
      </c>
      <c r="B19" s="13" t="s">
        <v>43</v>
      </c>
      <c r="C19" s="13"/>
      <c r="D19" s="13" t="s">
        <v>34</v>
      </c>
      <c r="E19" s="12">
        <v>1</v>
      </c>
      <c r="F19" s="13">
        <f t="shared" si="0"/>
        <v>211.764705882353</v>
      </c>
      <c r="G19" s="14">
        <f t="shared" si="1"/>
        <v>0.85</v>
      </c>
      <c r="H19" s="18">
        <v>180</v>
      </c>
      <c r="I19" s="15">
        <f t="shared" si="2"/>
        <v>180</v>
      </c>
      <c r="J19" s="13"/>
    </row>
    <row r="20" s="3" customFormat="1" customHeight="1" spans="1:10">
      <c r="A20" s="11">
        <v>15</v>
      </c>
      <c r="B20" s="13" t="s">
        <v>166</v>
      </c>
      <c r="C20" s="13" t="s">
        <v>167</v>
      </c>
      <c r="D20" s="13" t="s">
        <v>104</v>
      </c>
      <c r="E20" s="12">
        <v>4</v>
      </c>
      <c r="F20" s="13">
        <f t="shared" ref="F20:F25" si="3">H20/0.85</f>
        <v>19.4117647058824</v>
      </c>
      <c r="G20" s="14">
        <f t="shared" ref="G20:G25" si="4">H20/F20</f>
        <v>0.85</v>
      </c>
      <c r="H20" s="18">
        <v>16.5</v>
      </c>
      <c r="I20" s="15">
        <f t="shared" ref="I20:I25" si="5">E20*H20</f>
        <v>66</v>
      </c>
      <c r="J20" s="13"/>
    </row>
    <row r="21" s="3" customFormat="1" customHeight="1" spans="1:10">
      <c r="A21" s="11">
        <v>16</v>
      </c>
      <c r="B21" s="13" t="s">
        <v>168</v>
      </c>
      <c r="C21" s="13" t="s">
        <v>61</v>
      </c>
      <c r="D21" s="13" t="s">
        <v>15</v>
      </c>
      <c r="E21" s="12">
        <v>2</v>
      </c>
      <c r="F21" s="13">
        <f t="shared" si="3"/>
        <v>8</v>
      </c>
      <c r="G21" s="14">
        <f t="shared" si="4"/>
        <v>0.85</v>
      </c>
      <c r="H21" s="18">
        <v>6.8</v>
      </c>
      <c r="I21" s="15">
        <f t="shared" si="5"/>
        <v>13.6</v>
      </c>
      <c r="J21" s="13"/>
    </row>
    <row r="22" s="3" customFormat="1" customHeight="1" spans="1:10">
      <c r="A22" s="11">
        <v>17</v>
      </c>
      <c r="B22" s="13" t="s">
        <v>29</v>
      </c>
      <c r="C22" s="13" t="s">
        <v>30</v>
      </c>
      <c r="D22" s="13" t="s">
        <v>15</v>
      </c>
      <c r="E22" s="12">
        <v>4</v>
      </c>
      <c r="F22" s="13">
        <f t="shared" si="3"/>
        <v>5.76470588235294</v>
      </c>
      <c r="G22" s="14">
        <f t="shared" si="4"/>
        <v>0.85</v>
      </c>
      <c r="H22" s="18">
        <v>4.9</v>
      </c>
      <c r="I22" s="15">
        <f t="shared" si="5"/>
        <v>19.6</v>
      </c>
      <c r="J22" s="13"/>
    </row>
    <row r="23" s="3" customFormat="1" customHeight="1" spans="1:10">
      <c r="A23" s="11">
        <v>18</v>
      </c>
      <c r="B23" s="13" t="s">
        <v>68</v>
      </c>
      <c r="C23" s="13" t="s">
        <v>69</v>
      </c>
      <c r="D23" s="13" t="s">
        <v>67</v>
      </c>
      <c r="E23" s="12">
        <v>40</v>
      </c>
      <c r="F23" s="13">
        <f t="shared" si="3"/>
        <v>3.76470588235294</v>
      </c>
      <c r="G23" s="14">
        <f t="shared" si="4"/>
        <v>0.85</v>
      </c>
      <c r="H23" s="18">
        <v>3.2</v>
      </c>
      <c r="I23" s="15">
        <f t="shared" si="5"/>
        <v>128</v>
      </c>
      <c r="J23" s="13"/>
    </row>
    <row r="24" s="3" customFormat="1" customHeight="1" spans="1:10">
      <c r="A24" s="11">
        <v>19</v>
      </c>
      <c r="B24" s="16" t="s">
        <v>81</v>
      </c>
      <c r="C24" s="16"/>
      <c r="D24" s="16" t="s">
        <v>15</v>
      </c>
      <c r="E24" s="17">
        <v>8</v>
      </c>
      <c r="F24" s="13">
        <f t="shared" si="3"/>
        <v>103.529411764706</v>
      </c>
      <c r="G24" s="14">
        <f t="shared" si="4"/>
        <v>0.85</v>
      </c>
      <c r="H24" s="15">
        <v>88</v>
      </c>
      <c r="I24" s="15">
        <f t="shared" si="5"/>
        <v>704</v>
      </c>
      <c r="J24" s="13"/>
    </row>
    <row r="25" s="3" customFormat="1" customHeight="1" spans="1:10">
      <c r="A25" s="11">
        <v>20</v>
      </c>
      <c r="B25" s="13" t="s">
        <v>32</v>
      </c>
      <c r="C25" s="13" t="s">
        <v>33</v>
      </c>
      <c r="D25" s="13" t="s">
        <v>34</v>
      </c>
      <c r="E25" s="12">
        <v>1</v>
      </c>
      <c r="F25" s="13">
        <f t="shared" si="3"/>
        <v>176.470588235294</v>
      </c>
      <c r="G25" s="14">
        <f t="shared" si="4"/>
        <v>0.85</v>
      </c>
      <c r="H25" s="18">
        <v>150</v>
      </c>
      <c r="I25" s="15">
        <f t="shared" si="5"/>
        <v>150</v>
      </c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 t="s">
        <v>45</v>
      </c>
      <c r="B33" s="19">
        <f>SUM(I6:I32)</f>
        <v>2046.58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46</v>
      </c>
      <c r="B34" s="22">
        <f>B33</f>
        <v>2046.58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47</v>
      </c>
      <c r="E35" s="4"/>
    </row>
  </sheetData>
  <mergeCells count="4">
    <mergeCell ref="A1:J1"/>
    <mergeCell ref="B33:J33"/>
    <mergeCell ref="B34:J34"/>
    <mergeCell ref="A35:J35"/>
  </mergeCells>
  <conditionalFormatting sqref="B24">
    <cfRule type="duplicateValues" dxfId="0" priority="3"/>
    <cfRule type="duplicateValues" dxfId="0" priority="4"/>
  </conditionalFormatting>
  <conditionalFormatting sqref="B25">
    <cfRule type="duplicateValues" dxfId="0" priority="2"/>
    <cfRule type="duplicateValues" dxfId="0" priority="1"/>
  </conditionalFormatting>
  <conditionalFormatting sqref="B1:B23 B35:B1048576 B26:B32">
    <cfRule type="duplicateValues" dxfId="0" priority="5"/>
  </conditionalFormatting>
  <conditionalFormatting sqref="B6:C16">
    <cfRule type="duplicateValues" dxfId="0" priority="7"/>
  </conditionalFormatting>
  <conditionalFormatting sqref="B6:B23 B26:B32">
    <cfRule type="duplicateValues" dxfId="0" priority="6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zoomScale="80" zoomScaleNormal="80" topLeftCell="A3" workbookViewId="0">
      <selection activeCell="A19" sqref="$A19:$XFD19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297" width="11.6666666666667" style="3" customWidth="1"/>
    <col min="16298" max="16298" width="11.6666666666667" style="3"/>
    <col min="16299" max="16304" width="11" style="3"/>
    <col min="16305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45351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5</v>
      </c>
      <c r="F6" s="13">
        <f>H6/0.85</f>
        <v>3.52941176470588</v>
      </c>
      <c r="G6" s="14">
        <f>H6/F6</f>
        <v>0.85</v>
      </c>
      <c r="H6" s="15">
        <v>3</v>
      </c>
      <c r="I6" s="15">
        <f>E6*H6</f>
        <v>15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11</v>
      </c>
      <c r="F7" s="13">
        <f>H7/0.85</f>
        <v>4.11764705882353</v>
      </c>
      <c r="G7" s="14">
        <f>H7/F7</f>
        <v>0.85</v>
      </c>
      <c r="H7" s="15">
        <v>3.5</v>
      </c>
      <c r="I7" s="15">
        <f>E7*H7</f>
        <v>38.5</v>
      </c>
      <c r="J7" s="11"/>
    </row>
    <row r="8" s="3" customFormat="1" ht="16" customHeight="1" spans="1:10">
      <c r="A8" s="11">
        <v>3</v>
      </c>
      <c r="B8" s="11" t="s">
        <v>128</v>
      </c>
      <c r="C8" s="11"/>
      <c r="D8" s="12" t="s">
        <v>15</v>
      </c>
      <c r="E8" s="12">
        <v>10</v>
      </c>
      <c r="F8" s="13">
        <f>H8/0.85</f>
        <v>4.11764705882353</v>
      </c>
      <c r="G8" s="14">
        <f>H8/F8</f>
        <v>0.85</v>
      </c>
      <c r="H8" s="15">
        <v>3.5</v>
      </c>
      <c r="I8" s="15">
        <f>E8*H8</f>
        <v>35</v>
      </c>
      <c r="J8" s="11"/>
    </row>
    <row r="9" s="3" customFormat="1" ht="16" customHeight="1" spans="1:10">
      <c r="A9" s="11">
        <v>4</v>
      </c>
      <c r="B9" s="16" t="s">
        <v>21</v>
      </c>
      <c r="C9" s="16"/>
      <c r="D9" s="12" t="s">
        <v>15</v>
      </c>
      <c r="E9" s="12">
        <v>8</v>
      </c>
      <c r="F9" s="13">
        <f>H9/0.85</f>
        <v>2.94117647058824</v>
      </c>
      <c r="G9" s="14">
        <f>H9/F9</f>
        <v>0.85</v>
      </c>
      <c r="H9" s="15">
        <v>2.5</v>
      </c>
      <c r="I9" s="15">
        <f>E9*H9</f>
        <v>20</v>
      </c>
      <c r="J9" s="11"/>
    </row>
    <row r="10" s="3" customFormat="1" ht="16" customHeight="1" spans="1:10">
      <c r="A10" s="11">
        <v>5</v>
      </c>
      <c r="B10" s="11" t="s">
        <v>97</v>
      </c>
      <c r="C10" s="11"/>
      <c r="D10" s="12" t="s">
        <v>15</v>
      </c>
      <c r="E10" s="12">
        <v>12</v>
      </c>
      <c r="F10" s="13">
        <f t="shared" ref="F10:F23" si="0">H10/0.85</f>
        <v>5.64705882352941</v>
      </c>
      <c r="G10" s="14">
        <f t="shared" ref="G10:G23" si="1">H10/F10</f>
        <v>0.85</v>
      </c>
      <c r="H10" s="15">
        <v>4.8</v>
      </c>
      <c r="I10" s="15">
        <f t="shared" ref="I10:I23" si="2">E10*H10</f>
        <v>57.6</v>
      </c>
      <c r="J10" s="11"/>
    </row>
    <row r="11" s="3" customFormat="1" ht="16" customHeight="1" spans="1:10">
      <c r="A11" s="11">
        <v>6</v>
      </c>
      <c r="B11" s="16" t="s">
        <v>79</v>
      </c>
      <c r="C11" s="16"/>
      <c r="D11" s="17" t="s">
        <v>15</v>
      </c>
      <c r="E11" s="17">
        <v>1</v>
      </c>
      <c r="F11" s="13">
        <f t="shared" si="0"/>
        <v>7.05882352941176</v>
      </c>
      <c r="G11" s="14">
        <f t="shared" si="1"/>
        <v>0.85</v>
      </c>
      <c r="H11" s="18">
        <v>6</v>
      </c>
      <c r="I11" s="15">
        <f t="shared" si="2"/>
        <v>6</v>
      </c>
      <c r="J11" s="16"/>
    </row>
    <row r="12" s="3" customFormat="1" ht="16" customHeight="1" spans="1:10">
      <c r="A12" s="11">
        <v>7</v>
      </c>
      <c r="B12" s="16" t="s">
        <v>23</v>
      </c>
      <c r="C12" s="16"/>
      <c r="D12" s="17" t="s">
        <v>15</v>
      </c>
      <c r="E12" s="17">
        <v>15</v>
      </c>
      <c r="F12" s="13">
        <f t="shared" si="0"/>
        <v>25.8823529411765</v>
      </c>
      <c r="G12" s="14">
        <f t="shared" si="1"/>
        <v>0.85</v>
      </c>
      <c r="H12" s="18">
        <v>22</v>
      </c>
      <c r="I12" s="15">
        <f t="shared" si="2"/>
        <v>330</v>
      </c>
      <c r="J12" s="16"/>
    </row>
    <row r="13" s="3" customFormat="1" ht="16" customHeight="1" spans="1:10">
      <c r="A13" s="11">
        <v>8</v>
      </c>
      <c r="B13" s="16" t="s">
        <v>24</v>
      </c>
      <c r="C13" s="16"/>
      <c r="D13" s="17" t="s">
        <v>15</v>
      </c>
      <c r="E13" s="17">
        <v>1.5</v>
      </c>
      <c r="F13" s="13">
        <f t="shared" si="0"/>
        <v>16.2352941176471</v>
      </c>
      <c r="G13" s="14">
        <f t="shared" si="1"/>
        <v>0.85</v>
      </c>
      <c r="H13" s="18">
        <v>13.8</v>
      </c>
      <c r="I13" s="15">
        <f t="shared" si="2"/>
        <v>20.7</v>
      </c>
      <c r="J13" s="16"/>
    </row>
    <row r="14" s="3" customFormat="1" ht="16" customHeight="1" spans="1:10">
      <c r="A14" s="11">
        <v>9</v>
      </c>
      <c r="B14" s="11" t="s">
        <v>169</v>
      </c>
      <c r="C14" s="11" t="s">
        <v>170</v>
      </c>
      <c r="D14" s="16" t="s">
        <v>39</v>
      </c>
      <c r="E14" s="12">
        <v>5</v>
      </c>
      <c r="F14" s="13">
        <f t="shared" si="0"/>
        <v>11.5294117647059</v>
      </c>
      <c r="G14" s="14">
        <f t="shared" si="1"/>
        <v>0.85</v>
      </c>
      <c r="H14" s="18">
        <v>9.8</v>
      </c>
      <c r="I14" s="15">
        <f t="shared" si="2"/>
        <v>49</v>
      </c>
      <c r="J14" s="16"/>
    </row>
    <row r="15" s="3" customFormat="1" ht="16" customHeight="1" spans="1:10">
      <c r="A15" s="11">
        <v>10</v>
      </c>
      <c r="B15" s="11" t="s">
        <v>65</v>
      </c>
      <c r="C15" s="11" t="s">
        <v>66</v>
      </c>
      <c r="D15" s="11" t="s">
        <v>67</v>
      </c>
      <c r="E15" s="12">
        <v>40</v>
      </c>
      <c r="F15" s="13">
        <f t="shared" si="0"/>
        <v>4.11764705882353</v>
      </c>
      <c r="G15" s="14">
        <f t="shared" si="1"/>
        <v>0.85</v>
      </c>
      <c r="H15" s="18">
        <v>3.5</v>
      </c>
      <c r="I15" s="15">
        <f t="shared" si="2"/>
        <v>140</v>
      </c>
      <c r="J15" s="16"/>
    </row>
    <row r="16" s="3" customFormat="1" ht="16" customHeight="1" spans="1:10">
      <c r="A16" s="11">
        <v>11</v>
      </c>
      <c r="B16" s="13" t="s">
        <v>31</v>
      </c>
      <c r="C16" s="13"/>
      <c r="D16" s="13" t="s">
        <v>15</v>
      </c>
      <c r="E16" s="12">
        <v>8</v>
      </c>
      <c r="F16" s="13">
        <f t="shared" si="0"/>
        <v>51.7647058823529</v>
      </c>
      <c r="G16" s="14">
        <f t="shared" si="1"/>
        <v>0.85</v>
      </c>
      <c r="H16" s="18">
        <v>44</v>
      </c>
      <c r="I16" s="15">
        <f t="shared" si="2"/>
        <v>352</v>
      </c>
      <c r="J16" s="11"/>
    </row>
    <row r="17" s="3" customFormat="1" ht="16" customHeight="1" spans="1:10">
      <c r="A17" s="11">
        <v>12</v>
      </c>
      <c r="B17" s="16" t="s">
        <v>92</v>
      </c>
      <c r="C17" s="16"/>
      <c r="D17" s="16" t="s">
        <v>15</v>
      </c>
      <c r="E17" s="17">
        <v>8</v>
      </c>
      <c r="F17" s="13">
        <f t="shared" si="0"/>
        <v>44.7058823529412</v>
      </c>
      <c r="G17" s="14">
        <f t="shared" si="1"/>
        <v>0.85</v>
      </c>
      <c r="H17" s="15">
        <v>38</v>
      </c>
      <c r="I17" s="15">
        <f t="shared" si="2"/>
        <v>304</v>
      </c>
      <c r="J17" s="11"/>
    </row>
    <row r="18" s="3" customFormat="1" customHeight="1" spans="1:10">
      <c r="A18" s="11">
        <v>13</v>
      </c>
      <c r="B18" s="11" t="s">
        <v>71</v>
      </c>
      <c r="C18" s="11"/>
      <c r="D18" s="11" t="s">
        <v>15</v>
      </c>
      <c r="E18" s="12">
        <v>16</v>
      </c>
      <c r="F18" s="13">
        <f t="shared" si="0"/>
        <v>22.9411764705882</v>
      </c>
      <c r="G18" s="14">
        <f t="shared" si="1"/>
        <v>0.85</v>
      </c>
      <c r="H18" s="15">
        <v>19.5</v>
      </c>
      <c r="I18" s="15">
        <f t="shared" si="2"/>
        <v>312</v>
      </c>
      <c r="J18" s="13"/>
    </row>
    <row r="19" s="3" customFormat="1" customHeight="1" spans="1:10">
      <c r="A19" s="11">
        <v>15</v>
      </c>
      <c r="B19" s="13"/>
      <c r="C19" s="13"/>
      <c r="D19" s="13"/>
      <c r="E19" s="12"/>
      <c r="F19" s="13"/>
      <c r="G19" s="14"/>
      <c r="H19" s="18"/>
      <c r="I19" s="15"/>
      <c r="J19" s="13"/>
    </row>
    <row r="20" s="3" customFormat="1" customHeight="1" spans="1:10">
      <c r="A20" s="11">
        <v>16</v>
      </c>
      <c r="B20" s="13"/>
      <c r="C20" s="13"/>
      <c r="D20" s="13"/>
      <c r="E20" s="12"/>
      <c r="F20" s="13"/>
      <c r="G20" s="14"/>
      <c r="H20" s="18"/>
      <c r="I20" s="15"/>
      <c r="J20" s="13"/>
    </row>
    <row r="21" s="3" customFormat="1" customHeight="1" spans="1:10">
      <c r="A21" s="11">
        <v>17</v>
      </c>
      <c r="B21" s="13"/>
      <c r="C21" s="13"/>
      <c r="D21" s="13"/>
      <c r="E21" s="12"/>
      <c r="F21" s="13"/>
      <c r="G21" s="14"/>
      <c r="H21" s="18"/>
      <c r="I21" s="15"/>
      <c r="J21" s="13"/>
    </row>
    <row r="22" s="3" customFormat="1" customHeight="1" spans="1:10">
      <c r="A22" s="11">
        <v>18</v>
      </c>
      <c r="B22" s="16"/>
      <c r="C22" s="16"/>
      <c r="D22" s="17"/>
      <c r="E22" s="17"/>
      <c r="F22" s="13"/>
      <c r="G22" s="14"/>
      <c r="H22" s="18"/>
      <c r="I22" s="15"/>
      <c r="J22" s="13"/>
    </row>
    <row r="23" s="3" customFormat="1" customHeight="1" spans="1:10">
      <c r="A23" s="11">
        <v>19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20</v>
      </c>
      <c r="B24" s="16"/>
      <c r="C24" s="16"/>
      <c r="D24" s="17"/>
      <c r="E24" s="17"/>
      <c r="F24" s="13"/>
      <c r="G24" s="14"/>
      <c r="H24" s="18"/>
      <c r="I24" s="15"/>
      <c r="J24" s="13"/>
    </row>
    <row r="25" s="3" customFormat="1" customHeight="1" spans="1:10">
      <c r="A25" s="11">
        <v>21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22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23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24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25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26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27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28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 t="s">
        <v>45</v>
      </c>
      <c r="B33" s="19">
        <f>SUM(I6:I32)</f>
        <v>1679.8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46</v>
      </c>
      <c r="B34" s="22">
        <f>B33</f>
        <v>1679.8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47</v>
      </c>
      <c r="E35" s="4"/>
    </row>
  </sheetData>
  <mergeCells count="4">
    <mergeCell ref="A1:J1"/>
    <mergeCell ref="B33:J33"/>
    <mergeCell ref="B34:J34"/>
    <mergeCell ref="A35:J35"/>
  </mergeCells>
  <conditionalFormatting sqref="B17:C17">
    <cfRule type="duplicateValues" dxfId="0" priority="6"/>
  </conditionalFormatting>
  <conditionalFormatting sqref="B17">
    <cfRule type="duplicateValues" dxfId="0" priority="5"/>
  </conditionalFormatting>
  <conditionalFormatting sqref="B18">
    <cfRule type="duplicateValues" dxfId="0" priority="4"/>
    <cfRule type="duplicateValues" dxfId="0" priority="3"/>
  </conditionalFormatting>
  <conditionalFormatting sqref="B1:B16 B19:B32 B35:B1048576">
    <cfRule type="duplicateValues" dxfId="0" priority="7"/>
  </conditionalFormatting>
  <conditionalFormatting sqref="B6:C15">
    <cfRule type="duplicateValues" dxfId="0" priority="9"/>
  </conditionalFormatting>
  <conditionalFormatting sqref="B6:B16 B19:B32">
    <cfRule type="duplicateValues" dxfId="0" priority="8"/>
  </conditionalFormatting>
  <pageMargins left="0.751388888888889" right="0.751388888888889" top="0.2125" bottom="0.60625" header="0.5" footer="0.5"/>
  <pageSetup paperSize="9" scale="93" orientation="portrait" horizont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topLeftCell="A16" workbookViewId="0">
      <selection activeCell="B32" sqref="B32"/>
    </sheetView>
  </sheetViews>
  <sheetFormatPr defaultColWidth="9" defaultRowHeight="13.5"/>
  <cols>
    <col min="1" max="1" width="11.5"/>
    <col min="2" max="2" width="10.375"/>
  </cols>
  <sheetData>
    <row r="1" spans="1:1">
      <c r="A1" t="s">
        <v>171</v>
      </c>
    </row>
    <row r="2" spans="1:2">
      <c r="A2" s="1" t="s">
        <v>172</v>
      </c>
      <c r="B2" s="1" t="s">
        <v>173</v>
      </c>
    </row>
    <row r="3" spans="1:2">
      <c r="A3" s="2">
        <v>45323</v>
      </c>
      <c r="B3">
        <f>'1'!B32</f>
        <v>3633.6</v>
      </c>
    </row>
    <row r="4" spans="1:2">
      <c r="A4" s="2">
        <v>45324</v>
      </c>
      <c r="B4">
        <f>'2'!B34</f>
        <v>2934.74</v>
      </c>
    </row>
    <row r="5" spans="1:2">
      <c r="A5" s="2">
        <v>45325</v>
      </c>
      <c r="B5">
        <v>0</v>
      </c>
    </row>
    <row r="6" spans="1:2">
      <c r="A6" s="2">
        <v>45326</v>
      </c>
      <c r="B6">
        <f>'4'!B34</f>
        <v>2299.56</v>
      </c>
    </row>
    <row r="7" spans="1:2">
      <c r="A7" s="2">
        <v>45327</v>
      </c>
      <c r="B7">
        <f>'5'!B34</f>
        <v>1509.76</v>
      </c>
    </row>
    <row r="8" spans="1:2">
      <c r="A8" s="2">
        <v>45328</v>
      </c>
      <c r="B8">
        <f>'6'!B33</f>
        <v>3365.9</v>
      </c>
    </row>
    <row r="9" spans="1:2">
      <c r="A9" s="2">
        <v>45329</v>
      </c>
      <c r="B9">
        <v>0</v>
      </c>
    </row>
    <row r="10" spans="1:2">
      <c r="A10" s="2">
        <v>45330</v>
      </c>
      <c r="B10">
        <v>0</v>
      </c>
    </row>
    <row r="11" spans="1:2">
      <c r="A11" s="2">
        <v>45331</v>
      </c>
      <c r="B11">
        <v>0</v>
      </c>
    </row>
    <row r="12" spans="1:2">
      <c r="A12" s="2">
        <v>45332</v>
      </c>
      <c r="B12">
        <v>0</v>
      </c>
    </row>
    <row r="13" spans="1:2">
      <c r="A13" s="2">
        <v>45333</v>
      </c>
      <c r="B13">
        <v>0</v>
      </c>
    </row>
    <row r="14" spans="1:2">
      <c r="A14" s="2">
        <v>45334</v>
      </c>
      <c r="B14">
        <v>0</v>
      </c>
    </row>
    <row r="15" spans="1:2">
      <c r="A15" s="2">
        <v>45335</v>
      </c>
      <c r="B15">
        <v>0</v>
      </c>
    </row>
    <row r="16" spans="1:2">
      <c r="A16" s="2">
        <v>45336</v>
      </c>
      <c r="B16">
        <v>0</v>
      </c>
    </row>
    <row r="17" spans="1:2">
      <c r="A17" s="2">
        <v>45337</v>
      </c>
      <c r="B17">
        <v>0</v>
      </c>
    </row>
    <row r="18" spans="1:2">
      <c r="A18" s="2">
        <v>45338</v>
      </c>
      <c r="B18">
        <v>0</v>
      </c>
    </row>
    <row r="19" spans="1:2">
      <c r="A19" s="2">
        <v>45339</v>
      </c>
      <c r="B19">
        <v>0</v>
      </c>
    </row>
    <row r="20" spans="1:2">
      <c r="A20" s="2">
        <v>45340</v>
      </c>
      <c r="B20">
        <f>'18'!B40</f>
        <v>4585.55</v>
      </c>
    </row>
    <row r="21" spans="1:2">
      <c r="A21" s="2">
        <v>45341</v>
      </c>
      <c r="B21">
        <f>'19'!B33</f>
        <v>2170</v>
      </c>
    </row>
    <row r="22" spans="1:2">
      <c r="A22" s="2">
        <v>45342</v>
      </c>
      <c r="B22">
        <f>'20'!B34</f>
        <v>2226.6</v>
      </c>
    </row>
    <row r="23" spans="1:2">
      <c r="A23" s="2">
        <v>45343</v>
      </c>
      <c r="B23">
        <f>'21'!B34</f>
        <v>1929.7</v>
      </c>
    </row>
    <row r="24" spans="1:2">
      <c r="A24" s="2">
        <v>45344</v>
      </c>
      <c r="B24">
        <f>'22'!B33</f>
        <v>1744.6</v>
      </c>
    </row>
    <row r="25" spans="1:2">
      <c r="A25" s="2">
        <v>45345</v>
      </c>
      <c r="B25">
        <f>'23'!B34</f>
        <v>2680.7</v>
      </c>
    </row>
    <row r="26" spans="1:2">
      <c r="A26" s="2">
        <v>45346</v>
      </c>
      <c r="B26">
        <v>0</v>
      </c>
    </row>
    <row r="27" spans="1:2">
      <c r="A27" s="2">
        <v>45347</v>
      </c>
      <c r="B27">
        <v>0</v>
      </c>
    </row>
    <row r="28" spans="1:2">
      <c r="A28" s="2">
        <v>45348</v>
      </c>
      <c r="B28">
        <f>'26'!B35</f>
        <v>3452.07</v>
      </c>
    </row>
    <row r="29" spans="1:2">
      <c r="A29" s="2">
        <v>45349</v>
      </c>
      <c r="B29">
        <f>'27'!B34</f>
        <v>1703.7</v>
      </c>
    </row>
    <row r="30" spans="1:2">
      <c r="A30" s="2">
        <v>45350</v>
      </c>
      <c r="B30">
        <f>'28'!B33</f>
        <v>2046.58</v>
      </c>
    </row>
    <row r="31" spans="1:13">
      <c r="A31" s="2">
        <v>45351</v>
      </c>
      <c r="B31">
        <f>'29'!B33</f>
        <v>1679.8</v>
      </c>
      <c r="M31" t="s">
        <v>174</v>
      </c>
    </row>
    <row r="32" spans="1:2">
      <c r="A32" t="s">
        <v>175</v>
      </c>
      <c r="B32">
        <f>SUM(B3:B31)</f>
        <v>37962.86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1</vt:lpstr>
      <vt:lpstr>2</vt:lpstr>
      <vt:lpstr>4</vt:lpstr>
      <vt:lpstr>5</vt:lpstr>
      <vt:lpstr>6</vt:lpstr>
      <vt:lpstr>18</vt:lpstr>
      <vt:lpstr>19</vt:lpstr>
      <vt:lpstr>20</vt:lpstr>
      <vt:lpstr>21</vt:lpstr>
      <vt:lpstr>22</vt:lpstr>
      <vt:lpstr>23</vt:lpstr>
      <vt:lpstr>26</vt:lpstr>
      <vt:lpstr>27</vt:lpstr>
      <vt:lpstr>28</vt:lpstr>
      <vt:lpstr>29</vt:lpstr>
      <vt:lpstr>2月合计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罗小丽</cp:lastModifiedBy>
  <dcterms:created xsi:type="dcterms:W3CDTF">2023-07-03T11:11:00Z</dcterms:created>
  <dcterms:modified xsi:type="dcterms:W3CDTF">2025-02-15T05:05:49Z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0E1C7AE3AB9D456B9C34B9011364F17E_11</vt:lpwstr>
  </property>
  <property fmtid="{D5CDD505-2E9C-101B-9397-08002B2CF9AE}" pid="3" name="KSOProductBuildVer">
    <vt:lpwstr>2052-12.1.0.19770</vt:lpwstr>
  </property>
</Properties>
</file>